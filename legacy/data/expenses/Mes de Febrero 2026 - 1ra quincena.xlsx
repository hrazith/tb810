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azca/Library/CloudStorage/GoogleDrive-clavilab@gmail.com/My Drive/Balta 810 /associacion balta 810/cuadros de gastos y recibos/"/>
    </mc:Choice>
  </mc:AlternateContent>
  <xr:revisionPtr revIDLastSave="0" documentId="13_ncr:1_{8D70A20F-FEF6-F247-9D54-A487BC1590CD}" xr6:coauthVersionLast="47" xr6:coauthVersionMax="47" xr10:uidLastSave="{00000000-0000-0000-0000-000000000000}"/>
  <bookViews>
    <workbookView xWindow="3300" yWindow="780" windowWidth="25360" windowHeight="20920" xr2:uid="{A53F12CC-3A1D-433A-9267-D36D3681399C}"/>
  </bookViews>
  <sheets>
    <sheet name="1RA QUINC FEBRERO 26" sheetId="1" r:id="rId1"/>
    <sheet name="Dep. GJ" sheetId="2" state="hidden" r:id="rId2"/>
    <sheet name="Cta. Temporal 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9" i="1" l="1"/>
  <c r="I31" i="1" l="1"/>
  <c r="I42" i="1"/>
  <c r="H6" i="1" l="1"/>
  <c r="I4" i="1" s="1"/>
  <c r="H38" i="1"/>
  <c r="I34" i="1" s="1"/>
  <c r="I19" i="1"/>
  <c r="I10" i="1"/>
  <c r="J9" i="1"/>
  <c r="J8" i="1"/>
  <c r="J7" i="1"/>
  <c r="I26" i="1"/>
  <c r="J5" i="1" l="1"/>
  <c r="I15" i="1"/>
  <c r="I2" i="1" s="1"/>
  <c r="G8" i="3" l="1"/>
  <c r="G9" i="3" s="1"/>
  <c r="G10" i="3" s="1"/>
  <c r="G11" i="3" s="1"/>
  <c r="G12" i="3" s="1"/>
  <c r="G13" i="3" s="1"/>
  <c r="G14" i="3" s="1"/>
  <c r="G15" i="3" s="1"/>
  <c r="G16" i="3" s="1"/>
  <c r="G17" i="3" s="1"/>
  <c r="G18" i="3" s="1"/>
  <c r="G19" i="3" s="1"/>
  <c r="G20" i="3" s="1"/>
  <c r="G21" i="3" s="1"/>
  <c r="G22" i="3" s="1"/>
  <c r="G23" i="3" s="1"/>
  <c r="G24" i="3" s="1"/>
  <c r="G25" i="3" s="1"/>
  <c r="G26" i="3" s="1"/>
  <c r="G27" i="3" s="1"/>
  <c r="G28" i="3" s="1"/>
  <c r="G29" i="3" s="1"/>
  <c r="G30" i="3" s="1"/>
  <c r="G31" i="3" s="1"/>
  <c r="G32" i="3" s="1"/>
  <c r="G33" i="3" s="1"/>
  <c r="G34" i="3" s="1"/>
  <c r="G35" i="3" s="1"/>
  <c r="G36" i="3" s="1"/>
  <c r="G37" i="3" s="1"/>
  <c r="G38" i="3" s="1"/>
  <c r="G39" i="3" s="1"/>
  <c r="G40" i="3" s="1"/>
  <c r="G41" i="3" s="1"/>
  <c r="G42" i="3" s="1"/>
  <c r="G43" i="3" s="1"/>
  <c r="G44" i="3" s="1"/>
  <c r="G45" i="3" s="1"/>
  <c r="G46" i="3" s="1"/>
  <c r="G47" i="3" s="1"/>
  <c r="G48" i="3" s="1"/>
  <c r="G49" i="3" s="1"/>
  <c r="G50" i="3" s="1"/>
  <c r="G51" i="3" s="1"/>
  <c r="G52" i="3" s="1"/>
  <c r="G53" i="3" s="1"/>
  <c r="G54" i="3" s="1"/>
  <c r="G55" i="3" s="1"/>
  <c r="G56" i="3" s="1"/>
  <c r="G57" i="3" s="1"/>
  <c r="G58" i="3" s="1"/>
  <c r="G59" i="3" s="1"/>
  <c r="G60" i="3" s="1"/>
  <c r="G61" i="3" s="1"/>
  <c r="G62" i="3" s="1"/>
  <c r="G63" i="3" s="1"/>
  <c r="G64" i="3" s="1"/>
  <c r="G65" i="3" s="1"/>
  <c r="G66" i="3" s="1"/>
  <c r="G67" i="3" s="1"/>
  <c r="G68" i="3" s="1"/>
  <c r="G69" i="3" s="1"/>
  <c r="G70" i="3" s="1"/>
  <c r="G71" i="3" s="1"/>
  <c r="G72" i="3" s="1"/>
  <c r="G73" i="3" s="1"/>
  <c r="G74" i="3" s="1"/>
  <c r="G75" i="3" s="1"/>
  <c r="G76" i="3" s="1"/>
  <c r="G77" i="3" s="1"/>
  <c r="G78" i="3" s="1"/>
  <c r="G79" i="3" s="1"/>
  <c r="G80" i="3" s="1"/>
  <c r="G81" i="3" s="1"/>
  <c r="G82" i="3" s="1"/>
  <c r="G83" i="3" s="1"/>
  <c r="G84" i="3" s="1"/>
  <c r="G85" i="3" s="1"/>
  <c r="G86" i="3" s="1"/>
  <c r="G87" i="3" s="1"/>
  <c r="G88" i="3" s="1"/>
  <c r="G89" i="3" s="1"/>
  <c r="G90" i="3" s="1"/>
  <c r="G91" i="3" s="1"/>
  <c r="G92" i="3" s="1"/>
  <c r="G93" i="3" s="1"/>
  <c r="G94" i="3" s="1"/>
  <c r="G95" i="3" s="1"/>
  <c r="G96" i="3" s="1"/>
  <c r="G97" i="3" s="1"/>
  <c r="G98" i="3" s="1"/>
  <c r="G99" i="3" s="1"/>
  <c r="G100" i="3" s="1"/>
  <c r="G101" i="3" s="1"/>
  <c r="G102" i="3" s="1"/>
  <c r="G103" i="3" s="1"/>
  <c r="G104" i="3" s="1"/>
  <c r="G105" i="3" s="1"/>
  <c r="G106" i="3" s="1"/>
  <c r="G107" i="3" s="1"/>
  <c r="G108" i="3" s="1"/>
  <c r="G109" i="3" s="1"/>
  <c r="G110" i="3" s="1"/>
  <c r="G111" i="3" s="1"/>
  <c r="G112" i="3" s="1"/>
  <c r="G113" i="3" s="1"/>
  <c r="G114" i="3" s="1"/>
  <c r="G115" i="3" s="1"/>
  <c r="G116" i="3" s="1"/>
  <c r="G117" i="3" s="1"/>
  <c r="G118" i="3" s="1"/>
  <c r="G119" i="3" s="1"/>
  <c r="G120" i="3" s="1"/>
  <c r="F23" i="2" l="1"/>
  <c r="E23" i="2"/>
  <c r="G25" i="2" s="1"/>
  <c r="G26" i="2" s="1"/>
  <c r="G27" i="2" s="1"/>
  <c r="G28" i="2" s="1"/>
  <c r="G29" i="2" s="1"/>
  <c r="G30" i="2" s="1"/>
  <c r="G31" i="2" s="1"/>
  <c r="G32" i="2" s="1"/>
  <c r="G33" i="2" s="1"/>
  <c r="G34" i="2" s="1"/>
  <c r="G35" i="2" s="1"/>
  <c r="G36" i="2" s="1"/>
  <c r="G37" i="2" s="1"/>
  <c r="G38" i="2" s="1"/>
  <c r="G39" i="2" s="1"/>
  <c r="G40" i="2" s="1"/>
  <c r="G41" i="2" s="1"/>
  <c r="G42" i="2" s="1"/>
  <c r="G43" i="2" s="1"/>
  <c r="G44" i="2" s="1"/>
  <c r="G45" i="2" s="1"/>
  <c r="G46" i="2" s="1"/>
  <c r="G47" i="2" s="1"/>
  <c r="G48" i="2" s="1"/>
  <c r="G49" i="2" s="1"/>
  <c r="G50" i="2" s="1"/>
  <c r="G51" i="2" s="1"/>
  <c r="G52" i="2" s="1"/>
  <c r="G6" i="2" l="1"/>
  <c r="G7" i="2" s="1"/>
  <c r="G8" i="2" s="1"/>
  <c r="G9" i="2" s="1"/>
  <c r="G10" i="2" s="1"/>
  <c r="G11" i="2" s="1"/>
  <c r="G12" i="2" s="1"/>
  <c r="G13" i="2" s="1"/>
  <c r="G14" i="2" s="1"/>
  <c r="G15" i="2" s="1"/>
  <c r="G16" i="2" s="1"/>
  <c r="G17" i="2" s="1"/>
  <c r="G18" i="2" s="1"/>
  <c r="G19" i="2" s="1"/>
  <c r="G20" i="2" s="1"/>
  <c r="G21" i="2" s="1"/>
  <c r="G22" i="2" s="1"/>
</calcChain>
</file>

<file path=xl/sharedStrings.xml><?xml version="1.0" encoding="utf-8"?>
<sst xmlns="http://schemas.openxmlformats.org/spreadsheetml/2006/main" count="184" uniqueCount="143">
  <si>
    <t>TOTAL :</t>
  </si>
  <si>
    <t>Adelanto de sueldo BCP</t>
  </si>
  <si>
    <t>Jorge Gutierrez</t>
  </si>
  <si>
    <t>Angel Palacios</t>
  </si>
  <si>
    <t>Carlos Sanchez</t>
  </si>
  <si>
    <t>LUZ DEL SUR</t>
  </si>
  <si>
    <t>SEDAPAL</t>
  </si>
  <si>
    <t>Essalud</t>
  </si>
  <si>
    <t>AFP-Prima</t>
  </si>
  <si>
    <t>AFP-Profuturo</t>
  </si>
  <si>
    <t>BCP 002 19319425139402614</t>
  </si>
  <si>
    <t>Servicio de Administracion de Edificio</t>
  </si>
  <si>
    <t xml:space="preserve">TORRE BALTA 810 - MIRAFLORES </t>
  </si>
  <si>
    <t xml:space="preserve">PERSONAL PERMANENTE - QUINCENA </t>
  </si>
  <si>
    <t xml:space="preserve">VENCIMIENTO </t>
  </si>
  <si>
    <t xml:space="preserve">IMPUESTOS </t>
  </si>
  <si>
    <t xml:space="preserve">Impuestos ESSALUD </t>
  </si>
  <si>
    <t>DNI 47501969</t>
  </si>
  <si>
    <t>GIULIANA JARA PEREZ</t>
  </si>
  <si>
    <t>DNI 47501969 GIULIANA JARA PEREZ</t>
  </si>
  <si>
    <t xml:space="preserve">Ingresos </t>
  </si>
  <si>
    <t xml:space="preserve">Egresos </t>
  </si>
  <si>
    <t>Saldo</t>
  </si>
  <si>
    <t xml:space="preserve">Giuliana Jara BCP </t>
  </si>
  <si>
    <t xml:space="preserve">Fecha </t>
  </si>
  <si>
    <t xml:space="preserve">Departamento </t>
  </si>
  <si>
    <t xml:space="preserve">Descripción </t>
  </si>
  <si>
    <t>Cuota de mantenimiento julio y agosto 25</t>
  </si>
  <si>
    <t>SUNAT ESSALUD 07/2025</t>
  </si>
  <si>
    <t xml:space="preserve">Adelanto de mantenimiento </t>
  </si>
  <si>
    <t xml:space="preserve">1ra Quincena Agosto - Julio Iglesias </t>
  </si>
  <si>
    <t>1ra Quincena Agosto - Angel Palacios</t>
  </si>
  <si>
    <t xml:space="preserve">1ra Quincena Agosto - Carlos Sanchez </t>
  </si>
  <si>
    <t>1ra Quincena Agosto - Jorge Gutierrez</t>
  </si>
  <si>
    <t>Jorge Paredes</t>
  </si>
  <si>
    <t xml:space="preserve">Gheni Delgado </t>
  </si>
  <si>
    <t xml:space="preserve">Carlos Avila </t>
  </si>
  <si>
    <t xml:space="preserve">Margot Medina </t>
  </si>
  <si>
    <t xml:space="preserve">Laura Herrera </t>
  </si>
  <si>
    <t>204/304</t>
  </si>
  <si>
    <t xml:space="preserve">Carlos Paz </t>
  </si>
  <si>
    <t>Juan Carlos Rengifo</t>
  </si>
  <si>
    <t xml:space="preserve">Angel Aguirre </t>
  </si>
  <si>
    <t xml:space="preserve">Emilio Garreaud </t>
  </si>
  <si>
    <t>Cuota de mantenimiento mayo, junio, julio y agosto</t>
  </si>
  <si>
    <t>Nombre</t>
  </si>
  <si>
    <t>AFP Prima Agosto 25</t>
  </si>
  <si>
    <t>AFP Profuturo Agosto 25</t>
  </si>
  <si>
    <t>Administración 1ra Quincena Agosto 25</t>
  </si>
  <si>
    <t xml:space="preserve">Depósitos a Giuliana Jara cuotas de mantenimiento </t>
  </si>
  <si>
    <t xml:space="preserve">Maria Elena Garreaud </t>
  </si>
  <si>
    <t xml:space="preserve">1er Adelanto Dr. Franco Gastos notariales </t>
  </si>
  <si>
    <t xml:space="preserve">Saldo Anterior </t>
  </si>
  <si>
    <t xml:space="preserve">Gastos notariales </t>
  </si>
  <si>
    <t>ITF</t>
  </si>
  <si>
    <t xml:space="preserve">Compras materiales de limpieza </t>
  </si>
  <si>
    <t xml:space="preserve">Depósitos a cuenta transitoria </t>
  </si>
  <si>
    <t xml:space="preserve">ITF </t>
  </si>
  <si>
    <t>Mantenimiento Setiembre 25</t>
  </si>
  <si>
    <t xml:space="preserve">Abono para pagos de quincena al personal </t>
  </si>
  <si>
    <t xml:space="preserve">Angel </t>
  </si>
  <si>
    <t xml:space="preserve">Julio </t>
  </si>
  <si>
    <t xml:space="preserve">Carlos </t>
  </si>
  <si>
    <t xml:space="preserve">Jorge </t>
  </si>
  <si>
    <t xml:space="preserve">Luis Eder Guimaray Peregrino </t>
  </si>
  <si>
    <t xml:space="preserve">Marquez - </t>
  </si>
  <si>
    <t>Eduardo alfr</t>
  </si>
  <si>
    <t xml:space="preserve">Velit </t>
  </si>
  <si>
    <t xml:space="preserve">Maria Elena </t>
  </si>
  <si>
    <t xml:space="preserve">Carlos Francisco </t>
  </si>
  <si>
    <t xml:space="preserve">Garcia Tejada Camilo </t>
  </si>
  <si>
    <t>delgado vda</t>
  </si>
  <si>
    <t>Santiago Es</t>
  </si>
  <si>
    <t xml:space="preserve">Miriam Flor Marimon Pacheco </t>
  </si>
  <si>
    <t>BBVA 0011-0660-0200053329</t>
  </si>
  <si>
    <t>BBVA</t>
  </si>
  <si>
    <t xml:space="preserve">Carlos Avila Bocanegra </t>
  </si>
  <si>
    <t>Mabel Ramirez Gonzalez</t>
  </si>
  <si>
    <t>mas gas</t>
  </si>
  <si>
    <t xml:space="preserve">Abonos de quincena al personal </t>
  </si>
  <si>
    <t>Apoyo recibos de gas - Julio 25</t>
  </si>
  <si>
    <t>BBVA 0011-0366020080971</t>
  </si>
  <si>
    <t xml:space="preserve">SUNAT </t>
  </si>
  <si>
    <t>Impuestos Agosto 25</t>
  </si>
  <si>
    <t>Ingreso de cuenta transitoria para pagos pendientes de quincena Setiembre 25</t>
  </si>
  <si>
    <t xml:space="preserve">Gas Madueño </t>
  </si>
  <si>
    <t xml:space="preserve">04 recibos </t>
  </si>
  <si>
    <t xml:space="preserve">Unidos Ascensores </t>
  </si>
  <si>
    <t xml:space="preserve">Contador </t>
  </si>
  <si>
    <t>Mes de agosto 25</t>
  </si>
  <si>
    <t xml:space="preserve">Junior </t>
  </si>
  <si>
    <t>Inf. Al sistema agosto 25</t>
  </si>
  <si>
    <t>Compra de bolsas 4 paquetes x100c/u</t>
  </si>
  <si>
    <t xml:space="preserve">Delivery de bolsas </t>
  </si>
  <si>
    <t xml:space="preserve">Compras varios: </t>
  </si>
  <si>
    <t xml:space="preserve">Adelanto de sueldo </t>
  </si>
  <si>
    <t>BCP 002-19417444883303-992</t>
  </si>
  <si>
    <t>Julio Iglesias DNI 80148915</t>
  </si>
  <si>
    <t>IBK 1073059751194</t>
  </si>
  <si>
    <t>IBK 1073043325411</t>
  </si>
  <si>
    <t>IBK 1073097921648</t>
  </si>
  <si>
    <t>Servicio de Agua - Diciembre 2025</t>
  </si>
  <si>
    <t xml:space="preserve">Sedapal </t>
  </si>
  <si>
    <t xml:space="preserve">Almacenes J&amp;SC EIRL </t>
  </si>
  <si>
    <t xml:space="preserve">Materiales de limpieza </t>
  </si>
  <si>
    <t>ORDEN DE PAGO - FEBRERO 2026 (PRIMERA QUINCENA)</t>
  </si>
  <si>
    <t>Consumo Enero 2026 17/02/2026</t>
  </si>
  <si>
    <t>Consumo Enero 20236 07/02/2026</t>
  </si>
  <si>
    <t>S107-0001719130</t>
  </si>
  <si>
    <t>Periodo  03/01/2026 - 04/02/2026</t>
  </si>
  <si>
    <t>Mes Enero - 2026</t>
  </si>
  <si>
    <t>Ticket-N°   5518587901</t>
  </si>
  <si>
    <t>Ticket- N°   3518587935</t>
  </si>
  <si>
    <t>Mes de Enero 26</t>
  </si>
  <si>
    <t xml:space="preserve">ELMER HUAMAN JARA </t>
  </si>
  <si>
    <t xml:space="preserve">Interbank </t>
  </si>
  <si>
    <t>274-3120672859</t>
  </si>
  <si>
    <t xml:space="preserve">Baño del personal - Caño jardinero Cimval </t>
  </si>
  <si>
    <t xml:space="preserve">y  mano de obra </t>
  </si>
  <si>
    <t>RI001</t>
  </si>
  <si>
    <t>Abonos realizados:</t>
  </si>
  <si>
    <t xml:space="preserve">Julio Iglesias </t>
  </si>
  <si>
    <t xml:space="preserve">Relevo vacaciones 15 días turno noche </t>
  </si>
  <si>
    <t xml:space="preserve">10pm a 7am </t>
  </si>
  <si>
    <t>Accesorios &amp; Ascensores SAC</t>
  </si>
  <si>
    <t xml:space="preserve">1er adelanto Mantenimiento correctivo </t>
  </si>
  <si>
    <t>Ascensor 1</t>
  </si>
  <si>
    <t xml:space="preserve">Distribuidora J&amp;D </t>
  </si>
  <si>
    <t xml:space="preserve">03 Paq. Bolsas para cilindro 240 ltrs </t>
  </si>
  <si>
    <t xml:space="preserve">Delivery bolsas </t>
  </si>
  <si>
    <t xml:space="preserve">Corporación Garrido </t>
  </si>
  <si>
    <t xml:space="preserve">10  fluorescentes 16W LED - áreas comunes </t>
  </si>
  <si>
    <t xml:space="preserve">Ferreteria kike EIRL </t>
  </si>
  <si>
    <t>WD 40</t>
  </si>
  <si>
    <t>05 focos 9w Opalux - Escaleras</t>
  </si>
  <si>
    <t xml:space="preserve">YDAVI EIRL </t>
  </si>
  <si>
    <t>E001-82</t>
  </si>
  <si>
    <t xml:space="preserve">Relevo vacaciones 14 días turno noche </t>
  </si>
  <si>
    <t xml:space="preserve">IKER FRED MARCOS MEZA </t>
  </si>
  <si>
    <t>Relevo (turno noche 01 día)</t>
  </si>
  <si>
    <t xml:space="preserve">Sábado 10 de febrero </t>
  </si>
  <si>
    <t xml:space="preserve">BCP 00219410443455404699 </t>
  </si>
  <si>
    <t>DNI 615116647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</si>
</sst>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sz val="14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4"/>
      <color theme="1"/>
      <name val="Calibri"/>
      <family val="2"/>
    </font>
    <font>
      <b/>
      <sz val="14"/>
      <color rgb="FFFFFFFF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C0504D"/>
        <bgColor indexed="64"/>
      </patternFill>
    </fill>
    <fill>
      <patternFill patternType="solid">
        <fgColor rgb="FFF2DBDB"/>
        <bgColor indexed="64"/>
      </patternFill>
    </fill>
    <fill>
      <patternFill patternType="solid">
        <fgColor rgb="FFDBE5F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0504D"/>
        <bgColor rgb="FFC0504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3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wrapText="1"/>
    </xf>
    <xf numFmtId="4" fontId="2" fillId="0" borderId="0" xfId="0" applyNumberFormat="1" applyFont="1" applyAlignment="1">
      <alignment horizontal="right" wrapText="1"/>
    </xf>
    <xf numFmtId="0" fontId="2" fillId="0" borderId="0" xfId="0" applyFont="1"/>
    <xf numFmtId="0" fontId="2" fillId="0" borderId="0" xfId="0" applyFont="1" applyAlignment="1">
      <alignment horizontal="center" wrapText="1"/>
    </xf>
    <xf numFmtId="4" fontId="1" fillId="0" borderId="0" xfId="0" applyNumberFormat="1" applyFont="1" applyAlignment="1">
      <alignment horizontal="right" wrapText="1"/>
    </xf>
    <xf numFmtId="0" fontId="2" fillId="0" borderId="0" xfId="0" applyFont="1" applyAlignment="1">
      <alignment horizontal="center"/>
    </xf>
    <xf numFmtId="14" fontId="2" fillId="0" borderId="0" xfId="0" applyNumberFormat="1" applyFont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 wrapText="1"/>
    </xf>
    <xf numFmtId="0" fontId="2" fillId="2" borderId="0" xfId="0" applyFont="1" applyFill="1" applyAlignment="1">
      <alignment horizontal="center" wrapText="1"/>
    </xf>
    <xf numFmtId="4" fontId="2" fillId="2" borderId="0" xfId="0" applyNumberFormat="1" applyFont="1" applyFill="1" applyAlignment="1">
      <alignment horizontal="right" wrapText="1"/>
    </xf>
    <xf numFmtId="0" fontId="2" fillId="0" borderId="0" xfId="0" applyFont="1" applyAlignment="1">
      <alignment horizontal="left" vertical="center"/>
    </xf>
    <xf numFmtId="0" fontId="2" fillId="4" borderId="0" xfId="0" applyFont="1" applyFill="1" applyAlignment="1">
      <alignment horizontal="left" vertical="center"/>
    </xf>
    <xf numFmtId="0" fontId="2" fillId="4" borderId="0" xfId="0" applyFont="1" applyFill="1" applyAlignment="1">
      <alignment horizontal="center" wrapText="1"/>
    </xf>
    <xf numFmtId="0" fontId="4" fillId="0" borderId="0" xfId="0" applyFont="1" applyAlignment="1">
      <alignment horizontal="left" vertical="center"/>
    </xf>
    <xf numFmtId="0" fontId="3" fillId="2" borderId="0" xfId="0" applyFont="1" applyFill="1" applyAlignment="1">
      <alignment vertical="center" wrapText="1"/>
    </xf>
    <xf numFmtId="0" fontId="2" fillId="2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horizontal="center" vertical="center" wrapText="1"/>
    </xf>
    <xf numFmtId="4" fontId="2" fillId="2" borderId="0" xfId="0" applyNumberFormat="1" applyFont="1" applyFill="1" applyAlignment="1">
      <alignment horizontal="right" vertical="center" wrapText="1"/>
    </xf>
    <xf numFmtId="0" fontId="2" fillId="0" borderId="0" xfId="0" applyFont="1" applyAlignment="1">
      <alignment horizontal="center" vertical="center"/>
    </xf>
    <xf numFmtId="0" fontId="2" fillId="3" borderId="0" xfId="0" applyFont="1" applyFill="1" applyAlignment="1">
      <alignment horizontal="left" wrapText="1"/>
    </xf>
    <xf numFmtId="0" fontId="2" fillId="3" borderId="0" xfId="0" applyFont="1" applyFill="1" applyAlignment="1">
      <alignment horizontal="center" wrapText="1"/>
    </xf>
    <xf numFmtId="0" fontId="1" fillId="3" borderId="0" xfId="0" applyFont="1" applyFill="1" applyAlignment="1">
      <alignment horizontal="left" vertical="center"/>
    </xf>
    <xf numFmtId="4" fontId="2" fillId="3" borderId="0" xfId="0" applyNumberFormat="1" applyFont="1" applyFill="1" applyAlignment="1">
      <alignment horizontal="right" wrapText="1"/>
    </xf>
    <xf numFmtId="0" fontId="1" fillId="3" borderId="0" xfId="0" applyFont="1" applyFill="1" applyAlignment="1">
      <alignment horizontal="left" wrapText="1"/>
    </xf>
    <xf numFmtId="0" fontId="2" fillId="0" borderId="0" xfId="0" applyFont="1" applyAlignment="1">
      <alignment horizontal="left"/>
    </xf>
    <xf numFmtId="4" fontId="2" fillId="0" borderId="0" xfId="0" applyNumberFormat="1" applyFont="1" applyAlignment="1">
      <alignment horizontal="right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right"/>
    </xf>
    <xf numFmtId="14" fontId="2" fillId="0" borderId="0" xfId="0" applyNumberFormat="1" applyFont="1" applyAlignment="1">
      <alignment horizontal="left"/>
    </xf>
    <xf numFmtId="4" fontId="2" fillId="0" borderId="0" xfId="0" applyNumberFormat="1" applyFont="1"/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wrapText="1"/>
    </xf>
    <xf numFmtId="0" fontId="6" fillId="0" borderId="0" xfId="0" applyFont="1" applyAlignment="1">
      <alignment wrapText="1"/>
    </xf>
    <xf numFmtId="4" fontId="6" fillId="0" borderId="0" xfId="0" applyNumberFormat="1" applyFont="1" applyAlignment="1">
      <alignment horizontal="center" wrapText="1"/>
    </xf>
    <xf numFmtId="0" fontId="6" fillId="0" borderId="0" xfId="0" applyFont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 wrapText="1"/>
    </xf>
    <xf numFmtId="4" fontId="5" fillId="0" borderId="0" xfId="0" applyNumberFormat="1" applyFont="1" applyAlignment="1">
      <alignment horizontal="center" wrapText="1"/>
    </xf>
    <xf numFmtId="0" fontId="7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left" wrapText="1"/>
    </xf>
    <xf numFmtId="0" fontId="6" fillId="2" borderId="0" xfId="0" applyFont="1" applyFill="1" applyAlignment="1">
      <alignment horizontal="center" wrapText="1"/>
    </xf>
    <xf numFmtId="14" fontId="6" fillId="0" borderId="0" xfId="0" applyNumberFormat="1" applyFont="1" applyAlignment="1">
      <alignment horizontal="left" wrapText="1"/>
    </xf>
    <xf numFmtId="0" fontId="6" fillId="0" borderId="0" xfId="0" applyFont="1" applyAlignment="1">
      <alignment horizontal="left" vertical="center"/>
    </xf>
    <xf numFmtId="0" fontId="5" fillId="0" borderId="0" xfId="0" applyFont="1"/>
    <xf numFmtId="0" fontId="6" fillId="0" borderId="0" xfId="0" applyFont="1" applyAlignment="1">
      <alignment horizontal="center" vertical="center"/>
    </xf>
    <xf numFmtId="4" fontId="6" fillId="0" borderId="0" xfId="0" applyNumberFormat="1" applyFont="1" applyAlignment="1">
      <alignment horizontal="center"/>
    </xf>
    <xf numFmtId="4" fontId="6" fillId="0" borderId="0" xfId="0" applyNumberFormat="1" applyFont="1"/>
    <xf numFmtId="0" fontId="5" fillId="0" borderId="0" xfId="0" applyFont="1" applyAlignment="1">
      <alignment horizontal="left" wrapText="1"/>
    </xf>
    <xf numFmtId="0" fontId="6" fillId="0" borderId="0" xfId="0" applyFont="1" applyAlignment="1">
      <alignment horizontal="left"/>
    </xf>
    <xf numFmtId="4" fontId="6" fillId="5" borderId="0" xfId="0" applyNumberFormat="1" applyFont="1" applyFill="1" applyAlignment="1">
      <alignment horizontal="center"/>
    </xf>
    <xf numFmtId="0" fontId="4" fillId="0" borderId="0" xfId="0" applyFont="1" applyAlignment="1">
      <alignment horizontal="left" wrapText="1"/>
    </xf>
    <xf numFmtId="17" fontId="0" fillId="0" borderId="0" xfId="0" applyNumberFormat="1"/>
    <xf numFmtId="4" fontId="2" fillId="0" borderId="0" xfId="0" applyNumberFormat="1" applyFont="1" applyAlignment="1">
      <alignment horizontal="center" vertical="center"/>
    </xf>
    <xf numFmtId="4" fontId="1" fillId="0" borderId="0" xfId="0" applyNumberFormat="1" applyFont="1" applyAlignment="1">
      <alignment horizontal="center" vertical="center"/>
    </xf>
    <xf numFmtId="14" fontId="2" fillId="0" borderId="0" xfId="0" applyNumberFormat="1" applyFont="1" applyAlignment="1">
      <alignment horizontal="center"/>
    </xf>
    <xf numFmtId="4" fontId="2" fillId="0" borderId="0" xfId="0" applyNumberFormat="1" applyFont="1" applyAlignment="1">
      <alignment horizontal="center"/>
    </xf>
    <xf numFmtId="0" fontId="2" fillId="6" borderId="0" xfId="0" applyFont="1" applyFill="1" applyAlignment="1">
      <alignment horizontal="left" vertical="center"/>
    </xf>
    <xf numFmtId="0" fontId="2" fillId="6" borderId="0" xfId="0" applyFont="1" applyFill="1" applyAlignment="1">
      <alignment horizontal="center" wrapText="1"/>
    </xf>
    <xf numFmtId="4" fontId="0" fillId="0" borderId="0" xfId="0" applyNumberFormat="1"/>
    <xf numFmtId="14" fontId="2" fillId="0" borderId="0" xfId="0" applyNumberFormat="1" applyFont="1" applyAlignment="1">
      <alignment horizontal="center" vertical="center" wrapText="1"/>
    </xf>
    <xf numFmtId="4" fontId="2" fillId="5" borderId="0" xfId="0" applyNumberFormat="1" applyFont="1" applyFill="1" applyAlignment="1">
      <alignment horizontal="right" wrapText="1"/>
    </xf>
    <xf numFmtId="4" fontId="2" fillId="0" borderId="0" xfId="0" applyNumberFormat="1" applyFont="1" applyAlignment="1">
      <alignment wrapText="1"/>
    </xf>
    <xf numFmtId="0" fontId="1" fillId="5" borderId="0" xfId="0" applyFont="1" applyFill="1" applyAlignment="1">
      <alignment horizontal="left"/>
    </xf>
    <xf numFmtId="0" fontId="2" fillId="5" borderId="0" xfId="0" applyFont="1" applyFill="1" applyAlignment="1">
      <alignment horizontal="left"/>
    </xf>
    <xf numFmtId="4" fontId="2" fillId="5" borderId="0" xfId="0" applyNumberFormat="1" applyFont="1" applyFill="1" applyAlignment="1">
      <alignment horizontal="right"/>
    </xf>
    <xf numFmtId="14" fontId="2" fillId="0" borderId="0" xfId="0" applyNumberFormat="1" applyFont="1"/>
    <xf numFmtId="14" fontId="2" fillId="0" borderId="0" xfId="0" applyNumberFormat="1" applyFont="1" applyAlignment="1">
      <alignment horizontal="right"/>
    </xf>
    <xf numFmtId="0" fontId="2" fillId="5" borderId="0" xfId="0" applyFont="1" applyFill="1"/>
    <xf numFmtId="4" fontId="2" fillId="5" borderId="0" xfId="0" applyNumberFormat="1" applyFont="1" applyFill="1"/>
    <xf numFmtId="14" fontId="2" fillId="5" borderId="0" xfId="0" applyNumberFormat="1" applyFont="1" applyFill="1" applyAlignment="1">
      <alignment horizontal="center" vertical="center"/>
    </xf>
    <xf numFmtId="4" fontId="8" fillId="0" borderId="0" xfId="0" applyNumberFormat="1" applyFont="1"/>
    <xf numFmtId="0" fontId="9" fillId="7" borderId="0" xfId="0" applyFont="1" applyFill="1"/>
    <xf numFmtId="0" fontId="2" fillId="2" borderId="0" xfId="0" applyFont="1" applyFill="1" applyAlignment="1">
      <alignment wrapText="1"/>
    </xf>
    <xf numFmtId="0" fontId="1" fillId="3" borderId="0" xfId="0" applyFont="1" applyFill="1" applyAlignment="1">
      <alignment vertical="center"/>
    </xf>
    <xf numFmtId="0" fontId="2" fillId="3" borderId="0" xfId="0" applyFont="1" applyFill="1" applyAlignment="1">
      <alignment wrapText="1"/>
    </xf>
    <xf numFmtId="0" fontId="1" fillId="3" borderId="0" xfId="0" applyFont="1" applyFill="1" applyAlignment="1">
      <alignment wrapText="1"/>
    </xf>
    <xf numFmtId="4" fontId="2" fillId="5" borderId="0" xfId="0" applyNumberFormat="1" applyFont="1" applyFill="1" applyAlignment="1">
      <alignment horizontal="right" vertical="center" wrapText="1"/>
    </xf>
    <xf numFmtId="4" fontId="8" fillId="5" borderId="0" xfId="0" applyNumberFormat="1" applyFont="1" applyFill="1"/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10</xdr:row>
      <xdr:rowOff>0</xdr:rowOff>
    </xdr:from>
    <xdr:to>
      <xdr:col>12</xdr:col>
      <xdr:colOff>304800</xdr:colOff>
      <xdr:row>11</xdr:row>
      <xdr:rowOff>76200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77450824-9C79-B159-1E95-B68518104612}"/>
            </a:ext>
          </a:extLst>
        </xdr:cNvPr>
        <xdr:cNvSpPr>
          <a:spLocks noChangeAspect="1" noChangeArrowheads="1"/>
        </xdr:cNvSpPr>
      </xdr:nvSpPr>
      <xdr:spPr bwMode="auto">
        <a:xfrm>
          <a:off x="13495020" y="205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12</xdr:col>
      <xdr:colOff>0</xdr:colOff>
      <xdr:row>7</xdr:row>
      <xdr:rowOff>0</xdr:rowOff>
    </xdr:from>
    <xdr:to>
      <xdr:col>12</xdr:col>
      <xdr:colOff>304800</xdr:colOff>
      <xdr:row>8</xdr:row>
      <xdr:rowOff>76200</xdr:rowOff>
    </xdr:to>
    <xdr:sp macro="" textlink="">
      <xdr:nvSpPr>
        <xdr:cNvPr id="1026" name="AutoShape 2">
          <a:extLst>
            <a:ext uri="{FF2B5EF4-FFF2-40B4-BE49-F238E27FC236}">
              <a16:creationId xmlns:a16="http://schemas.microsoft.com/office/drawing/2014/main" id="{C49CC46F-19CB-8BA5-58DD-3E03B820E6ED}"/>
            </a:ext>
          </a:extLst>
        </xdr:cNvPr>
        <xdr:cNvSpPr>
          <a:spLocks noChangeAspect="1" noChangeArrowheads="1"/>
        </xdr:cNvSpPr>
      </xdr:nvSpPr>
      <xdr:spPr bwMode="auto">
        <a:xfrm>
          <a:off x="13495020" y="137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11</xdr:row>
      <xdr:rowOff>0</xdr:rowOff>
    </xdr:from>
    <xdr:to>
      <xdr:col>11</xdr:col>
      <xdr:colOff>304800</xdr:colOff>
      <xdr:row>12</xdr:row>
      <xdr:rowOff>76200</xdr:rowOff>
    </xdr:to>
    <xdr:sp macro="" textlink="">
      <xdr:nvSpPr>
        <xdr:cNvPr id="1029" name="AutoShape 5">
          <a:extLst>
            <a:ext uri="{FF2B5EF4-FFF2-40B4-BE49-F238E27FC236}">
              <a16:creationId xmlns:a16="http://schemas.microsoft.com/office/drawing/2014/main" id="{BEB318D8-FE1A-2B4A-6825-A87232621A6C}"/>
            </a:ext>
          </a:extLst>
        </xdr:cNvPr>
        <xdr:cNvSpPr>
          <a:spLocks noChangeAspect="1" noChangeArrowheads="1"/>
        </xdr:cNvSpPr>
      </xdr:nvSpPr>
      <xdr:spPr bwMode="auto">
        <a:xfrm>
          <a:off x="12428220" y="228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18</xdr:col>
      <xdr:colOff>0</xdr:colOff>
      <xdr:row>1</xdr:row>
      <xdr:rowOff>0</xdr:rowOff>
    </xdr:from>
    <xdr:to>
      <xdr:col>18</xdr:col>
      <xdr:colOff>304800</xdr:colOff>
      <xdr:row>2</xdr:row>
      <xdr:rowOff>76200</xdr:rowOff>
    </xdr:to>
    <xdr:sp macro="" textlink="">
      <xdr:nvSpPr>
        <xdr:cNvPr id="1032" name="AutoShape 8">
          <a:extLst>
            <a:ext uri="{FF2B5EF4-FFF2-40B4-BE49-F238E27FC236}">
              <a16:creationId xmlns:a16="http://schemas.microsoft.com/office/drawing/2014/main" id="{114CDE85-26E2-0664-5E1F-9D4BB08DABA5}"/>
            </a:ext>
          </a:extLst>
        </xdr:cNvPr>
        <xdr:cNvSpPr>
          <a:spLocks noChangeAspect="1" noChangeArrowheads="1"/>
        </xdr:cNvSpPr>
      </xdr:nvSpPr>
      <xdr:spPr bwMode="auto">
        <a:xfrm>
          <a:off x="18249900" y="22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368300</xdr:colOff>
      <xdr:row>1</xdr:row>
      <xdr:rowOff>127000</xdr:rowOff>
    </xdr:from>
    <xdr:to>
      <xdr:col>18</xdr:col>
      <xdr:colOff>660399</xdr:colOff>
      <xdr:row>28</xdr:row>
      <xdr:rowOff>43193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C4AA42E-C2E4-6880-C94E-899CD8FEBB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500600" y="355600"/>
          <a:ext cx="2654299" cy="59486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88900</xdr:colOff>
      <xdr:row>2</xdr:row>
      <xdr:rowOff>1</xdr:rowOff>
    </xdr:from>
    <xdr:to>
      <xdr:col>15</xdr:col>
      <xdr:colOff>279400</xdr:colOff>
      <xdr:row>29</xdr:row>
      <xdr:rowOff>4168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3E40E2F-0DAB-FFB9-B128-C95FA1FDCB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732000" y="457201"/>
          <a:ext cx="2679700" cy="600562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0</xdr:colOff>
      <xdr:row>1</xdr:row>
      <xdr:rowOff>0</xdr:rowOff>
    </xdr:from>
    <xdr:to>
      <xdr:col>22</xdr:col>
      <xdr:colOff>407108</xdr:colOff>
      <xdr:row>28</xdr:row>
      <xdr:rowOff>177800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379E347A-0EC4-97E3-E429-B508B87430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81900" y="228600"/>
          <a:ext cx="2769307" cy="6210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546100</xdr:colOff>
      <xdr:row>0</xdr:row>
      <xdr:rowOff>203201</xdr:rowOff>
    </xdr:from>
    <xdr:to>
      <xdr:col>26</xdr:col>
      <xdr:colOff>76199</xdr:colOff>
      <xdr:row>27</xdr:row>
      <xdr:rowOff>154654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15074345-D528-1DC5-F72C-B33718A430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190200" y="203201"/>
          <a:ext cx="2679700" cy="60093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76200</xdr:colOff>
      <xdr:row>30</xdr:row>
      <xdr:rowOff>25400</xdr:rowOff>
    </xdr:from>
    <xdr:to>
      <xdr:col>15</xdr:col>
      <xdr:colOff>317500</xdr:colOff>
      <xdr:row>54</xdr:row>
      <xdr:rowOff>153133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5404B519-9FEF-394C-C205-7127F6B3EA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719300" y="6692900"/>
          <a:ext cx="2730500" cy="56141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08240-9AA1-40F5-A424-16DFC2905C04}">
  <sheetPr>
    <pageSetUpPr fitToPage="1"/>
  </sheetPr>
  <dimension ref="A1:AE110"/>
  <sheetViews>
    <sheetView tabSelected="1" zoomScale="90" zoomScaleNormal="90" workbookViewId="0">
      <selection activeCell="I48" sqref="I48"/>
    </sheetView>
  </sheetViews>
  <sheetFormatPr baseColWidth="10" defaultColWidth="11.5" defaultRowHeight="19" x14ac:dyDescent="0.25"/>
  <cols>
    <col min="1" max="1" width="18.33203125" style="28" customWidth="1"/>
    <col min="2" max="2" width="20" style="28" customWidth="1"/>
    <col min="3" max="3" width="36.33203125" style="5" customWidth="1"/>
    <col min="4" max="4" width="56" style="28" bestFit="1" customWidth="1"/>
    <col min="5" max="6" width="5.1640625" style="5" customWidth="1"/>
    <col min="7" max="7" width="8.1640625" style="5" customWidth="1"/>
    <col min="8" max="8" width="11.5" style="29"/>
    <col min="9" max="9" width="13.5" style="29" customWidth="1"/>
    <col min="10" max="10" width="16.83203125" style="56" bestFit="1" customWidth="1"/>
    <col min="11" max="11" width="5.5" style="5" customWidth="1"/>
    <col min="12" max="15" width="9.1640625" style="33" customWidth="1"/>
    <col min="16" max="16384" width="11.5" style="5"/>
  </cols>
  <sheetData>
    <row r="1" spans="1:31" x14ac:dyDescent="0.25">
      <c r="A1" s="1" t="s">
        <v>12</v>
      </c>
      <c r="B1" s="2"/>
      <c r="C1" s="3"/>
      <c r="D1" s="2"/>
      <c r="E1" s="3"/>
      <c r="F1" s="3"/>
      <c r="G1" s="3"/>
      <c r="H1" s="4"/>
      <c r="I1" s="4"/>
      <c r="K1"/>
      <c r="AE1"/>
    </row>
    <row r="2" spans="1:31" s="8" customFormat="1" ht="20" x14ac:dyDescent="0.25">
      <c r="A2" s="1" t="s">
        <v>105</v>
      </c>
      <c r="B2" s="2"/>
      <c r="C2" s="6"/>
      <c r="D2" s="2"/>
      <c r="E2" s="6"/>
      <c r="F2" s="6"/>
      <c r="G2" s="6"/>
      <c r="H2" s="7" t="s">
        <v>0</v>
      </c>
      <c r="I2" s="7">
        <f>SUM(I3:I47)</f>
        <v>9877.993333333332</v>
      </c>
      <c r="J2" s="57" t="s">
        <v>14</v>
      </c>
      <c r="K2"/>
      <c r="L2"/>
      <c r="M2" s="59"/>
      <c r="N2" s="59"/>
      <c r="O2" s="62"/>
      <c r="P2"/>
      <c r="S2"/>
      <c r="T2"/>
      <c r="V2"/>
      <c r="X2"/>
      <c r="Y2"/>
    </row>
    <row r="3" spans="1:31" s="8" customFormat="1" x14ac:dyDescent="0.25">
      <c r="A3" s="2"/>
      <c r="B3" s="2"/>
      <c r="C3" s="6"/>
      <c r="D3" s="2"/>
      <c r="E3" s="6"/>
      <c r="F3" s="6"/>
      <c r="G3" s="6"/>
      <c r="H3" s="4"/>
      <c r="I3" s="4"/>
      <c r="J3" s="9"/>
      <c r="L3"/>
      <c r="M3" s="59"/>
      <c r="N3" s="59"/>
      <c r="O3" s="59"/>
      <c r="Q3"/>
      <c r="R3"/>
      <c r="X3"/>
    </row>
    <row r="4" spans="1:31" s="8" customFormat="1" x14ac:dyDescent="0.25">
      <c r="A4" s="10" t="s">
        <v>13</v>
      </c>
      <c r="B4" s="11"/>
      <c r="C4" s="12"/>
      <c r="D4" s="11"/>
      <c r="E4" s="12"/>
      <c r="F4" s="12"/>
      <c r="G4" s="12"/>
      <c r="H4" s="13"/>
      <c r="I4" s="64">
        <f>SUM(H5:H9)</f>
        <v>2653.333333333333</v>
      </c>
      <c r="J4" s="9"/>
      <c r="K4"/>
      <c r="L4" s="62"/>
      <c r="M4" s="59"/>
      <c r="N4" s="59"/>
      <c r="O4" s="59"/>
      <c r="T4"/>
    </row>
    <row r="5" spans="1:31" s="8" customFormat="1" ht="20" x14ac:dyDescent="0.25">
      <c r="A5" s="2"/>
      <c r="B5" s="14" t="s">
        <v>97</v>
      </c>
      <c r="C5" s="6" t="s">
        <v>96</v>
      </c>
      <c r="D5" s="14" t="s">
        <v>1</v>
      </c>
      <c r="E5" s="6"/>
      <c r="F5" s="6"/>
      <c r="G5" s="6"/>
      <c r="H5" s="64">
        <v>500</v>
      </c>
      <c r="I5" s="4"/>
      <c r="J5" s="59">
        <f>H5+H6</f>
        <v>1153.3333333333333</v>
      </c>
      <c r="K5" s="63"/>
      <c r="L5" s="62"/>
      <c r="M5" s="59"/>
      <c r="N5" s="59"/>
      <c r="O5" s="59"/>
    </row>
    <row r="6" spans="1:31" s="8" customFormat="1" x14ac:dyDescent="0.25">
      <c r="A6" s="2"/>
      <c r="B6" s="14"/>
      <c r="C6" s="6"/>
      <c r="D6" s="33" t="s">
        <v>137</v>
      </c>
      <c r="E6" s="6"/>
      <c r="F6" s="6"/>
      <c r="G6" s="6"/>
      <c r="H6" s="64">
        <f>700/15*14</f>
        <v>653.33333333333326</v>
      </c>
      <c r="I6" s="4"/>
      <c r="J6" s="59"/>
      <c r="K6" s="63"/>
      <c r="L6" s="62"/>
      <c r="M6" s="59"/>
      <c r="N6" s="59"/>
      <c r="O6" s="59"/>
    </row>
    <row r="7" spans="1:31" s="8" customFormat="1" ht="20" x14ac:dyDescent="0.25">
      <c r="A7" s="2"/>
      <c r="B7" s="15" t="s">
        <v>2</v>
      </c>
      <c r="C7" s="16" t="s">
        <v>98</v>
      </c>
      <c r="D7" s="15" t="s">
        <v>95</v>
      </c>
      <c r="E7" s="16"/>
      <c r="F7" s="16"/>
      <c r="G7" s="16"/>
      <c r="H7" s="64">
        <v>500</v>
      </c>
      <c r="I7" s="4"/>
      <c r="J7" s="59">
        <f>H7</f>
        <v>500</v>
      </c>
      <c r="K7" s="63"/>
      <c r="L7" s="59"/>
      <c r="M7" s="59"/>
      <c r="N7" s="59"/>
      <c r="O7" s="59"/>
    </row>
    <row r="8" spans="1:31" s="8" customFormat="1" ht="20" x14ac:dyDescent="0.25">
      <c r="A8" s="2"/>
      <c r="B8" s="14" t="s">
        <v>3</v>
      </c>
      <c r="C8" s="6" t="s">
        <v>99</v>
      </c>
      <c r="D8" s="14" t="s">
        <v>95</v>
      </c>
      <c r="E8" s="6"/>
      <c r="F8" s="6"/>
      <c r="G8" s="6"/>
      <c r="H8" s="64">
        <v>500</v>
      </c>
      <c r="I8" s="4"/>
      <c r="J8" s="59">
        <f>H8</f>
        <v>500</v>
      </c>
      <c r="K8" s="63"/>
      <c r="L8" s="59"/>
      <c r="M8" s="62"/>
      <c r="N8" s="59"/>
      <c r="O8" s="59"/>
    </row>
    <row r="9" spans="1:31" s="8" customFormat="1" ht="20" x14ac:dyDescent="0.25">
      <c r="A9" s="2"/>
      <c r="B9" s="15" t="s">
        <v>4</v>
      </c>
      <c r="C9" s="61" t="s">
        <v>100</v>
      </c>
      <c r="D9" s="60" t="s">
        <v>95</v>
      </c>
      <c r="E9" s="16"/>
      <c r="F9" s="16"/>
      <c r="G9" s="16"/>
      <c r="H9" s="64">
        <v>500</v>
      </c>
      <c r="I9" s="4"/>
      <c r="J9" s="59">
        <f>H9</f>
        <v>500</v>
      </c>
      <c r="K9" s="63"/>
      <c r="L9" s="59"/>
      <c r="M9" s="59"/>
      <c r="N9" s="59"/>
      <c r="O9" s="59"/>
    </row>
    <row r="10" spans="1:31" s="8" customFormat="1" x14ac:dyDescent="0.25">
      <c r="A10" s="10" t="s">
        <v>5</v>
      </c>
      <c r="B10" s="11"/>
      <c r="C10" s="12"/>
      <c r="D10" s="11"/>
      <c r="E10" s="12"/>
      <c r="F10" s="12"/>
      <c r="G10" s="12"/>
      <c r="H10" s="13"/>
      <c r="I10" s="64">
        <f>SUM(H11:H13)</f>
        <v>1983.5</v>
      </c>
      <c r="J10" s="9"/>
      <c r="L10" s="59"/>
      <c r="M10" s="59"/>
      <c r="N10" s="59"/>
      <c r="O10" s="59"/>
      <c r="AD10"/>
    </row>
    <row r="11" spans="1:31" s="8" customFormat="1" x14ac:dyDescent="0.25">
      <c r="A11" s="2"/>
      <c r="B11" s="2">
        <v>1466143</v>
      </c>
      <c r="C11" s="6"/>
      <c r="D11" s="14" t="s">
        <v>106</v>
      </c>
      <c r="E11" s="6"/>
      <c r="F11" s="6"/>
      <c r="G11" s="6"/>
      <c r="H11" s="4">
        <v>1494.2</v>
      </c>
      <c r="I11" s="4"/>
      <c r="J11" s="58"/>
      <c r="L11" s="59"/>
      <c r="M11" s="62"/>
      <c r="N11" s="59"/>
      <c r="O11" s="59"/>
    </row>
    <row r="12" spans="1:31" s="8" customFormat="1" x14ac:dyDescent="0.25">
      <c r="A12" s="2"/>
      <c r="B12" s="2">
        <v>1446699</v>
      </c>
      <c r="C12" s="6"/>
      <c r="D12" s="14" t="s">
        <v>107</v>
      </c>
      <c r="E12" s="6"/>
      <c r="F12" s="6"/>
      <c r="G12" s="6"/>
      <c r="H12" s="4">
        <v>471.8</v>
      </c>
      <c r="I12" s="4"/>
      <c r="J12" s="9"/>
      <c r="L12" s="62"/>
      <c r="M12" s="59"/>
      <c r="N12" s="59"/>
      <c r="O12" s="59"/>
    </row>
    <row r="13" spans="1:31" s="8" customFormat="1" x14ac:dyDescent="0.25">
      <c r="A13" s="2"/>
      <c r="B13" s="2">
        <v>1466144</v>
      </c>
      <c r="C13" s="6"/>
      <c r="D13" s="14" t="s">
        <v>106</v>
      </c>
      <c r="E13" s="6"/>
      <c r="F13" s="6"/>
      <c r="G13" s="6"/>
      <c r="H13" s="4">
        <v>17.5</v>
      </c>
      <c r="I13" s="4"/>
      <c r="J13" s="9"/>
      <c r="L13" s="59"/>
      <c r="M13" s="59"/>
      <c r="N13" s="59"/>
      <c r="O13" s="59"/>
    </row>
    <row r="14" spans="1:31" s="8" customFormat="1" x14ac:dyDescent="0.25">
      <c r="A14" s="2"/>
      <c r="B14" s="2"/>
      <c r="C14" s="6"/>
      <c r="D14" s="2"/>
      <c r="E14" s="6"/>
      <c r="F14" s="6"/>
      <c r="G14" s="6"/>
      <c r="H14" s="4"/>
      <c r="I14" s="4"/>
      <c r="J14" s="9"/>
      <c r="L14" s="59"/>
      <c r="M14" s="59"/>
      <c r="N14" s="59"/>
      <c r="O14" s="59"/>
    </row>
    <row r="15" spans="1:31" s="8" customFormat="1" x14ac:dyDescent="0.25">
      <c r="A15" s="10" t="s">
        <v>6</v>
      </c>
      <c r="B15" s="11"/>
      <c r="C15" s="12"/>
      <c r="D15" s="11"/>
      <c r="E15" s="12"/>
      <c r="F15" s="12"/>
      <c r="G15" s="12"/>
      <c r="H15" s="13"/>
      <c r="I15" s="64">
        <f>SUM(H16)</f>
        <v>2988.5</v>
      </c>
      <c r="J15" s="9"/>
      <c r="L15" s="59"/>
      <c r="M15" s="59"/>
      <c r="N15" s="59"/>
      <c r="O15" s="59"/>
    </row>
    <row r="16" spans="1:31" s="8" customFormat="1" x14ac:dyDescent="0.25">
      <c r="A16" s="2"/>
      <c r="B16" s="14" t="s">
        <v>108</v>
      </c>
      <c r="C16" s="6"/>
      <c r="D16" s="14" t="s">
        <v>101</v>
      </c>
      <c r="E16" s="6"/>
      <c r="F16" s="6"/>
      <c r="G16" s="6"/>
      <c r="H16" s="4">
        <v>2988.5</v>
      </c>
      <c r="I16" s="4"/>
      <c r="J16" s="9"/>
      <c r="L16" s="59"/>
      <c r="M16" s="59"/>
      <c r="N16" s="59"/>
      <c r="O16" s="59"/>
    </row>
    <row r="17" spans="1:30" s="8" customFormat="1" x14ac:dyDescent="0.25">
      <c r="A17" s="2"/>
      <c r="B17" s="2">
        <v>5375398</v>
      </c>
      <c r="C17" s="6"/>
      <c r="D17" s="17" t="s">
        <v>109</v>
      </c>
      <c r="E17" s="6"/>
      <c r="F17" s="6"/>
      <c r="G17" s="6"/>
      <c r="H17" s="4"/>
      <c r="I17" s="4"/>
      <c r="J17" s="9"/>
      <c r="L17" s="59"/>
      <c r="M17" s="59"/>
      <c r="N17" s="59"/>
      <c r="O17" s="59"/>
    </row>
    <row r="18" spans="1:30" s="8" customFormat="1" x14ac:dyDescent="0.25">
      <c r="A18" s="2"/>
      <c r="B18" s="2"/>
      <c r="C18" s="6"/>
      <c r="D18" s="2"/>
      <c r="E18" s="6"/>
      <c r="F18" s="6"/>
      <c r="G18" s="6"/>
      <c r="H18" s="4"/>
      <c r="I18" s="4"/>
      <c r="J18" s="9"/>
      <c r="L18" s="59"/>
      <c r="M18" s="59"/>
      <c r="N18" s="59"/>
      <c r="O18" s="59"/>
    </row>
    <row r="19" spans="1:30" s="22" customFormat="1" ht="17.5" customHeight="1" x14ac:dyDescent="0.2">
      <c r="A19" s="18" t="s">
        <v>15</v>
      </c>
      <c r="B19" s="19"/>
      <c r="C19" s="20"/>
      <c r="D19" s="19"/>
      <c r="E19" s="20"/>
      <c r="F19" s="20"/>
      <c r="G19" s="20"/>
      <c r="H19" s="21"/>
      <c r="I19" s="80">
        <f>H21+H23</f>
        <v>540.16000000000008</v>
      </c>
      <c r="J19" s="56">
        <f>SUM(I19,I26)</f>
        <v>967.16000000000008</v>
      </c>
      <c r="L19" s="56"/>
      <c r="M19" s="56"/>
      <c r="N19" s="56"/>
      <c r="O19" s="56"/>
    </row>
    <row r="20" spans="1:30" ht="20" x14ac:dyDescent="0.25">
      <c r="A20" s="25" t="s">
        <v>81</v>
      </c>
      <c r="B20" s="23"/>
      <c r="C20" s="24"/>
      <c r="D20" s="27" t="s">
        <v>17</v>
      </c>
      <c r="E20" s="24"/>
      <c r="F20" s="24"/>
      <c r="G20" s="24"/>
      <c r="H20" s="26"/>
      <c r="I20" s="4"/>
      <c r="J20" s="4"/>
    </row>
    <row r="21" spans="1:30" s="8" customFormat="1" ht="20" x14ac:dyDescent="0.25">
      <c r="A21" s="2"/>
      <c r="B21" s="2" t="s">
        <v>8</v>
      </c>
      <c r="C21" s="6"/>
      <c r="D21" s="14" t="s">
        <v>110</v>
      </c>
      <c r="E21" s="6"/>
      <c r="F21" s="6"/>
      <c r="G21" s="6"/>
      <c r="H21" s="4">
        <v>257.22000000000003</v>
      </c>
      <c r="I21" s="4"/>
      <c r="L21" s="59"/>
      <c r="M21" s="59"/>
      <c r="N21" s="59"/>
      <c r="O21" s="59"/>
    </row>
    <row r="22" spans="1:30" s="8" customFormat="1" ht="16.25" customHeight="1" x14ac:dyDescent="0.25">
      <c r="A22" s="2"/>
      <c r="B22" s="2"/>
      <c r="C22" s="6"/>
      <c r="D22" s="54" t="s">
        <v>111</v>
      </c>
      <c r="E22" s="6"/>
      <c r="F22" s="6"/>
      <c r="G22" s="6"/>
      <c r="H22" s="4"/>
      <c r="I22" s="4"/>
      <c r="J22" s="9"/>
      <c r="L22" s="59"/>
      <c r="M22" s="59"/>
      <c r="N22" s="59"/>
      <c r="O22" s="59"/>
      <c r="R22"/>
    </row>
    <row r="23" spans="1:30" s="8" customFormat="1" x14ac:dyDescent="0.25">
      <c r="A23" s="2"/>
      <c r="B23" s="14" t="s">
        <v>9</v>
      </c>
      <c r="C23" s="6"/>
      <c r="D23" s="14" t="s">
        <v>110</v>
      </c>
      <c r="E23" s="6"/>
      <c r="F23" s="6"/>
      <c r="G23" s="6"/>
      <c r="H23" s="4">
        <v>282.94</v>
      </c>
      <c r="I23" s="4"/>
      <c r="L23" s="59"/>
      <c r="M23" s="59"/>
      <c r="N23" s="59"/>
      <c r="O23" s="59"/>
      <c r="V23"/>
    </row>
    <row r="24" spans="1:30" s="8" customFormat="1" ht="16.25" customHeight="1" x14ac:dyDescent="0.25">
      <c r="A24" s="2"/>
      <c r="B24" s="2"/>
      <c r="C24" s="6"/>
      <c r="D24" s="54" t="s">
        <v>112</v>
      </c>
      <c r="E24" s="6"/>
      <c r="F24" s="6"/>
      <c r="G24" s="6"/>
      <c r="H24" s="4"/>
      <c r="I24" s="4"/>
      <c r="J24" s="9"/>
      <c r="L24" s="59"/>
      <c r="M24" s="59"/>
      <c r="N24" s="59"/>
      <c r="O24" s="59"/>
      <c r="AD24"/>
    </row>
    <row r="25" spans="1:30" s="8" customFormat="1" ht="16.25" customHeight="1" x14ac:dyDescent="0.25">
      <c r="A25" s="2"/>
      <c r="B25" s="2"/>
      <c r="C25" s="6"/>
      <c r="D25" s="54"/>
      <c r="E25" s="6"/>
      <c r="F25" s="6"/>
      <c r="G25" s="6"/>
      <c r="H25" s="4"/>
      <c r="I25" s="4"/>
      <c r="J25" s="9"/>
      <c r="L25" s="59"/>
      <c r="M25" s="59"/>
      <c r="N25" s="59"/>
      <c r="O25" s="59"/>
      <c r="AD25"/>
    </row>
    <row r="26" spans="1:30" s="8" customFormat="1" ht="16.25" customHeight="1" x14ac:dyDescent="0.25">
      <c r="A26" s="18" t="s">
        <v>15</v>
      </c>
      <c r="B26" s="19"/>
      <c r="C26" s="20"/>
      <c r="D26" s="19"/>
      <c r="E26" s="20"/>
      <c r="F26" s="20"/>
      <c r="G26" s="20"/>
      <c r="H26" s="21"/>
      <c r="I26" s="80">
        <f>H28</f>
        <v>427</v>
      </c>
      <c r="J26" s="9"/>
      <c r="L26" s="59"/>
      <c r="M26" s="59"/>
      <c r="N26" s="59"/>
      <c r="O26" s="59"/>
      <c r="AD26"/>
    </row>
    <row r="27" spans="1:30" s="8" customFormat="1" ht="20" x14ac:dyDescent="0.25">
      <c r="A27" s="25" t="s">
        <v>10</v>
      </c>
      <c r="B27" s="23"/>
      <c r="C27" s="24"/>
      <c r="D27" s="27" t="s">
        <v>19</v>
      </c>
      <c r="E27" s="24"/>
      <c r="F27" s="24"/>
      <c r="G27" s="24"/>
      <c r="H27" s="26"/>
      <c r="I27" s="4"/>
      <c r="J27" s="9"/>
      <c r="L27" s="59"/>
      <c r="M27" s="59"/>
      <c r="N27" s="59"/>
      <c r="O27" s="59"/>
    </row>
    <row r="28" spans="1:30" s="8" customFormat="1" ht="16.25" customHeight="1" x14ac:dyDescent="0.25">
      <c r="A28" s="2"/>
      <c r="B28" s="2" t="s">
        <v>7</v>
      </c>
      <c r="C28" s="6"/>
      <c r="D28" s="2" t="s">
        <v>16</v>
      </c>
      <c r="E28" s="6"/>
      <c r="F28" s="6"/>
      <c r="G28" s="6"/>
      <c r="H28" s="4">
        <v>427</v>
      </c>
      <c r="I28" s="4"/>
      <c r="J28" s="9"/>
      <c r="L28" s="59"/>
      <c r="M28" s="59"/>
      <c r="N28" s="59"/>
      <c r="O28" s="59"/>
      <c r="AD28"/>
    </row>
    <row r="29" spans="1:30" s="8" customFormat="1" ht="16.25" customHeight="1" x14ac:dyDescent="0.25">
      <c r="A29" s="2"/>
      <c r="B29" s="2"/>
      <c r="C29" s="6"/>
      <c r="D29" s="54" t="s">
        <v>113</v>
      </c>
      <c r="E29" s="6"/>
      <c r="F29" s="6"/>
      <c r="G29" s="6"/>
      <c r="H29" s="4"/>
      <c r="I29" s="4"/>
      <c r="J29" s="9"/>
      <c r="K29"/>
      <c r="L29" s="59"/>
      <c r="M29" s="59"/>
      <c r="N29" s="59"/>
      <c r="O29" s="59"/>
      <c r="AD29"/>
    </row>
    <row r="30" spans="1:30" s="8" customFormat="1" ht="16.25" customHeight="1" x14ac:dyDescent="0.25">
      <c r="A30" s="2"/>
      <c r="B30" s="2"/>
      <c r="C30" s="6"/>
      <c r="D30" s="54"/>
      <c r="E30" s="6"/>
      <c r="F30" s="6"/>
      <c r="G30" s="6"/>
      <c r="H30" s="4"/>
      <c r="I30" s="4"/>
      <c r="J30"/>
      <c r="L30" s="59"/>
      <c r="M30" s="59"/>
      <c r="N30" s="59"/>
      <c r="O30" s="59"/>
    </row>
    <row r="31" spans="1:30" x14ac:dyDescent="0.25">
      <c r="A31" s="10" t="s">
        <v>18</v>
      </c>
      <c r="B31" s="11"/>
      <c r="C31" s="12"/>
      <c r="D31" s="11"/>
      <c r="E31" s="12"/>
      <c r="F31" s="12"/>
      <c r="G31" s="12"/>
      <c r="H31" s="13"/>
      <c r="I31" s="64">
        <f>H33</f>
        <v>600</v>
      </c>
      <c r="J31" s="8"/>
      <c r="L31"/>
    </row>
    <row r="32" spans="1:30" ht="20" x14ac:dyDescent="0.25">
      <c r="A32" s="25" t="s">
        <v>81</v>
      </c>
      <c r="B32" s="23"/>
      <c r="C32" s="24"/>
      <c r="D32" s="27" t="s">
        <v>17</v>
      </c>
      <c r="E32" s="24"/>
      <c r="F32" s="24"/>
      <c r="G32" s="24"/>
      <c r="H32" s="26"/>
      <c r="I32" s="4"/>
      <c r="J32" s="4"/>
    </row>
    <row r="33" spans="1:15" ht="20" x14ac:dyDescent="0.25">
      <c r="A33" s="2"/>
      <c r="B33" s="2" t="s">
        <v>136</v>
      </c>
      <c r="C33" s="6"/>
      <c r="D33" s="14" t="s">
        <v>11</v>
      </c>
      <c r="E33" s="6"/>
      <c r="F33" s="6"/>
      <c r="G33" s="6"/>
      <c r="H33" s="64">
        <v>600</v>
      </c>
      <c r="I33" s="4"/>
      <c r="J33" s="4"/>
      <c r="K33" s="9"/>
      <c r="L33" s="62"/>
    </row>
    <row r="34" spans="1:15" x14ac:dyDescent="0.25">
      <c r="A34" s="2"/>
      <c r="B34" s="2"/>
      <c r="C34" s="6"/>
      <c r="D34" s="17"/>
      <c r="E34" s="6"/>
      <c r="F34" s="6"/>
      <c r="G34" s="6"/>
      <c r="H34" s="4"/>
      <c r="I34" s="64">
        <f>H35+H36+H37+H38+H39+H40</f>
        <v>485.5</v>
      </c>
      <c r="J34" s="4"/>
    </row>
    <row r="35" spans="1:15" ht="20" x14ac:dyDescent="0.25">
      <c r="A35" s="2"/>
      <c r="B35" s="2" t="s">
        <v>94</v>
      </c>
      <c r="C35" s="28" t="s">
        <v>127</v>
      </c>
      <c r="D35" s="17" t="s">
        <v>128</v>
      </c>
      <c r="H35" s="29">
        <v>165</v>
      </c>
      <c r="J35" s="4"/>
    </row>
    <row r="36" spans="1:15" x14ac:dyDescent="0.25">
      <c r="A36" s="2"/>
      <c r="B36" s="2"/>
      <c r="C36" s="28"/>
      <c r="D36" s="17" t="s">
        <v>129</v>
      </c>
      <c r="H36" s="29">
        <v>16</v>
      </c>
      <c r="J36" s="4"/>
    </row>
    <row r="37" spans="1:15" x14ac:dyDescent="0.25">
      <c r="A37" s="2"/>
      <c r="B37" s="2"/>
      <c r="C37" s="28" t="s">
        <v>130</v>
      </c>
      <c r="D37" s="17" t="s">
        <v>131</v>
      </c>
      <c r="H37" s="29">
        <v>120</v>
      </c>
      <c r="J37" s="4"/>
    </row>
    <row r="38" spans="1:15" ht="20" x14ac:dyDescent="0.25">
      <c r="A38" s="2"/>
      <c r="B38" s="2"/>
      <c r="C38" s="2" t="s">
        <v>103</v>
      </c>
      <c r="D38" s="17" t="s">
        <v>104</v>
      </c>
      <c r="H38" s="29">
        <f>28+71.5</f>
        <v>99.5</v>
      </c>
      <c r="J38" s="4"/>
    </row>
    <row r="39" spans="1:15" x14ac:dyDescent="0.25">
      <c r="A39" s="2"/>
      <c r="B39" s="2"/>
      <c r="C39" s="28" t="s">
        <v>132</v>
      </c>
      <c r="D39" s="17" t="s">
        <v>133</v>
      </c>
      <c r="H39" s="29">
        <v>35</v>
      </c>
      <c r="J39" s="4"/>
    </row>
    <row r="40" spans="1:15" x14ac:dyDescent="0.25">
      <c r="A40" s="2"/>
      <c r="B40" s="2"/>
      <c r="C40" s="28" t="s">
        <v>135</v>
      </c>
      <c r="D40" s="17" t="s">
        <v>134</v>
      </c>
      <c r="H40" s="29">
        <v>50</v>
      </c>
      <c r="J40" s="4"/>
    </row>
    <row r="41" spans="1:15" x14ac:dyDescent="0.25">
      <c r="A41" s="2"/>
      <c r="B41" s="2"/>
      <c r="D41" s="17"/>
      <c r="J41" s="4"/>
    </row>
    <row r="42" spans="1:15" s="8" customFormat="1" x14ac:dyDescent="0.25">
      <c r="A42" s="10" t="s">
        <v>114</v>
      </c>
      <c r="B42" s="19"/>
      <c r="C42" s="20"/>
      <c r="D42" s="19"/>
      <c r="E42" s="20"/>
      <c r="F42" s="20"/>
      <c r="G42" s="20"/>
      <c r="H42" s="21"/>
      <c r="I42" s="80">
        <f>H44</f>
        <v>130</v>
      </c>
      <c r="J42" s="9"/>
      <c r="L42" s="59"/>
      <c r="M42" s="59"/>
      <c r="N42" s="59"/>
      <c r="O42" s="59"/>
    </row>
    <row r="43" spans="1:15" s="8" customFormat="1" ht="20" x14ac:dyDescent="0.25">
      <c r="A43" s="25" t="s">
        <v>115</v>
      </c>
      <c r="B43" s="23" t="s">
        <v>116</v>
      </c>
      <c r="C43" s="24"/>
      <c r="D43" s="27"/>
      <c r="E43" s="24"/>
      <c r="F43" s="24"/>
      <c r="G43" s="24"/>
      <c r="H43" s="26"/>
      <c r="I43" s="4"/>
      <c r="J43" s="9"/>
      <c r="K43"/>
      <c r="L43" s="59"/>
      <c r="M43" s="59"/>
      <c r="N43" s="59"/>
      <c r="O43" s="59"/>
    </row>
    <row r="44" spans="1:15" ht="20" x14ac:dyDescent="0.25">
      <c r="A44" s="2"/>
      <c r="B44" s="2" t="s">
        <v>119</v>
      </c>
      <c r="C44" s="6"/>
      <c r="D44" s="2" t="s">
        <v>117</v>
      </c>
      <c r="E44" s="6"/>
      <c r="F44" s="6"/>
      <c r="G44" s="6"/>
      <c r="H44" s="4">
        <v>130</v>
      </c>
      <c r="I44" s="4"/>
      <c r="J44" s="9"/>
    </row>
    <row r="45" spans="1:15" ht="20" x14ac:dyDescent="0.25">
      <c r="A45" s="2"/>
      <c r="B45" s="2"/>
      <c r="C45" s="6"/>
      <c r="D45" s="2" t="s">
        <v>118</v>
      </c>
      <c r="E45" s="6"/>
      <c r="F45" s="6"/>
      <c r="G45" s="6"/>
      <c r="H45" s="4"/>
      <c r="I45" s="4"/>
      <c r="J45" s="9"/>
    </row>
    <row r="46" spans="1:15" x14ac:dyDescent="0.25">
      <c r="A46" s="2"/>
      <c r="B46" s="2"/>
      <c r="C46" s="2"/>
      <c r="D46" s="5"/>
      <c r="H46" s="5"/>
      <c r="I46" s="65"/>
      <c r="J46" s="9"/>
    </row>
    <row r="47" spans="1:15" x14ac:dyDescent="0.25">
      <c r="A47" s="75" t="s">
        <v>138</v>
      </c>
      <c r="B47" s="75"/>
      <c r="C47" s="75"/>
      <c r="D47" s="76"/>
      <c r="E47" s="76"/>
      <c r="F47" s="76"/>
      <c r="G47" s="76"/>
      <c r="H47" s="76"/>
      <c r="I47" s="81">
        <v>70</v>
      </c>
      <c r="J47" s="9"/>
    </row>
    <row r="48" spans="1:15" ht="20" x14ac:dyDescent="0.25">
      <c r="A48" s="77" t="s">
        <v>141</v>
      </c>
      <c r="B48" s="78"/>
      <c r="C48" s="78"/>
      <c r="D48" s="79" t="s">
        <v>142</v>
      </c>
      <c r="E48" s="78"/>
      <c r="F48" s="78"/>
      <c r="G48" s="78"/>
      <c r="H48" s="78"/>
      <c r="I48" s="74"/>
      <c r="J48" s="9"/>
    </row>
    <row r="49" spans="1:22" x14ac:dyDescent="0.25">
      <c r="A49" s="3"/>
      <c r="B49" s="3"/>
      <c r="C49" s="3"/>
      <c r="D49" s="82" t="s">
        <v>139</v>
      </c>
      <c r="E49" s="82"/>
      <c r="F49" s="3"/>
      <c r="G49" s="3"/>
      <c r="H49" s="74">
        <v>60</v>
      </c>
      <c r="I49" s="74"/>
      <c r="J49" s="9"/>
    </row>
    <row r="50" spans="1:22" x14ac:dyDescent="0.25">
      <c r="A50" s="2"/>
      <c r="B50" s="2"/>
      <c r="C50" s="2"/>
      <c r="D50" s="5" t="s">
        <v>140</v>
      </c>
      <c r="H50" s="5"/>
      <c r="I50" s="65"/>
      <c r="J50" s="9"/>
    </row>
    <row r="51" spans="1:22" s="71" customFormat="1" x14ac:dyDescent="0.25">
      <c r="A51" s="66" t="s">
        <v>120</v>
      </c>
      <c r="B51" s="67"/>
      <c r="I51" s="72"/>
      <c r="J51" s="73"/>
      <c r="L51" s="72"/>
      <c r="M51" s="72"/>
      <c r="N51" s="72"/>
      <c r="O51" s="72"/>
    </row>
    <row r="52" spans="1:22" x14ac:dyDescent="0.25">
      <c r="A52" s="30"/>
      <c r="D52" s="5"/>
      <c r="H52" s="5"/>
      <c r="I52" s="33"/>
      <c r="J52" s="9"/>
    </row>
    <row r="53" spans="1:22" x14ac:dyDescent="0.25">
      <c r="A53" s="31"/>
      <c r="B53" s="31" t="s">
        <v>121</v>
      </c>
      <c r="C53" s="33" t="s">
        <v>122</v>
      </c>
      <c r="D53" s="5"/>
      <c r="G53"/>
      <c r="H53" s="64">
        <v>700</v>
      </c>
      <c r="I53" s="69">
        <v>46060</v>
      </c>
      <c r="J53" s="9"/>
    </row>
    <row r="54" spans="1:22" x14ac:dyDescent="0.25">
      <c r="A54" s="31"/>
      <c r="B54" s="32"/>
      <c r="C54" s="33" t="s">
        <v>123</v>
      </c>
      <c r="D54" s="5"/>
      <c r="H54" s="33"/>
      <c r="I54" s="69"/>
      <c r="J54" s="9"/>
    </row>
    <row r="55" spans="1:22" x14ac:dyDescent="0.25">
      <c r="A55" s="31"/>
      <c r="B55" s="32"/>
      <c r="C55" s="33"/>
      <c r="D55" s="5"/>
      <c r="H55" s="33"/>
      <c r="I55" s="69"/>
      <c r="J55" s="9"/>
    </row>
    <row r="56" spans="1:22" x14ac:dyDescent="0.25">
      <c r="A56" s="31"/>
      <c r="B56" s="32" t="s">
        <v>124</v>
      </c>
      <c r="C56" s="33" t="s">
        <v>125</v>
      </c>
      <c r="H56" s="68">
        <v>3520</v>
      </c>
      <c r="I56" s="70">
        <v>46062</v>
      </c>
      <c r="J56" s="9"/>
    </row>
    <row r="57" spans="1:22" x14ac:dyDescent="0.25">
      <c r="A57" s="31"/>
      <c r="B57" s="32"/>
      <c r="C57" s="33" t="s">
        <v>126</v>
      </c>
      <c r="I57" s="70"/>
      <c r="J57" s="9"/>
      <c r="K57"/>
      <c r="P57"/>
    </row>
    <row r="58" spans="1:22" x14ac:dyDescent="0.25">
      <c r="A58" s="31"/>
      <c r="B58"/>
      <c r="C58" s="33"/>
      <c r="V58"/>
    </row>
    <row r="59" spans="1:22" x14ac:dyDescent="0.25">
      <c r="A59" s="31"/>
      <c r="B59" s="32"/>
      <c r="C59" s="33"/>
    </row>
    <row r="60" spans="1:22" x14ac:dyDescent="0.25">
      <c r="C60" s="33"/>
    </row>
    <row r="61" spans="1:22" x14ac:dyDescent="0.25">
      <c r="C61" s="33"/>
    </row>
    <row r="62" spans="1:22" x14ac:dyDescent="0.25">
      <c r="B62" s="31"/>
      <c r="C62" s="33"/>
    </row>
    <row r="63" spans="1:22" x14ac:dyDescent="0.25">
      <c r="B63" s="31"/>
      <c r="C63" s="33"/>
    </row>
    <row r="65" spans="1:27" x14ac:dyDescent="0.25">
      <c r="A65"/>
    </row>
    <row r="73" spans="1:27" x14ac:dyDescent="0.25">
      <c r="L73" s="62"/>
      <c r="Q73"/>
      <c r="V73"/>
      <c r="AA73"/>
    </row>
    <row r="89" spans="1:1" x14ac:dyDescent="0.25">
      <c r="A89"/>
    </row>
    <row r="109" spans="1:1" x14ac:dyDescent="0.25">
      <c r="A109" s="28" t="s">
        <v>102</v>
      </c>
    </row>
    <row r="110" spans="1:1" x14ac:dyDescent="0.25">
      <c r="A110"/>
    </row>
  </sheetData>
  <mergeCells count="1">
    <mergeCell ref="D49:E49"/>
  </mergeCells>
  <pageMargins left="0.70866141732283472" right="0.70866141732283472" top="0.74803149606299213" bottom="0.74803149606299213" header="0.31496062992125984" footer="0.31496062992125984"/>
  <pageSetup paperSize="9" scale="21" orientation="portrait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7934C-16E5-4A14-B214-0BF93CD93194}">
  <dimension ref="A1:I68"/>
  <sheetViews>
    <sheetView topLeftCell="A23" zoomScale="70" zoomScaleNormal="70" workbookViewId="0">
      <selection activeCell="G53" sqref="G53"/>
    </sheetView>
  </sheetViews>
  <sheetFormatPr baseColWidth="10" defaultColWidth="11.5" defaultRowHeight="16" x14ac:dyDescent="0.2"/>
  <cols>
    <col min="1" max="1" width="13.83203125" style="39" bestFit="1" customWidth="1"/>
    <col min="2" max="2" width="15.1640625" style="39" bestFit="1" customWidth="1"/>
    <col min="3" max="3" width="22.1640625" style="39" bestFit="1" customWidth="1"/>
    <col min="4" max="4" width="50.33203125" style="39" bestFit="1" customWidth="1"/>
    <col min="5" max="7" width="14.1640625" style="49" customWidth="1"/>
    <col min="8" max="16384" width="11.5" style="39"/>
  </cols>
  <sheetData>
    <row r="1" spans="1:8" x14ac:dyDescent="0.2">
      <c r="A1" s="34" t="s">
        <v>12</v>
      </c>
      <c r="B1" s="35"/>
      <c r="C1" s="35"/>
      <c r="D1" s="36"/>
      <c r="E1" s="37"/>
    </row>
    <row r="2" spans="1:8" x14ac:dyDescent="0.2">
      <c r="A2" s="34" t="s">
        <v>49</v>
      </c>
      <c r="B2" s="35"/>
      <c r="C2" s="35"/>
      <c r="D2" s="40"/>
      <c r="E2" s="41"/>
    </row>
    <row r="3" spans="1:8" x14ac:dyDescent="0.2">
      <c r="A3" s="35"/>
      <c r="B3" s="35"/>
      <c r="C3" s="35"/>
      <c r="D3" s="40"/>
      <c r="E3" s="37"/>
    </row>
    <row r="4" spans="1:8" x14ac:dyDescent="0.2">
      <c r="A4" s="42" t="s">
        <v>23</v>
      </c>
      <c r="B4" s="43"/>
      <c r="C4" s="43"/>
      <c r="D4" s="44"/>
      <c r="E4" s="37"/>
      <c r="F4" s="37"/>
      <c r="G4" s="37"/>
    </row>
    <row r="5" spans="1:8" s="47" customFormat="1" ht="17" x14ac:dyDescent="0.2">
      <c r="A5" s="47" t="s">
        <v>24</v>
      </c>
      <c r="B5" s="47" t="s">
        <v>25</v>
      </c>
      <c r="C5" s="47" t="s">
        <v>45</v>
      </c>
      <c r="D5" s="51" t="s">
        <v>26</v>
      </c>
      <c r="E5" s="41" t="s">
        <v>20</v>
      </c>
      <c r="F5" s="41" t="s">
        <v>21</v>
      </c>
      <c r="G5" s="41" t="s">
        <v>22</v>
      </c>
    </row>
    <row r="6" spans="1:8" x14ac:dyDescent="0.2">
      <c r="A6" s="45">
        <v>45890</v>
      </c>
      <c r="B6" s="48">
        <v>1601</v>
      </c>
      <c r="C6" s="46" t="s">
        <v>34</v>
      </c>
      <c r="D6" s="39" t="s">
        <v>27</v>
      </c>
      <c r="E6" s="49">
        <v>960</v>
      </c>
      <c r="G6" s="49">
        <f>E6-F6</f>
        <v>960</v>
      </c>
    </row>
    <row r="7" spans="1:8" x14ac:dyDescent="0.2">
      <c r="A7" s="45">
        <v>45890</v>
      </c>
      <c r="B7" s="48">
        <v>501</v>
      </c>
      <c r="C7" s="46" t="s">
        <v>35</v>
      </c>
      <c r="D7" s="39" t="s">
        <v>29</v>
      </c>
      <c r="E7" s="49">
        <v>500</v>
      </c>
      <c r="G7" s="49">
        <f>G6+E7-F7</f>
        <v>1460</v>
      </c>
    </row>
    <row r="8" spans="1:8" x14ac:dyDescent="0.2">
      <c r="A8" s="45">
        <v>45890</v>
      </c>
      <c r="B8" s="48">
        <v>503</v>
      </c>
      <c r="C8" s="46" t="s">
        <v>36</v>
      </c>
      <c r="D8" s="39" t="s">
        <v>29</v>
      </c>
      <c r="E8" s="49">
        <v>325.89999999999998</v>
      </c>
      <c r="G8" s="49">
        <f>G7+E8-F8</f>
        <v>1785.9</v>
      </c>
    </row>
    <row r="9" spans="1:8" x14ac:dyDescent="0.2">
      <c r="A9" s="45">
        <v>45890</v>
      </c>
      <c r="B9" s="48">
        <v>302</v>
      </c>
      <c r="C9" s="46" t="s">
        <v>37</v>
      </c>
      <c r="D9" s="39" t="s">
        <v>29</v>
      </c>
      <c r="E9" s="49">
        <v>325.89999999999998</v>
      </c>
      <c r="G9" s="49">
        <f>G8+E9-F9</f>
        <v>2111.8000000000002</v>
      </c>
    </row>
    <row r="10" spans="1:8" x14ac:dyDescent="0.2">
      <c r="A10" s="45">
        <v>45890</v>
      </c>
      <c r="B10" s="48">
        <v>1301</v>
      </c>
      <c r="C10" s="46" t="s">
        <v>38</v>
      </c>
      <c r="D10" s="39" t="s">
        <v>29</v>
      </c>
      <c r="E10" s="49">
        <v>325.89999999999998</v>
      </c>
      <c r="G10" s="49">
        <f>G9+E10-F10</f>
        <v>2437.7000000000003</v>
      </c>
    </row>
    <row r="11" spans="1:8" x14ac:dyDescent="0.2">
      <c r="A11" s="45">
        <v>45890</v>
      </c>
      <c r="B11" s="38"/>
      <c r="C11" s="52"/>
      <c r="D11" s="39" t="s">
        <v>28</v>
      </c>
      <c r="F11" s="49">
        <v>427</v>
      </c>
      <c r="G11" s="49">
        <f>G10+E11-F11</f>
        <v>2010.7000000000003</v>
      </c>
    </row>
    <row r="12" spans="1:8" x14ac:dyDescent="0.2">
      <c r="A12" s="45">
        <v>45890</v>
      </c>
      <c r="B12" s="38"/>
      <c r="C12" s="52"/>
      <c r="D12" s="39" t="s">
        <v>30</v>
      </c>
      <c r="F12" s="49">
        <v>500</v>
      </c>
      <c r="G12" s="49">
        <f t="shared" ref="G12:G14" si="0">G11+E12-F12</f>
        <v>1510.7000000000003</v>
      </c>
    </row>
    <row r="13" spans="1:8" x14ac:dyDescent="0.2">
      <c r="A13" s="45">
        <v>45890</v>
      </c>
      <c r="B13" s="38"/>
      <c r="C13" s="52"/>
      <c r="D13" s="39" t="s">
        <v>31</v>
      </c>
      <c r="F13" s="49">
        <v>500</v>
      </c>
      <c r="G13" s="49">
        <f t="shared" si="0"/>
        <v>1010.7000000000003</v>
      </c>
    </row>
    <row r="14" spans="1:8" x14ac:dyDescent="0.2">
      <c r="A14" s="45">
        <v>45890</v>
      </c>
      <c r="B14" s="38"/>
      <c r="C14" s="52"/>
      <c r="D14" s="39" t="s">
        <v>32</v>
      </c>
      <c r="F14" s="49">
        <v>500</v>
      </c>
      <c r="G14" s="49">
        <f t="shared" si="0"/>
        <v>510.70000000000027</v>
      </c>
    </row>
    <row r="15" spans="1:8" x14ac:dyDescent="0.2">
      <c r="A15" s="45">
        <v>45890</v>
      </c>
      <c r="B15" s="38"/>
      <c r="C15" s="52"/>
      <c r="D15" s="39" t="s">
        <v>33</v>
      </c>
      <c r="F15" s="49">
        <v>500</v>
      </c>
      <c r="G15" s="49">
        <f>G14+E15-F15</f>
        <v>10.700000000000273</v>
      </c>
    </row>
    <row r="16" spans="1:8" x14ac:dyDescent="0.2">
      <c r="A16" s="45">
        <v>45890</v>
      </c>
      <c r="B16" s="38" t="s">
        <v>39</v>
      </c>
      <c r="C16" s="52" t="s">
        <v>40</v>
      </c>
      <c r="D16" s="39" t="s">
        <v>29</v>
      </c>
      <c r="E16" s="49">
        <v>300</v>
      </c>
      <c r="G16" s="49">
        <f t="shared" ref="G16:G19" si="1">G15+E16-F16</f>
        <v>310.70000000000027</v>
      </c>
      <c r="H16" s="50"/>
    </row>
    <row r="17" spans="1:9" x14ac:dyDescent="0.2">
      <c r="A17" s="45">
        <v>45890</v>
      </c>
      <c r="B17" s="38">
        <v>1303</v>
      </c>
      <c r="C17" s="52" t="s">
        <v>41</v>
      </c>
      <c r="D17" s="39" t="s">
        <v>29</v>
      </c>
      <c r="E17" s="49">
        <v>500</v>
      </c>
      <c r="G17" s="49">
        <f t="shared" si="1"/>
        <v>810.70000000000027</v>
      </c>
    </row>
    <row r="18" spans="1:9" x14ac:dyDescent="0.2">
      <c r="A18" s="45">
        <v>45890</v>
      </c>
      <c r="B18" s="38">
        <v>1701</v>
      </c>
      <c r="C18" s="52" t="s">
        <v>42</v>
      </c>
      <c r="D18" s="39" t="s">
        <v>44</v>
      </c>
      <c r="E18" s="49">
        <v>2793</v>
      </c>
      <c r="G18" s="49">
        <f t="shared" si="1"/>
        <v>3603.7000000000003</v>
      </c>
    </row>
    <row r="19" spans="1:9" x14ac:dyDescent="0.2">
      <c r="A19" s="45">
        <v>45890</v>
      </c>
      <c r="B19" s="38">
        <v>1202</v>
      </c>
      <c r="C19" s="52" t="s">
        <v>43</v>
      </c>
      <c r="D19" s="39" t="s">
        <v>29</v>
      </c>
      <c r="E19" s="49">
        <v>200</v>
      </c>
      <c r="G19" s="49">
        <f t="shared" si="1"/>
        <v>3803.7000000000003</v>
      </c>
    </row>
    <row r="20" spans="1:9" x14ac:dyDescent="0.2">
      <c r="A20" s="45">
        <v>45891</v>
      </c>
      <c r="B20" s="38"/>
      <c r="C20" s="38"/>
      <c r="D20" s="39" t="s">
        <v>46</v>
      </c>
      <c r="F20" s="49">
        <v>257.98</v>
      </c>
      <c r="G20" s="49">
        <f t="shared" ref="G20:G21" si="2">G19+E20-F20</f>
        <v>3545.7200000000003</v>
      </c>
    </row>
    <row r="21" spans="1:9" x14ac:dyDescent="0.2">
      <c r="A21" s="45">
        <v>45891</v>
      </c>
      <c r="B21" s="38"/>
      <c r="C21" s="38"/>
      <c r="D21" s="39" t="s">
        <v>47</v>
      </c>
      <c r="F21" s="49">
        <v>283.79000000000002</v>
      </c>
      <c r="G21" s="49">
        <f t="shared" si="2"/>
        <v>3261.9300000000003</v>
      </c>
    </row>
    <row r="22" spans="1:9" x14ac:dyDescent="0.2">
      <c r="A22" s="45">
        <v>45891</v>
      </c>
      <c r="B22" s="38"/>
      <c r="C22" s="38"/>
      <c r="D22" s="39" t="s">
        <v>48</v>
      </c>
      <c r="F22" s="49">
        <v>600</v>
      </c>
      <c r="G22" s="53">
        <f>G21+E22-F22</f>
        <v>2661.9300000000003</v>
      </c>
      <c r="H22" s="50"/>
      <c r="I22" s="50"/>
    </row>
    <row r="23" spans="1:9" x14ac:dyDescent="0.2">
      <c r="A23" s="45"/>
      <c r="B23" s="38"/>
      <c r="C23" s="38"/>
      <c r="E23" s="49">
        <f>SUM(E6:E22)</f>
        <v>6230.7000000000007</v>
      </c>
      <c r="F23" s="49">
        <f>SUM(F6:F22)</f>
        <v>3568.77</v>
      </c>
    </row>
    <row r="24" spans="1:9" x14ac:dyDescent="0.2">
      <c r="A24" s="45"/>
      <c r="B24" s="38"/>
      <c r="C24" s="38"/>
    </row>
    <row r="25" spans="1:9" x14ac:dyDescent="0.2">
      <c r="A25" s="45"/>
      <c r="B25" s="38"/>
      <c r="C25" s="38"/>
      <c r="D25" s="39" t="s">
        <v>52</v>
      </c>
      <c r="E25" s="53">
        <v>2661.93</v>
      </c>
      <c r="G25" s="49">
        <f>G23+E25-F25</f>
        <v>2661.93</v>
      </c>
    </row>
    <row r="26" spans="1:9" x14ac:dyDescent="0.2">
      <c r="A26" s="45">
        <v>45902</v>
      </c>
      <c r="B26" s="38">
        <v>1303</v>
      </c>
      <c r="C26" s="52" t="s">
        <v>41</v>
      </c>
      <c r="D26" s="39" t="s">
        <v>53</v>
      </c>
      <c r="E26" s="49">
        <v>200</v>
      </c>
      <c r="G26" s="49">
        <f>G25+E26-F26</f>
        <v>2861.93</v>
      </c>
    </row>
    <row r="27" spans="1:9" x14ac:dyDescent="0.2">
      <c r="A27" s="45">
        <v>45902</v>
      </c>
      <c r="B27" s="48">
        <v>501</v>
      </c>
      <c r="C27" s="46" t="s">
        <v>35</v>
      </c>
      <c r="D27" s="39" t="s">
        <v>53</v>
      </c>
      <c r="E27" s="49">
        <v>150</v>
      </c>
      <c r="G27" s="49">
        <f t="shared" ref="G27:G32" si="3">G26+E27-F27</f>
        <v>3011.93</v>
      </c>
    </row>
    <row r="28" spans="1:9" x14ac:dyDescent="0.2">
      <c r="A28" s="45">
        <v>45902</v>
      </c>
      <c r="B28" s="48">
        <v>503</v>
      </c>
      <c r="C28" s="46" t="s">
        <v>36</v>
      </c>
      <c r="D28" s="39" t="s">
        <v>53</v>
      </c>
      <c r="E28" s="49">
        <v>150</v>
      </c>
      <c r="G28" s="49">
        <f t="shared" si="3"/>
        <v>3161.93</v>
      </c>
    </row>
    <row r="29" spans="1:9" x14ac:dyDescent="0.2">
      <c r="A29" s="45">
        <v>45902</v>
      </c>
      <c r="B29" s="48">
        <v>302</v>
      </c>
      <c r="C29" s="46" t="s">
        <v>37</v>
      </c>
      <c r="D29" s="39" t="s">
        <v>53</v>
      </c>
      <c r="E29" s="49">
        <v>150</v>
      </c>
      <c r="G29" s="49">
        <f t="shared" si="3"/>
        <v>3311.93</v>
      </c>
    </row>
    <row r="30" spans="1:9" x14ac:dyDescent="0.2">
      <c r="A30" s="45">
        <v>45902</v>
      </c>
      <c r="B30" s="38">
        <v>1202</v>
      </c>
      <c r="C30" s="52" t="s">
        <v>43</v>
      </c>
      <c r="D30" s="39" t="s">
        <v>53</v>
      </c>
      <c r="E30" s="49">
        <v>100</v>
      </c>
      <c r="G30" s="49">
        <f t="shared" si="3"/>
        <v>3411.93</v>
      </c>
    </row>
    <row r="31" spans="1:9" x14ac:dyDescent="0.2">
      <c r="A31" s="45">
        <v>45902</v>
      </c>
      <c r="B31" s="38">
        <v>402</v>
      </c>
      <c r="C31" s="39" t="s">
        <v>50</v>
      </c>
      <c r="D31" s="39" t="s">
        <v>53</v>
      </c>
      <c r="E31" s="49">
        <v>150</v>
      </c>
      <c r="G31" s="49">
        <f t="shared" si="3"/>
        <v>3561.93</v>
      </c>
    </row>
    <row r="32" spans="1:9" x14ac:dyDescent="0.2">
      <c r="A32" s="45">
        <v>45903</v>
      </c>
      <c r="B32" s="38">
        <v>1601</v>
      </c>
      <c r="C32" s="46" t="s">
        <v>34</v>
      </c>
      <c r="D32" s="39" t="s">
        <v>53</v>
      </c>
      <c r="E32" s="49">
        <v>100</v>
      </c>
      <c r="G32" s="49">
        <f t="shared" si="3"/>
        <v>3661.93</v>
      </c>
    </row>
    <row r="33" spans="1:7" x14ac:dyDescent="0.2">
      <c r="A33" s="45">
        <v>45903</v>
      </c>
      <c r="D33" s="39" t="s">
        <v>51</v>
      </c>
      <c r="F33" s="49">
        <v>1000</v>
      </c>
      <c r="G33" s="49">
        <f>G32+E33-F33</f>
        <v>2661.93</v>
      </c>
    </row>
    <row r="34" spans="1:7" x14ac:dyDescent="0.2">
      <c r="A34" s="45">
        <v>45903</v>
      </c>
      <c r="D34" s="39" t="s">
        <v>54</v>
      </c>
      <c r="F34" s="49">
        <v>0.05</v>
      </c>
      <c r="G34" s="49">
        <f>G33+E34-F34</f>
        <v>2661.8799999999997</v>
      </c>
    </row>
    <row r="35" spans="1:7" x14ac:dyDescent="0.2">
      <c r="A35" s="45">
        <v>45910</v>
      </c>
      <c r="D35" s="39" t="s">
        <v>55</v>
      </c>
      <c r="F35" s="49">
        <v>394.8</v>
      </c>
      <c r="G35" s="49">
        <f>G34+E35-F35</f>
        <v>2267.0799999999995</v>
      </c>
    </row>
    <row r="36" spans="1:7" x14ac:dyDescent="0.2">
      <c r="A36" s="45">
        <v>45915</v>
      </c>
      <c r="D36" s="39" t="s">
        <v>59</v>
      </c>
      <c r="E36" s="49">
        <v>2000</v>
      </c>
      <c r="G36" s="49">
        <f t="shared" ref="G36:G41" si="4">G35+E36-F36</f>
        <v>4267.08</v>
      </c>
    </row>
    <row r="37" spans="1:7" x14ac:dyDescent="0.2">
      <c r="A37" s="45">
        <v>45915</v>
      </c>
      <c r="D37" s="39" t="s">
        <v>60</v>
      </c>
      <c r="F37" s="49">
        <v>500</v>
      </c>
      <c r="G37" s="49">
        <f t="shared" si="4"/>
        <v>3767.08</v>
      </c>
    </row>
    <row r="38" spans="1:7" x14ac:dyDescent="0.2">
      <c r="A38" s="45">
        <v>45915</v>
      </c>
      <c r="D38" s="39" t="s">
        <v>61</v>
      </c>
      <c r="F38" s="49">
        <v>500</v>
      </c>
      <c r="G38" s="49">
        <f t="shared" si="4"/>
        <v>3267.08</v>
      </c>
    </row>
    <row r="39" spans="1:7" x14ac:dyDescent="0.2">
      <c r="A39" s="45">
        <v>45915</v>
      </c>
      <c r="D39" s="39" t="s">
        <v>62</v>
      </c>
      <c r="F39" s="49">
        <v>500</v>
      </c>
      <c r="G39" s="49">
        <f t="shared" si="4"/>
        <v>2767.08</v>
      </c>
    </row>
    <row r="40" spans="1:7" x14ac:dyDescent="0.2">
      <c r="A40" s="45">
        <v>45915</v>
      </c>
      <c r="D40" s="39" t="s">
        <v>63</v>
      </c>
      <c r="F40" s="49">
        <v>500</v>
      </c>
      <c r="G40" s="49">
        <f t="shared" si="4"/>
        <v>2267.08</v>
      </c>
    </row>
    <row r="41" spans="1:7" x14ac:dyDescent="0.2">
      <c r="A41" s="45">
        <v>45915</v>
      </c>
      <c r="D41" s="39" t="s">
        <v>54</v>
      </c>
      <c r="F41" s="49">
        <v>0.1</v>
      </c>
      <c r="G41" s="49">
        <f t="shared" si="4"/>
        <v>2266.98</v>
      </c>
    </row>
    <row r="42" spans="1:7" x14ac:dyDescent="0.2">
      <c r="A42" s="45">
        <v>45916</v>
      </c>
      <c r="C42" s="39" t="s">
        <v>60</v>
      </c>
      <c r="D42" s="39" t="s">
        <v>80</v>
      </c>
      <c r="F42" s="49">
        <v>100</v>
      </c>
      <c r="G42" s="49">
        <f>G41+E42-F42</f>
        <v>2166.98</v>
      </c>
    </row>
    <row r="43" spans="1:7" x14ac:dyDescent="0.2">
      <c r="A43" s="45">
        <v>45916</v>
      </c>
      <c r="C43" s="39" t="s">
        <v>84</v>
      </c>
      <c r="E43" s="49">
        <v>1978</v>
      </c>
      <c r="G43" s="49">
        <f t="shared" ref="G43:G51" si="5">G42+E43-F43</f>
        <v>4144.9799999999996</v>
      </c>
    </row>
    <row r="44" spans="1:7" x14ac:dyDescent="0.2">
      <c r="A44" s="45">
        <v>45916</v>
      </c>
      <c r="D44" s="39" t="s">
        <v>54</v>
      </c>
      <c r="F44" s="49">
        <v>0.05</v>
      </c>
      <c r="G44" s="49">
        <f t="shared" si="5"/>
        <v>4144.9299999999994</v>
      </c>
    </row>
    <row r="45" spans="1:7" x14ac:dyDescent="0.2">
      <c r="A45" s="45">
        <v>45916</v>
      </c>
      <c r="C45" s="39" t="s">
        <v>82</v>
      </c>
      <c r="D45" s="39" t="s">
        <v>83</v>
      </c>
      <c r="F45" s="49">
        <v>427</v>
      </c>
      <c r="G45" s="49">
        <f t="shared" si="5"/>
        <v>3717.9299999999994</v>
      </c>
    </row>
    <row r="46" spans="1:7" x14ac:dyDescent="0.2">
      <c r="A46" s="45">
        <v>45917</v>
      </c>
      <c r="C46" s="39" t="s">
        <v>85</v>
      </c>
      <c r="D46" s="39" t="s">
        <v>86</v>
      </c>
      <c r="F46" s="49">
        <v>1120</v>
      </c>
      <c r="G46" s="49">
        <f t="shared" si="5"/>
        <v>2597.9299999999994</v>
      </c>
    </row>
    <row r="47" spans="1:7" x14ac:dyDescent="0.2">
      <c r="A47" s="45">
        <v>45917</v>
      </c>
      <c r="C47" s="39" t="s">
        <v>87</v>
      </c>
      <c r="D47" s="39" t="s">
        <v>58</v>
      </c>
      <c r="F47" s="49">
        <v>498</v>
      </c>
      <c r="G47" s="49">
        <f t="shared" si="5"/>
        <v>2099.9299999999994</v>
      </c>
    </row>
    <row r="48" spans="1:7" x14ac:dyDescent="0.2">
      <c r="A48" s="45">
        <v>45917</v>
      </c>
      <c r="D48" s="39" t="s">
        <v>54</v>
      </c>
      <c r="F48" s="49">
        <v>0.05</v>
      </c>
      <c r="G48" s="49">
        <f t="shared" si="5"/>
        <v>2099.8799999999992</v>
      </c>
    </row>
    <row r="49" spans="1:7" x14ac:dyDescent="0.2">
      <c r="A49" s="45">
        <v>45919</v>
      </c>
      <c r="C49" s="39" t="s">
        <v>88</v>
      </c>
      <c r="D49" s="39" t="s">
        <v>89</v>
      </c>
      <c r="F49" s="49">
        <v>200</v>
      </c>
      <c r="G49" s="49">
        <f t="shared" si="5"/>
        <v>1899.8799999999992</v>
      </c>
    </row>
    <row r="50" spans="1:7" x14ac:dyDescent="0.2">
      <c r="A50" s="45">
        <v>45919</v>
      </c>
      <c r="C50" s="39" t="s">
        <v>90</v>
      </c>
      <c r="D50" s="39" t="s">
        <v>91</v>
      </c>
      <c r="F50" s="49">
        <v>160</v>
      </c>
      <c r="G50" s="53">
        <f t="shared" si="5"/>
        <v>1739.8799999999992</v>
      </c>
    </row>
    <row r="51" spans="1:7" x14ac:dyDescent="0.2">
      <c r="A51" s="45"/>
      <c r="D51" s="39" t="s">
        <v>92</v>
      </c>
      <c r="F51" s="49">
        <v>200</v>
      </c>
      <c r="G51" s="53">
        <f t="shared" si="5"/>
        <v>1539.8799999999992</v>
      </c>
    </row>
    <row r="52" spans="1:7" x14ac:dyDescent="0.2">
      <c r="A52" s="45"/>
      <c r="D52" s="39" t="s">
        <v>93</v>
      </c>
      <c r="F52" s="49">
        <v>16</v>
      </c>
      <c r="G52" s="53">
        <f>G51+E52-F52</f>
        <v>1523.8799999999992</v>
      </c>
    </row>
    <row r="53" spans="1:7" x14ac:dyDescent="0.2">
      <c r="A53" s="45"/>
    </row>
    <row r="54" spans="1:7" x14ac:dyDescent="0.2">
      <c r="A54" s="45"/>
    </row>
    <row r="55" spans="1:7" x14ac:dyDescent="0.2">
      <c r="A55" s="45"/>
    </row>
    <row r="56" spans="1:7" x14ac:dyDescent="0.2">
      <c r="A56" s="45"/>
    </row>
    <row r="57" spans="1:7" x14ac:dyDescent="0.2">
      <c r="A57" s="45"/>
    </row>
    <row r="58" spans="1:7" x14ac:dyDescent="0.2">
      <c r="A58" s="45"/>
    </row>
    <row r="59" spans="1:7" x14ac:dyDescent="0.2">
      <c r="A59" s="45"/>
    </row>
    <row r="60" spans="1:7" x14ac:dyDescent="0.2">
      <c r="A60" s="45"/>
    </row>
    <row r="61" spans="1:7" x14ac:dyDescent="0.2">
      <c r="A61" s="45"/>
    </row>
    <row r="62" spans="1:7" x14ac:dyDescent="0.2">
      <c r="A62" s="45"/>
    </row>
    <row r="63" spans="1:7" x14ac:dyDescent="0.2">
      <c r="A63" s="45"/>
    </row>
    <row r="64" spans="1:7" x14ac:dyDescent="0.2">
      <c r="A64" s="45"/>
    </row>
    <row r="65" spans="1:1" x14ac:dyDescent="0.2">
      <c r="A65" s="45"/>
    </row>
    <row r="66" spans="1:1" x14ac:dyDescent="0.2">
      <c r="A66" s="45"/>
    </row>
    <row r="67" spans="1:1" x14ac:dyDescent="0.2">
      <c r="A67" s="45"/>
    </row>
    <row r="68" spans="1:1" x14ac:dyDescent="0.2">
      <c r="A68" s="4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03669-7F62-49B8-8321-01AF24F77D8C}">
  <dimension ref="A1:G120"/>
  <sheetViews>
    <sheetView zoomScale="90" zoomScaleNormal="90" workbookViewId="0">
      <selection activeCell="I23" sqref="I23"/>
    </sheetView>
  </sheetViews>
  <sheetFormatPr baseColWidth="10" defaultRowHeight="15" x14ac:dyDescent="0.2"/>
  <cols>
    <col min="2" max="2" width="15.1640625" bestFit="1" customWidth="1"/>
    <col min="3" max="3" width="39.5" customWidth="1"/>
    <col min="4" max="4" width="40.83203125" bestFit="1" customWidth="1"/>
  </cols>
  <sheetData>
    <row r="1" spans="1:7" ht="16" x14ac:dyDescent="0.2">
      <c r="A1" s="34" t="s">
        <v>12</v>
      </c>
      <c r="B1" s="35"/>
      <c r="C1" s="35"/>
      <c r="D1" s="36"/>
      <c r="E1" s="37"/>
      <c r="F1" s="38"/>
      <c r="G1" s="38"/>
    </row>
    <row r="2" spans="1:7" ht="16" x14ac:dyDescent="0.2">
      <c r="A2" s="34" t="s">
        <v>56</v>
      </c>
      <c r="B2" s="35"/>
      <c r="C2" s="35"/>
      <c r="D2" s="40"/>
      <c r="E2" s="41"/>
      <c r="F2" s="38"/>
      <c r="G2" s="38"/>
    </row>
    <row r="3" spans="1:7" ht="16" x14ac:dyDescent="0.2">
      <c r="A3" s="34" t="s">
        <v>74</v>
      </c>
      <c r="B3" s="35"/>
      <c r="C3" s="35"/>
      <c r="D3" s="40"/>
      <c r="E3" s="37"/>
      <c r="F3" s="38"/>
      <c r="G3" s="38"/>
    </row>
    <row r="4" spans="1:7" ht="16" x14ac:dyDescent="0.2">
      <c r="A4" s="34" t="s">
        <v>76</v>
      </c>
      <c r="B4" s="35"/>
      <c r="C4" s="35"/>
      <c r="D4" s="40"/>
      <c r="E4" s="37"/>
      <c r="F4" s="38"/>
      <c r="G4" s="38"/>
    </row>
    <row r="5" spans="1:7" ht="16" x14ac:dyDescent="0.2">
      <c r="A5" s="34" t="s">
        <v>77</v>
      </c>
      <c r="B5" s="35"/>
      <c r="C5" s="35"/>
      <c r="D5" s="40"/>
      <c r="E5" s="37"/>
      <c r="F5" s="38"/>
      <c r="G5" s="38"/>
    </row>
    <row r="6" spans="1:7" ht="16" x14ac:dyDescent="0.2">
      <c r="A6" s="42" t="s">
        <v>75</v>
      </c>
      <c r="B6" s="43"/>
      <c r="C6" s="43"/>
      <c r="D6" s="44"/>
      <c r="E6" s="37"/>
      <c r="F6" s="37"/>
      <c r="G6" s="37"/>
    </row>
    <row r="7" spans="1:7" ht="17" x14ac:dyDescent="0.2">
      <c r="A7" s="47" t="s">
        <v>24</v>
      </c>
      <c r="B7" s="47" t="s">
        <v>25</v>
      </c>
      <c r="C7" s="47" t="s">
        <v>45</v>
      </c>
      <c r="D7" s="51" t="s">
        <v>26</v>
      </c>
      <c r="E7" s="41" t="s">
        <v>20</v>
      </c>
      <c r="F7" s="41" t="s">
        <v>21</v>
      </c>
      <c r="G7" s="41" t="s">
        <v>22</v>
      </c>
    </row>
    <row r="8" spans="1:7" ht="16" x14ac:dyDescent="0.2">
      <c r="A8" s="45"/>
      <c r="B8" s="48"/>
      <c r="C8" s="46"/>
      <c r="D8" s="39"/>
      <c r="E8" s="49"/>
      <c r="F8" s="49"/>
      <c r="G8" s="49">
        <f>E8-F8</f>
        <v>0</v>
      </c>
    </row>
    <row r="9" spans="1:7" ht="16" x14ac:dyDescent="0.2">
      <c r="A9" s="45">
        <v>45905</v>
      </c>
      <c r="B9" s="48">
        <v>201</v>
      </c>
      <c r="C9" s="46" t="s">
        <v>71</v>
      </c>
      <c r="D9" s="39" t="s">
        <v>78</v>
      </c>
      <c r="E9" s="49">
        <v>456.4</v>
      </c>
      <c r="G9" s="49">
        <f>G8+E9-F9</f>
        <v>456.4</v>
      </c>
    </row>
    <row r="10" spans="1:7" ht="16" x14ac:dyDescent="0.2">
      <c r="A10" s="45">
        <v>45905</v>
      </c>
      <c r="B10" s="48"/>
      <c r="C10" s="46" t="s">
        <v>72</v>
      </c>
      <c r="D10" s="39"/>
      <c r="E10" s="49">
        <v>463.9</v>
      </c>
      <c r="G10" s="49">
        <f t="shared" ref="G10:G74" si="0">G9+E10-F10</f>
        <v>920.3</v>
      </c>
    </row>
    <row r="11" spans="1:7" ht="16" x14ac:dyDescent="0.2">
      <c r="A11" s="45">
        <v>45905</v>
      </c>
      <c r="B11" s="48">
        <v>303</v>
      </c>
      <c r="C11" s="46" t="s">
        <v>73</v>
      </c>
      <c r="D11" s="39"/>
      <c r="E11" s="49">
        <v>273.89999999999998</v>
      </c>
      <c r="F11" s="49"/>
      <c r="G11" s="49">
        <f t="shared" si="0"/>
        <v>1194.1999999999998</v>
      </c>
    </row>
    <row r="12" spans="1:7" ht="16" x14ac:dyDescent="0.2">
      <c r="A12" s="45">
        <v>45908</v>
      </c>
      <c r="B12" s="48">
        <v>1102</v>
      </c>
      <c r="C12" t="s">
        <v>70</v>
      </c>
      <c r="E12" s="49">
        <v>220</v>
      </c>
      <c r="G12" s="49">
        <f t="shared" si="0"/>
        <v>1414.1999999999998</v>
      </c>
    </row>
    <row r="13" spans="1:7" ht="16" x14ac:dyDescent="0.2">
      <c r="A13" s="45">
        <v>45908</v>
      </c>
      <c r="B13" s="48">
        <v>701</v>
      </c>
      <c r="D13" s="55">
        <v>45901</v>
      </c>
      <c r="E13" s="49">
        <v>471.7</v>
      </c>
      <c r="G13" s="49">
        <f t="shared" si="0"/>
        <v>1885.8999999999999</v>
      </c>
    </row>
    <row r="14" spans="1:7" ht="16" x14ac:dyDescent="0.2">
      <c r="A14" s="45">
        <v>45909</v>
      </c>
      <c r="B14" s="48">
        <v>503</v>
      </c>
      <c r="C14" s="46" t="s">
        <v>36</v>
      </c>
      <c r="E14" s="49">
        <v>436.5</v>
      </c>
      <c r="G14" s="49">
        <f t="shared" si="0"/>
        <v>2322.3999999999996</v>
      </c>
    </row>
    <row r="15" spans="1:7" ht="16" x14ac:dyDescent="0.2">
      <c r="A15" s="45">
        <v>45909</v>
      </c>
      <c r="B15" s="48">
        <v>306</v>
      </c>
      <c r="E15" s="49">
        <v>20000</v>
      </c>
      <c r="G15" s="49">
        <f t="shared" si="0"/>
        <v>22322.400000000001</v>
      </c>
    </row>
    <row r="16" spans="1:7" ht="16" x14ac:dyDescent="0.2">
      <c r="A16" s="45"/>
      <c r="B16" s="48"/>
      <c r="D16" t="s">
        <v>57</v>
      </c>
      <c r="E16" s="49">
        <v>1</v>
      </c>
      <c r="G16" s="49">
        <f t="shared" si="0"/>
        <v>22323.4</v>
      </c>
    </row>
    <row r="17" spans="1:7" ht="16" x14ac:dyDescent="0.2">
      <c r="A17" s="45"/>
      <c r="B17" s="48"/>
      <c r="C17" t="s">
        <v>69</v>
      </c>
      <c r="E17" s="49">
        <v>117.9</v>
      </c>
      <c r="G17" s="49">
        <f t="shared" si="0"/>
        <v>22441.300000000003</v>
      </c>
    </row>
    <row r="18" spans="1:7" ht="16" x14ac:dyDescent="0.2">
      <c r="A18" s="45">
        <v>45910</v>
      </c>
      <c r="B18" s="48">
        <v>1101</v>
      </c>
      <c r="E18" s="49">
        <v>380.2</v>
      </c>
      <c r="G18" s="49">
        <f t="shared" si="0"/>
        <v>22821.500000000004</v>
      </c>
    </row>
    <row r="19" spans="1:7" ht="16" x14ac:dyDescent="0.2">
      <c r="A19" s="45">
        <v>45910</v>
      </c>
      <c r="B19" s="48"/>
      <c r="C19" t="s">
        <v>64</v>
      </c>
      <c r="E19" s="49">
        <v>473</v>
      </c>
      <c r="G19" s="49">
        <f t="shared" si="0"/>
        <v>23294.500000000004</v>
      </c>
    </row>
    <row r="20" spans="1:7" ht="16" x14ac:dyDescent="0.2">
      <c r="A20" s="45">
        <v>45910</v>
      </c>
      <c r="B20" s="48"/>
      <c r="C20" t="s">
        <v>64</v>
      </c>
      <c r="E20" s="49">
        <v>13.8</v>
      </c>
      <c r="G20" s="49">
        <f t="shared" si="0"/>
        <v>23308.300000000003</v>
      </c>
    </row>
    <row r="21" spans="1:7" ht="16" x14ac:dyDescent="0.2">
      <c r="A21" s="45">
        <v>45910</v>
      </c>
      <c r="B21" s="48"/>
      <c r="E21" s="49">
        <v>516.6</v>
      </c>
      <c r="G21" s="49">
        <f t="shared" si="0"/>
        <v>23824.9</v>
      </c>
    </row>
    <row r="22" spans="1:7" ht="16" x14ac:dyDescent="0.2">
      <c r="A22" s="45">
        <v>45910</v>
      </c>
      <c r="B22" s="48"/>
      <c r="C22" t="s">
        <v>65</v>
      </c>
      <c r="E22" s="49">
        <v>524.20000000000005</v>
      </c>
      <c r="G22" s="49">
        <f t="shared" si="0"/>
        <v>24349.100000000002</v>
      </c>
    </row>
    <row r="23" spans="1:7" ht="16" x14ac:dyDescent="0.2">
      <c r="A23" s="45">
        <v>45913</v>
      </c>
      <c r="B23" s="48">
        <v>202</v>
      </c>
      <c r="C23" t="s">
        <v>66</v>
      </c>
      <c r="E23" s="49">
        <v>278.3</v>
      </c>
      <c r="G23" s="49">
        <f t="shared" si="0"/>
        <v>24627.4</v>
      </c>
    </row>
    <row r="24" spans="1:7" ht="16" x14ac:dyDescent="0.2">
      <c r="A24" s="45">
        <v>45913</v>
      </c>
      <c r="B24" s="48">
        <v>1702</v>
      </c>
      <c r="C24" t="s">
        <v>67</v>
      </c>
      <c r="D24" s="55">
        <v>45870</v>
      </c>
      <c r="E24" s="49">
        <v>457.8</v>
      </c>
      <c r="G24" s="49">
        <f t="shared" si="0"/>
        <v>25085.200000000001</v>
      </c>
    </row>
    <row r="25" spans="1:7" ht="16" x14ac:dyDescent="0.2">
      <c r="A25" s="45">
        <v>45913</v>
      </c>
      <c r="B25" s="48">
        <v>1702</v>
      </c>
      <c r="C25" t="s">
        <v>67</v>
      </c>
      <c r="D25" s="55">
        <v>45901</v>
      </c>
      <c r="E25" s="49">
        <v>449.6</v>
      </c>
      <c r="G25" s="49">
        <f t="shared" si="0"/>
        <v>25534.799999999999</v>
      </c>
    </row>
    <row r="26" spans="1:7" ht="16" x14ac:dyDescent="0.2">
      <c r="A26" s="45">
        <v>45914</v>
      </c>
      <c r="B26" s="48">
        <v>402</v>
      </c>
      <c r="C26" t="s">
        <v>68</v>
      </c>
      <c r="E26" s="49">
        <v>225</v>
      </c>
      <c r="G26" s="49">
        <f t="shared" si="0"/>
        <v>25759.8</v>
      </c>
    </row>
    <row r="27" spans="1:7" ht="16" x14ac:dyDescent="0.2">
      <c r="A27" s="45">
        <v>45915</v>
      </c>
      <c r="B27" s="48">
        <v>702</v>
      </c>
      <c r="E27" s="49">
        <v>245.9</v>
      </c>
      <c r="G27" s="49">
        <f t="shared" si="0"/>
        <v>26005.7</v>
      </c>
    </row>
    <row r="28" spans="1:7" ht="16" x14ac:dyDescent="0.2">
      <c r="A28" s="45">
        <v>45915</v>
      </c>
      <c r="D28" t="s">
        <v>79</v>
      </c>
      <c r="F28">
        <v>2000</v>
      </c>
      <c r="G28" s="49">
        <f t="shared" si="0"/>
        <v>24005.7</v>
      </c>
    </row>
    <row r="29" spans="1:7" ht="16" x14ac:dyDescent="0.2">
      <c r="A29" s="45"/>
      <c r="G29" s="49">
        <f t="shared" si="0"/>
        <v>24005.7</v>
      </c>
    </row>
    <row r="30" spans="1:7" ht="16" x14ac:dyDescent="0.2">
      <c r="A30" s="45"/>
      <c r="G30" s="49">
        <f t="shared" si="0"/>
        <v>24005.7</v>
      </c>
    </row>
    <row r="31" spans="1:7" ht="16" x14ac:dyDescent="0.2">
      <c r="A31" s="45"/>
      <c r="G31" s="49">
        <f t="shared" si="0"/>
        <v>24005.7</v>
      </c>
    </row>
    <row r="32" spans="1:7" ht="16" x14ac:dyDescent="0.2">
      <c r="A32" s="45"/>
      <c r="G32" s="49">
        <f t="shared" si="0"/>
        <v>24005.7</v>
      </c>
    </row>
    <row r="33" spans="1:7" ht="16" x14ac:dyDescent="0.2">
      <c r="A33" s="45"/>
      <c r="G33" s="49">
        <f t="shared" si="0"/>
        <v>24005.7</v>
      </c>
    </row>
    <row r="34" spans="1:7" ht="16" x14ac:dyDescent="0.2">
      <c r="A34" s="45"/>
      <c r="G34" s="49">
        <f t="shared" si="0"/>
        <v>24005.7</v>
      </c>
    </row>
    <row r="35" spans="1:7" ht="16" x14ac:dyDescent="0.2">
      <c r="G35" s="49">
        <f t="shared" si="0"/>
        <v>24005.7</v>
      </c>
    </row>
    <row r="36" spans="1:7" ht="16" x14ac:dyDescent="0.2">
      <c r="G36" s="49">
        <f t="shared" si="0"/>
        <v>24005.7</v>
      </c>
    </row>
    <row r="37" spans="1:7" ht="16" x14ac:dyDescent="0.2">
      <c r="G37" s="49">
        <f t="shared" si="0"/>
        <v>24005.7</v>
      </c>
    </row>
    <row r="38" spans="1:7" ht="16" x14ac:dyDescent="0.2">
      <c r="G38" s="49">
        <f t="shared" si="0"/>
        <v>24005.7</v>
      </c>
    </row>
    <row r="39" spans="1:7" ht="16" x14ac:dyDescent="0.2">
      <c r="G39" s="49">
        <f t="shared" si="0"/>
        <v>24005.7</v>
      </c>
    </row>
    <row r="40" spans="1:7" ht="16" x14ac:dyDescent="0.2">
      <c r="G40" s="49">
        <f t="shared" si="0"/>
        <v>24005.7</v>
      </c>
    </row>
    <row r="41" spans="1:7" ht="16" x14ac:dyDescent="0.2">
      <c r="G41" s="49">
        <f t="shared" si="0"/>
        <v>24005.7</v>
      </c>
    </row>
    <row r="42" spans="1:7" ht="16" x14ac:dyDescent="0.2">
      <c r="G42" s="49">
        <f t="shared" si="0"/>
        <v>24005.7</v>
      </c>
    </row>
    <row r="43" spans="1:7" ht="16" x14ac:dyDescent="0.2">
      <c r="G43" s="49">
        <f t="shared" si="0"/>
        <v>24005.7</v>
      </c>
    </row>
    <row r="44" spans="1:7" ht="16" x14ac:dyDescent="0.2">
      <c r="G44" s="49">
        <f t="shared" si="0"/>
        <v>24005.7</v>
      </c>
    </row>
    <row r="45" spans="1:7" ht="16" x14ac:dyDescent="0.2">
      <c r="G45" s="49">
        <f t="shared" si="0"/>
        <v>24005.7</v>
      </c>
    </row>
    <row r="46" spans="1:7" ht="16" x14ac:dyDescent="0.2">
      <c r="G46" s="49">
        <f t="shared" si="0"/>
        <v>24005.7</v>
      </c>
    </row>
    <row r="47" spans="1:7" ht="16" x14ac:dyDescent="0.2">
      <c r="G47" s="49">
        <f t="shared" si="0"/>
        <v>24005.7</v>
      </c>
    </row>
    <row r="48" spans="1:7" ht="16" x14ac:dyDescent="0.2">
      <c r="G48" s="49">
        <f t="shared" si="0"/>
        <v>24005.7</v>
      </c>
    </row>
    <row r="49" spans="7:7" ht="16" x14ac:dyDescent="0.2">
      <c r="G49" s="49">
        <f t="shared" si="0"/>
        <v>24005.7</v>
      </c>
    </row>
    <row r="50" spans="7:7" ht="16" x14ac:dyDescent="0.2">
      <c r="G50" s="49">
        <f t="shared" si="0"/>
        <v>24005.7</v>
      </c>
    </row>
    <row r="51" spans="7:7" ht="16" x14ac:dyDescent="0.2">
      <c r="G51" s="49">
        <f t="shared" si="0"/>
        <v>24005.7</v>
      </c>
    </row>
    <row r="52" spans="7:7" ht="16" x14ac:dyDescent="0.2">
      <c r="G52" s="49">
        <f t="shared" si="0"/>
        <v>24005.7</v>
      </c>
    </row>
    <row r="53" spans="7:7" ht="16" x14ac:dyDescent="0.2">
      <c r="G53" s="49">
        <f t="shared" si="0"/>
        <v>24005.7</v>
      </c>
    </row>
    <row r="54" spans="7:7" ht="16" x14ac:dyDescent="0.2">
      <c r="G54" s="49">
        <f t="shared" si="0"/>
        <v>24005.7</v>
      </c>
    </row>
    <row r="55" spans="7:7" ht="16" x14ac:dyDescent="0.2">
      <c r="G55" s="49">
        <f t="shared" si="0"/>
        <v>24005.7</v>
      </c>
    </row>
    <row r="56" spans="7:7" ht="16" x14ac:dyDescent="0.2">
      <c r="G56" s="49">
        <f t="shared" si="0"/>
        <v>24005.7</v>
      </c>
    </row>
    <row r="57" spans="7:7" ht="16" x14ac:dyDescent="0.2">
      <c r="G57" s="49">
        <f t="shared" si="0"/>
        <v>24005.7</v>
      </c>
    </row>
    <row r="58" spans="7:7" ht="16" x14ac:dyDescent="0.2">
      <c r="G58" s="49">
        <f t="shared" si="0"/>
        <v>24005.7</v>
      </c>
    </row>
    <row r="59" spans="7:7" ht="16" x14ac:dyDescent="0.2">
      <c r="G59" s="49">
        <f t="shared" si="0"/>
        <v>24005.7</v>
      </c>
    </row>
    <row r="60" spans="7:7" ht="16" x14ac:dyDescent="0.2">
      <c r="G60" s="49">
        <f t="shared" si="0"/>
        <v>24005.7</v>
      </c>
    </row>
    <row r="61" spans="7:7" ht="16" x14ac:dyDescent="0.2">
      <c r="G61" s="49">
        <f t="shared" si="0"/>
        <v>24005.7</v>
      </c>
    </row>
    <row r="62" spans="7:7" ht="16" x14ac:dyDescent="0.2">
      <c r="G62" s="49">
        <f t="shared" si="0"/>
        <v>24005.7</v>
      </c>
    </row>
    <row r="63" spans="7:7" ht="16" x14ac:dyDescent="0.2">
      <c r="G63" s="49">
        <f t="shared" si="0"/>
        <v>24005.7</v>
      </c>
    </row>
    <row r="64" spans="7:7" ht="16" x14ac:dyDescent="0.2">
      <c r="G64" s="49">
        <f t="shared" si="0"/>
        <v>24005.7</v>
      </c>
    </row>
    <row r="65" spans="7:7" ht="16" x14ac:dyDescent="0.2">
      <c r="G65" s="49">
        <f t="shared" si="0"/>
        <v>24005.7</v>
      </c>
    </row>
    <row r="66" spans="7:7" ht="16" x14ac:dyDescent="0.2">
      <c r="G66" s="49">
        <f t="shared" si="0"/>
        <v>24005.7</v>
      </c>
    </row>
    <row r="67" spans="7:7" ht="16" x14ac:dyDescent="0.2">
      <c r="G67" s="49">
        <f t="shared" si="0"/>
        <v>24005.7</v>
      </c>
    </row>
    <row r="68" spans="7:7" ht="16" x14ac:dyDescent="0.2">
      <c r="G68" s="49">
        <f t="shared" si="0"/>
        <v>24005.7</v>
      </c>
    </row>
    <row r="69" spans="7:7" ht="16" x14ac:dyDescent="0.2">
      <c r="G69" s="49">
        <f t="shared" si="0"/>
        <v>24005.7</v>
      </c>
    </row>
    <row r="70" spans="7:7" ht="16" x14ac:dyDescent="0.2">
      <c r="G70" s="49">
        <f t="shared" si="0"/>
        <v>24005.7</v>
      </c>
    </row>
    <row r="71" spans="7:7" ht="16" x14ac:dyDescent="0.2">
      <c r="G71" s="49">
        <f t="shared" si="0"/>
        <v>24005.7</v>
      </c>
    </row>
    <row r="72" spans="7:7" ht="16" x14ac:dyDescent="0.2">
      <c r="G72" s="49">
        <f t="shared" si="0"/>
        <v>24005.7</v>
      </c>
    </row>
    <row r="73" spans="7:7" ht="16" x14ac:dyDescent="0.2">
      <c r="G73" s="49">
        <f t="shared" si="0"/>
        <v>24005.7</v>
      </c>
    </row>
    <row r="74" spans="7:7" ht="16" x14ac:dyDescent="0.2">
      <c r="G74" s="49">
        <f t="shared" si="0"/>
        <v>24005.7</v>
      </c>
    </row>
    <row r="75" spans="7:7" ht="16" x14ac:dyDescent="0.2">
      <c r="G75" s="49">
        <f t="shared" ref="G75:G120" si="1">G74+E75-F75</f>
        <v>24005.7</v>
      </c>
    </row>
    <row r="76" spans="7:7" ht="16" x14ac:dyDescent="0.2">
      <c r="G76" s="49">
        <f t="shared" si="1"/>
        <v>24005.7</v>
      </c>
    </row>
    <row r="77" spans="7:7" ht="16" x14ac:dyDescent="0.2">
      <c r="G77" s="49">
        <f t="shared" si="1"/>
        <v>24005.7</v>
      </c>
    </row>
    <row r="78" spans="7:7" ht="16" x14ac:dyDescent="0.2">
      <c r="G78" s="49">
        <f t="shared" si="1"/>
        <v>24005.7</v>
      </c>
    </row>
    <row r="79" spans="7:7" ht="16" x14ac:dyDescent="0.2">
      <c r="G79" s="49">
        <f t="shared" si="1"/>
        <v>24005.7</v>
      </c>
    </row>
    <row r="80" spans="7:7" ht="16" x14ac:dyDescent="0.2">
      <c r="G80" s="49">
        <f t="shared" si="1"/>
        <v>24005.7</v>
      </c>
    </row>
    <row r="81" spans="7:7" ht="16" x14ac:dyDescent="0.2">
      <c r="G81" s="49">
        <f t="shared" si="1"/>
        <v>24005.7</v>
      </c>
    </row>
    <row r="82" spans="7:7" ht="16" x14ac:dyDescent="0.2">
      <c r="G82" s="49">
        <f t="shared" si="1"/>
        <v>24005.7</v>
      </c>
    </row>
    <row r="83" spans="7:7" ht="16" x14ac:dyDescent="0.2">
      <c r="G83" s="49">
        <f t="shared" si="1"/>
        <v>24005.7</v>
      </c>
    </row>
    <row r="84" spans="7:7" ht="16" x14ac:dyDescent="0.2">
      <c r="G84" s="49">
        <f t="shared" si="1"/>
        <v>24005.7</v>
      </c>
    </row>
    <row r="85" spans="7:7" ht="16" x14ac:dyDescent="0.2">
      <c r="G85" s="49">
        <f t="shared" si="1"/>
        <v>24005.7</v>
      </c>
    </row>
    <row r="86" spans="7:7" ht="16" x14ac:dyDescent="0.2">
      <c r="G86" s="49">
        <f t="shared" si="1"/>
        <v>24005.7</v>
      </c>
    </row>
    <row r="87" spans="7:7" ht="16" x14ac:dyDescent="0.2">
      <c r="G87" s="49">
        <f t="shared" si="1"/>
        <v>24005.7</v>
      </c>
    </row>
    <row r="88" spans="7:7" ht="16" x14ac:dyDescent="0.2">
      <c r="G88" s="49">
        <f t="shared" si="1"/>
        <v>24005.7</v>
      </c>
    </row>
    <row r="89" spans="7:7" ht="16" x14ac:dyDescent="0.2">
      <c r="G89" s="49">
        <f t="shared" si="1"/>
        <v>24005.7</v>
      </c>
    </row>
    <row r="90" spans="7:7" ht="16" x14ac:dyDescent="0.2">
      <c r="G90" s="49">
        <f t="shared" si="1"/>
        <v>24005.7</v>
      </c>
    </row>
    <row r="91" spans="7:7" ht="16" x14ac:dyDescent="0.2">
      <c r="G91" s="49">
        <f t="shared" si="1"/>
        <v>24005.7</v>
      </c>
    </row>
    <row r="92" spans="7:7" ht="16" x14ac:dyDescent="0.2">
      <c r="G92" s="49">
        <f t="shared" si="1"/>
        <v>24005.7</v>
      </c>
    </row>
    <row r="93" spans="7:7" ht="16" x14ac:dyDescent="0.2">
      <c r="G93" s="49">
        <f t="shared" si="1"/>
        <v>24005.7</v>
      </c>
    </row>
    <row r="94" spans="7:7" ht="16" x14ac:dyDescent="0.2">
      <c r="G94" s="49">
        <f t="shared" si="1"/>
        <v>24005.7</v>
      </c>
    </row>
    <row r="95" spans="7:7" ht="16" x14ac:dyDescent="0.2">
      <c r="G95" s="49">
        <f t="shared" si="1"/>
        <v>24005.7</v>
      </c>
    </row>
    <row r="96" spans="7:7" ht="16" x14ac:dyDescent="0.2">
      <c r="G96" s="49">
        <f t="shared" si="1"/>
        <v>24005.7</v>
      </c>
    </row>
    <row r="97" spans="7:7" ht="16" x14ac:dyDescent="0.2">
      <c r="G97" s="49">
        <f t="shared" si="1"/>
        <v>24005.7</v>
      </c>
    </row>
    <row r="98" spans="7:7" ht="16" x14ac:dyDescent="0.2">
      <c r="G98" s="49">
        <f t="shared" si="1"/>
        <v>24005.7</v>
      </c>
    </row>
    <row r="99" spans="7:7" ht="16" x14ac:dyDescent="0.2">
      <c r="G99" s="49">
        <f t="shared" si="1"/>
        <v>24005.7</v>
      </c>
    </row>
    <row r="100" spans="7:7" ht="16" x14ac:dyDescent="0.2">
      <c r="G100" s="49">
        <f t="shared" si="1"/>
        <v>24005.7</v>
      </c>
    </row>
    <row r="101" spans="7:7" ht="16" x14ac:dyDescent="0.2">
      <c r="G101" s="49">
        <f t="shared" si="1"/>
        <v>24005.7</v>
      </c>
    </row>
    <row r="102" spans="7:7" ht="16" x14ac:dyDescent="0.2">
      <c r="G102" s="49">
        <f t="shared" si="1"/>
        <v>24005.7</v>
      </c>
    </row>
    <row r="103" spans="7:7" ht="16" x14ac:dyDescent="0.2">
      <c r="G103" s="49">
        <f t="shared" si="1"/>
        <v>24005.7</v>
      </c>
    </row>
    <row r="104" spans="7:7" ht="16" x14ac:dyDescent="0.2">
      <c r="G104" s="49">
        <f t="shared" si="1"/>
        <v>24005.7</v>
      </c>
    </row>
    <row r="105" spans="7:7" ht="16" x14ac:dyDescent="0.2">
      <c r="G105" s="49">
        <f t="shared" si="1"/>
        <v>24005.7</v>
      </c>
    </row>
    <row r="106" spans="7:7" ht="16" x14ac:dyDescent="0.2">
      <c r="G106" s="49">
        <f t="shared" si="1"/>
        <v>24005.7</v>
      </c>
    </row>
    <row r="107" spans="7:7" ht="16" x14ac:dyDescent="0.2">
      <c r="G107" s="49">
        <f t="shared" si="1"/>
        <v>24005.7</v>
      </c>
    </row>
    <row r="108" spans="7:7" ht="16" x14ac:dyDescent="0.2">
      <c r="G108" s="49">
        <f t="shared" si="1"/>
        <v>24005.7</v>
      </c>
    </row>
    <row r="109" spans="7:7" ht="16" x14ac:dyDescent="0.2">
      <c r="G109" s="49">
        <f t="shared" si="1"/>
        <v>24005.7</v>
      </c>
    </row>
    <row r="110" spans="7:7" ht="16" x14ac:dyDescent="0.2">
      <c r="G110" s="49">
        <f t="shared" si="1"/>
        <v>24005.7</v>
      </c>
    </row>
    <row r="111" spans="7:7" ht="16" x14ac:dyDescent="0.2">
      <c r="G111" s="49">
        <f t="shared" si="1"/>
        <v>24005.7</v>
      </c>
    </row>
    <row r="112" spans="7:7" ht="16" x14ac:dyDescent="0.2">
      <c r="G112" s="49">
        <f t="shared" si="1"/>
        <v>24005.7</v>
      </c>
    </row>
    <row r="113" spans="7:7" ht="16" x14ac:dyDescent="0.2">
      <c r="G113" s="49">
        <f t="shared" si="1"/>
        <v>24005.7</v>
      </c>
    </row>
    <row r="114" spans="7:7" ht="16" x14ac:dyDescent="0.2">
      <c r="G114" s="49">
        <f t="shared" si="1"/>
        <v>24005.7</v>
      </c>
    </row>
    <row r="115" spans="7:7" ht="16" x14ac:dyDescent="0.2">
      <c r="G115" s="49">
        <f t="shared" si="1"/>
        <v>24005.7</v>
      </c>
    </row>
    <row r="116" spans="7:7" ht="16" x14ac:dyDescent="0.2">
      <c r="G116" s="49">
        <f t="shared" si="1"/>
        <v>24005.7</v>
      </c>
    </row>
    <row r="117" spans="7:7" ht="16" x14ac:dyDescent="0.2">
      <c r="G117" s="49">
        <f t="shared" si="1"/>
        <v>24005.7</v>
      </c>
    </row>
    <row r="118" spans="7:7" ht="16" x14ac:dyDescent="0.2">
      <c r="G118" s="49">
        <f t="shared" si="1"/>
        <v>24005.7</v>
      </c>
    </row>
    <row r="119" spans="7:7" ht="16" x14ac:dyDescent="0.2">
      <c r="G119" s="49">
        <f t="shared" si="1"/>
        <v>24005.7</v>
      </c>
    </row>
    <row r="120" spans="7:7" ht="16" x14ac:dyDescent="0.2">
      <c r="G120" s="49">
        <f t="shared" si="1"/>
        <v>24005.7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1RA QUINC FEBRERO 26</vt:lpstr>
      <vt:lpstr>Dep. GJ</vt:lpstr>
      <vt:lpstr>Cta. Temporal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Giuliana Jara Pérez</dc:creator>
  <cp:lastModifiedBy>Avila, Carlos</cp:lastModifiedBy>
  <cp:lastPrinted>2025-09-11T22:27:46Z</cp:lastPrinted>
  <dcterms:created xsi:type="dcterms:W3CDTF">2024-12-13T10:12:22Z</dcterms:created>
  <dcterms:modified xsi:type="dcterms:W3CDTF">2026-02-19T13:14:26Z</dcterms:modified>
</cp:coreProperties>
</file>