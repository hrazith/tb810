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30C90A5B-0D11-2448-AC6F-9315A785CEDB}" xr6:coauthVersionLast="47" xr6:coauthVersionMax="47" xr10:uidLastSave="{00000000-0000-0000-0000-000000000000}"/>
  <bookViews>
    <workbookView xWindow="0" yWindow="780" windowWidth="26420" windowHeight="20740" xr2:uid="{A53F12CC-3A1D-433A-9267-D36D3681399C}"/>
  </bookViews>
  <sheets>
    <sheet name="1RA QUINC MARZO 26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I37" i="1"/>
  <c r="I31" i="1"/>
  <c r="I19" i="1"/>
  <c r="I43" i="1" l="1"/>
  <c r="I4" i="1" l="1"/>
  <c r="I10" i="1"/>
  <c r="J9" i="1"/>
  <c r="J8" i="1"/>
  <c r="J7" i="1"/>
  <c r="I26" i="1"/>
  <c r="J5" i="1" l="1"/>
  <c r="I15" i="1"/>
  <c r="I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<sst xmlns="http://schemas.openxmlformats.org/spreadsheetml/2006/main" count="170" uniqueCount="128">
  <si>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</si>
  <si>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</si>
  <si>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</si>
  <si>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</si>
  <si>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</si>
  <si>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</si>
  <si>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</si>
  <si>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</si>
  <si>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</si>
  <si>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</si>
  <si>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</si>
  <si>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</si>
  <si>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</si>
  <si>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</si>
  <si>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</si>
  <si>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</si>
  <si>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</si>
  <si>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</si>
  <si>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</si>
  <si>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</si>
  <si>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</si>
  <si>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</si>
  <si>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</si>
  <si>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</si>
  <si>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</si>
  <si>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</si>
  <si>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</si>
  <si>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</si>
  <si>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</si>
  <si>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</si>
  <si>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</si>
  <si>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</si>
  <si>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</si>
  <si>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</si>
  <si>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</si>
  <si>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</si>
  <si>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</si>
  <si>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</si>
  <si>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</si>
  <si>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</si>
  <si>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</si>
  <si>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</si>
  <si>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</si>
  <si>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</si>
  <si>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</si>
  <si>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</si>
  <si>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</si>
  <si>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</si>
  <si>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</si>
  <si>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</si>
  <si>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</si>
  <si>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</si>
  <si>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</si>
  <si>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</si>
  <si>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</si>
  <si>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</si>
  <si>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</si>
  <si>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</si>
  <si>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</si>
  <si>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</si>
  <si>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</si>
  <si>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</si>
  <si>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</si>
  <si>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</si>
  <si>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</si>
  <si>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</si>
  <si>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</si>
  <si>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</si>
  <si>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</si>
  <si>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</si>
  <si>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</si>
  <si>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</si>
  <si>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</si>
  <si>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</si>
  <si>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</si>
  <si>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</si>
  <si>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</si>
  <si>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</si>
  <si>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</si>
  <si>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</si>
  <si>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</si>
  <si>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</si>
  <si>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</si>
  <si>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</si>
  <si>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</si>
  <si>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</si>
  <si>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</si>
  <si>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</si>
  <si>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</si>
  <si>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</si>
  <si>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</si>
  <si>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</si>
  <si>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</si>
  <si>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</si>
  <si>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Compras varios: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</si>
  <si>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</si>
  <si>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</si>
  <si>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</si>
  <si>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</si>
  <si>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</si>
  <si>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</si>
  <si>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 xml:space="preserve">Sedapal </t>
  </si>
  <si>
    <t xml:space="preserve">ELMER HUAMAN JARA </t>
  </si>
  <si>
    <t xml:space="preserve">Interbank </t>
  </si>
  <si>
    <t>274-3120672859</t>
  </si>
  <si>
    <t>Ascensor 1</t>
  </si>
  <si>
    <t>E001-82</t>
  </si>
  <si>
    <t>Relevo vacaciones 15 días (02 hrs.)</t>
  </si>
  <si>
    <t>ORDEN DE PAGO - MARZO 2026 (PRIMERA QUINCENA)</t>
  </si>
  <si>
    <t>Consumo Febrero 2026 16/03/2026</t>
  </si>
  <si>
    <t>Consumo Febrero 2026 10/03/2026</t>
  </si>
  <si>
    <t>S107-0003377734</t>
  </si>
  <si>
    <t>Servicio de Agua - Febrero 2026</t>
  </si>
  <si>
    <t>Periodo  04/02/2026 - 06/03/2026</t>
  </si>
  <si>
    <t>Mes Febrero - 2026</t>
  </si>
  <si>
    <t>Ticket-N°   5522718629</t>
  </si>
  <si>
    <t>Ticket- N°    3522718661</t>
  </si>
  <si>
    <t>Mes de Febrero 26</t>
  </si>
  <si>
    <t xml:space="preserve">Por cancelar Mantenimiento correctivo </t>
  </si>
  <si>
    <t xml:space="preserve">Cambio de llave de paso Dpto. </t>
  </si>
  <si>
    <t>Cambio de regadera de cocina del personal</t>
  </si>
  <si>
    <t xml:space="preserve">Tai Loy </t>
  </si>
  <si>
    <t xml:space="preserve">Materiales de escritorio para portería </t>
  </si>
  <si>
    <t>Mantenimiento de ascensores Febrero 26</t>
  </si>
  <si>
    <t xml:space="preserve">BBVA CONTINENTAL CCI. 011-135-000100051995-17 </t>
  </si>
  <si>
    <t>ACCESORIOS &amp; ASCENSORES SAC</t>
  </si>
  <si>
    <t xml:space="preserve">RECIBO </t>
  </si>
  <si>
    <t xml:space="preserve">Se realiza el día miércoles 18 de marzo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</si>
</sst>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4" fontId="8" fillId="0" borderId="0" xfId="0" applyNumberFormat="1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4" fontId="2" fillId="5" borderId="0" xfId="0" applyNumberFormat="1" applyFont="1" applyFill="1" applyAlignment="1">
      <alignment horizontal="right" wrapText="1"/>
    </xf>
    <xf numFmtId="2" fontId="2" fillId="5" borderId="0" xfId="0" applyNumberFormat="1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49CC46F-19CB-8BA5-58DD-3E03B820E6ED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E96"/>
  <sheetViews>
    <sheetView tabSelected="1" topLeftCell="A8" zoomScaleNormal="100" workbookViewId="0">
      <selection activeCell="I37" sqref="I37"/>
    </sheetView>
  </sheetViews>
  <sheetFormatPr baseColWidth="10" defaultColWidth="11.5" defaultRowHeight="19" x14ac:dyDescent="0.25"/>
  <cols>
    <col min="1" max="1" width="18.33203125" style="28" customWidth="1"/>
    <col min="2" max="2" width="37.1640625" style="28" customWidth="1"/>
    <col min="3" max="3" width="36.33203125" style="5" customWidth="1"/>
    <col min="4" max="4" width="56" style="28" bestFit="1" customWidth="1"/>
    <col min="5" max="6" width="5.1640625" style="5" customWidth="1"/>
    <col min="7" max="7" width="8.1640625" style="5" customWidth="1"/>
    <col min="8" max="8" width="11.5" style="29"/>
    <col min="9" max="9" width="13.5" style="29" customWidth="1"/>
    <col min="10" max="10" width="16.83203125" style="54" bestFit="1" customWidth="1"/>
    <col min="11" max="11" width="5.5" style="5" customWidth="1"/>
    <col min="12" max="15" width="9.1640625" style="31" customWidth="1"/>
    <col min="16" max="16384" width="11.5" style="5"/>
  </cols>
  <sheetData>
    <row r="1" spans="1:31" x14ac:dyDescent="0.25">
      <c r="A1" s="1" t="s">
        <v>12</v>
      </c>
      <c r="B1" s="2"/>
      <c r="C1" s="3"/>
      <c r="D1" s="2"/>
      <c r="E1" s="3"/>
      <c r="F1" s="3"/>
      <c r="G1" s="3"/>
      <c r="H1" s="4"/>
      <c r="I1" s="4"/>
      <c r="K1"/>
      <c r="AE1"/>
    </row>
    <row r="2" spans="1:31" s="8" customFormat="1" ht="20" x14ac:dyDescent="0.25">
      <c r="A2" s="1" t="s">
        <v>108</v>
      </c>
      <c r="B2" s="2"/>
      <c r="C2" s="6"/>
      <c r="D2" s="2"/>
      <c r="E2" s="6"/>
      <c r="F2" s="6"/>
      <c r="G2" s="6"/>
      <c r="H2" s="7" t="s">
        <v>0</v>
      </c>
      <c r="I2" s="7">
        <f>SUM(I3:I43)</f>
        <v>11776.460000000001</v>
      </c>
      <c r="J2" s="55" t="s">
        <v>14</v>
      </c>
      <c r="K2"/>
      <c r="L2"/>
      <c r="M2" s="57"/>
      <c r="N2" s="57"/>
      <c r="O2" s="60"/>
      <c r="P2"/>
      <c r="S2"/>
      <c r="T2"/>
      <c r="V2"/>
      <c r="X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/>
      <c r="M3" s="57"/>
      <c r="N3" s="57"/>
      <c r="O3" s="57"/>
      <c r="Q3"/>
      <c r="R3"/>
      <c r="X3"/>
    </row>
    <row r="4" spans="1:31" s="8" customFormat="1" x14ac:dyDescent="0.25">
      <c r="A4" s="10" t="s">
        <v>13</v>
      </c>
      <c r="B4" s="11"/>
      <c r="C4" s="12"/>
      <c r="D4" s="11"/>
      <c r="E4" s="12"/>
      <c r="F4" s="12"/>
      <c r="G4" s="12"/>
      <c r="H4" s="13"/>
      <c r="I4" s="68">
        <f>SUM(H5:H9)</f>
        <v>2260</v>
      </c>
      <c r="J4" s="9"/>
      <c r="K4"/>
      <c r="L4" s="60"/>
      <c r="M4" s="57"/>
      <c r="N4" s="57"/>
      <c r="O4" s="57"/>
      <c r="T4"/>
    </row>
    <row r="5" spans="1:31" s="8" customFormat="1" ht="20" x14ac:dyDescent="0.25">
      <c r="A5" s="2"/>
      <c r="B5" s="14" t="s">
        <v>97</v>
      </c>
      <c r="C5" s="6" t="s">
        <v>96</v>
      </c>
      <c r="D5" s="14" t="s">
        <v>1</v>
      </c>
      <c r="E5" s="6"/>
      <c r="F5" s="6"/>
      <c r="G5" s="6"/>
      <c r="H5" s="4">
        <v>500</v>
      </c>
      <c r="I5" s="4"/>
      <c r="J5" s="57">
        <f>H5+H6</f>
        <v>760</v>
      </c>
      <c r="K5" s="61"/>
      <c r="L5" s="60"/>
      <c r="M5" s="57"/>
      <c r="N5" s="57"/>
      <c r="O5" s="57"/>
    </row>
    <row r="6" spans="1:31" s="8" customFormat="1" x14ac:dyDescent="0.25">
      <c r="A6" s="2"/>
      <c r="B6" s="14"/>
      <c r="C6" s="6"/>
      <c r="D6" s="66" t="s">
        <v>107</v>
      </c>
      <c r="E6" s="34"/>
      <c r="F6" s="34"/>
      <c r="G6" s="34"/>
      <c r="H6" s="63">
        <v>260</v>
      </c>
      <c r="I6" s="4"/>
      <c r="J6" s="57"/>
      <c r="K6" s="61"/>
      <c r="L6" s="60"/>
      <c r="M6" s="57"/>
      <c r="N6" s="57"/>
      <c r="O6" s="57"/>
    </row>
    <row r="7" spans="1:31" s="8" customFormat="1" ht="20" x14ac:dyDescent="0.25">
      <c r="A7" s="2"/>
      <c r="B7" s="15" t="s">
        <v>2</v>
      </c>
      <c r="C7" s="16" t="s">
        <v>98</v>
      </c>
      <c r="D7" s="15" t="s">
        <v>95</v>
      </c>
      <c r="E7" s="16"/>
      <c r="F7" s="16"/>
      <c r="G7" s="16"/>
      <c r="H7" s="4">
        <v>500</v>
      </c>
      <c r="I7" s="4"/>
      <c r="J7" s="57">
        <f>H7</f>
        <v>500</v>
      </c>
      <c r="K7" s="61"/>
      <c r="L7" s="57"/>
      <c r="M7" s="57"/>
      <c r="N7" s="57"/>
      <c r="O7" s="57"/>
    </row>
    <row r="8" spans="1:31" s="8" customFormat="1" ht="20" x14ac:dyDescent="0.25">
      <c r="A8" s="2"/>
      <c r="B8" s="14" t="s">
        <v>3</v>
      </c>
      <c r="C8" s="6" t="s">
        <v>99</v>
      </c>
      <c r="D8" s="14" t="s">
        <v>95</v>
      </c>
      <c r="E8" s="6"/>
      <c r="F8" s="6"/>
      <c r="G8" s="6"/>
      <c r="H8" s="4">
        <v>500</v>
      </c>
      <c r="I8" s="4"/>
      <c r="J8" s="57">
        <f>H8</f>
        <v>500</v>
      </c>
      <c r="K8" s="61"/>
      <c r="L8" s="57"/>
      <c r="M8" s="60"/>
      <c r="N8" s="57"/>
      <c r="O8" s="57"/>
    </row>
    <row r="9" spans="1:31" s="8" customFormat="1" ht="20" x14ac:dyDescent="0.25">
      <c r="A9" s="2"/>
      <c r="B9" s="15" t="s">
        <v>4</v>
      </c>
      <c r="C9" s="59" t="s">
        <v>100</v>
      </c>
      <c r="D9" s="58" t="s">
        <v>95</v>
      </c>
      <c r="E9" s="16"/>
      <c r="F9" s="16"/>
      <c r="G9" s="16"/>
      <c r="H9" s="4">
        <v>500</v>
      </c>
      <c r="I9" s="4"/>
      <c r="J9" s="57">
        <f>H9</f>
        <v>500</v>
      </c>
      <c r="K9" s="61"/>
      <c r="L9" s="57"/>
      <c r="M9" s="57"/>
      <c r="N9" s="57"/>
      <c r="O9" s="57"/>
    </row>
    <row r="10" spans="1:31" s="8" customFormat="1" x14ac:dyDescent="0.25">
      <c r="A10" s="10" t="s">
        <v>5</v>
      </c>
      <c r="B10" s="11"/>
      <c r="C10" s="12"/>
      <c r="D10" s="11"/>
      <c r="E10" s="12"/>
      <c r="F10" s="12"/>
      <c r="G10" s="12"/>
      <c r="H10" s="13"/>
      <c r="I10" s="68">
        <f>SUM(H11:H13)</f>
        <v>1953.5</v>
      </c>
      <c r="J10" s="9"/>
      <c r="L10" s="57"/>
      <c r="M10" s="57"/>
      <c r="N10" s="57"/>
      <c r="O10" s="57"/>
      <c r="AD10"/>
    </row>
    <row r="11" spans="1:31" s="8" customFormat="1" x14ac:dyDescent="0.25">
      <c r="A11" s="2"/>
      <c r="B11" s="2">
        <v>1466143</v>
      </c>
      <c r="C11" s="6"/>
      <c r="D11" s="14" t="s">
        <v>109</v>
      </c>
      <c r="E11" s="6"/>
      <c r="F11" s="6"/>
      <c r="G11" s="6"/>
      <c r="H11" s="4">
        <v>1544.9</v>
      </c>
      <c r="I11" s="4"/>
      <c r="J11" s="56"/>
      <c r="L11" s="57"/>
      <c r="M11" s="60"/>
      <c r="N11" s="57"/>
      <c r="O11" s="57"/>
    </row>
    <row r="12" spans="1:31" s="8" customFormat="1" x14ac:dyDescent="0.25">
      <c r="A12" s="2"/>
      <c r="B12" s="2">
        <v>1446699</v>
      </c>
      <c r="C12" s="6"/>
      <c r="D12" s="14" t="s">
        <v>110</v>
      </c>
      <c r="E12" s="6"/>
      <c r="F12" s="6"/>
      <c r="G12" s="6"/>
      <c r="H12" s="4">
        <v>395.3</v>
      </c>
      <c r="I12" s="4"/>
      <c r="J12" s="9"/>
      <c r="L12" s="60"/>
      <c r="M12" s="57"/>
      <c r="N12" s="57"/>
      <c r="O12" s="57"/>
    </row>
    <row r="13" spans="1:31" s="8" customFormat="1" x14ac:dyDescent="0.25">
      <c r="A13" s="2"/>
      <c r="B13" s="2">
        <v>1466144</v>
      </c>
      <c r="C13" s="6"/>
      <c r="D13" s="14" t="s">
        <v>109</v>
      </c>
      <c r="E13" s="6"/>
      <c r="F13" s="6"/>
      <c r="G13" s="6"/>
      <c r="H13" s="4">
        <v>13.3</v>
      </c>
      <c r="I13" s="4"/>
      <c r="J13" s="9"/>
      <c r="L13" s="57"/>
      <c r="M13" s="57"/>
      <c r="N13" s="57"/>
      <c r="O13" s="57"/>
    </row>
    <row r="14" spans="1:31" s="8" customFormat="1" x14ac:dyDescent="0.25">
      <c r="A14" s="2"/>
      <c r="B14" s="2"/>
      <c r="C14" s="6"/>
      <c r="D14" s="2"/>
      <c r="E14" s="6"/>
      <c r="F14" s="6"/>
      <c r="G14" s="6"/>
      <c r="H14" s="4"/>
      <c r="I14" s="4"/>
      <c r="J14" s="9"/>
      <c r="L14" s="57"/>
      <c r="M14" s="57"/>
      <c r="N14" s="57"/>
      <c r="O14" s="57"/>
    </row>
    <row r="15" spans="1:31" s="8" customFormat="1" x14ac:dyDescent="0.25">
      <c r="A15" s="10" t="s">
        <v>6</v>
      </c>
      <c r="B15" s="11"/>
      <c r="C15" s="12"/>
      <c r="D15" s="11"/>
      <c r="E15" s="12"/>
      <c r="F15" s="12"/>
      <c r="G15" s="12"/>
      <c r="H15" s="13"/>
      <c r="I15" s="68">
        <f>SUM(H16)</f>
        <v>2870.1</v>
      </c>
      <c r="J15" s="9"/>
      <c r="L15" s="57"/>
      <c r="M15" s="57"/>
      <c r="N15" s="57"/>
      <c r="O15" s="57"/>
    </row>
    <row r="16" spans="1:31" s="8" customFormat="1" x14ac:dyDescent="0.25">
      <c r="A16" s="2"/>
      <c r="B16" s="14" t="s">
        <v>111</v>
      </c>
      <c r="C16" s="6"/>
      <c r="D16" s="14" t="s">
        <v>112</v>
      </c>
      <c r="E16" s="6"/>
      <c r="F16" s="6"/>
      <c r="G16" s="6"/>
      <c r="H16" s="4">
        <v>2870.1</v>
      </c>
      <c r="I16" s="4"/>
      <c r="J16" s="9"/>
      <c r="L16" s="57"/>
      <c r="M16" s="57"/>
      <c r="N16" s="57"/>
      <c r="O16" s="57"/>
    </row>
    <row r="17" spans="1:30" s="8" customFormat="1" x14ac:dyDescent="0.25">
      <c r="A17" s="2"/>
      <c r="B17" s="2">
        <v>5375398</v>
      </c>
      <c r="C17" s="6"/>
      <c r="D17" s="17" t="s">
        <v>113</v>
      </c>
      <c r="E17" s="6"/>
      <c r="F17" s="6"/>
      <c r="G17" s="6"/>
      <c r="H17" s="4"/>
      <c r="I17" s="4"/>
      <c r="J17" s="9"/>
      <c r="L17" s="57"/>
      <c r="M17" s="57"/>
      <c r="N17" s="57"/>
      <c r="O17" s="57"/>
    </row>
    <row r="18" spans="1:30" s="8" customFormat="1" x14ac:dyDescent="0.25">
      <c r="A18" s="2"/>
      <c r="B18" s="2"/>
      <c r="C18" s="6"/>
      <c r="D18" s="2"/>
      <c r="E18" s="6"/>
      <c r="F18" s="6"/>
      <c r="G18" s="6"/>
      <c r="H18" s="4"/>
      <c r="I18" s="4"/>
      <c r="J18" s="9"/>
      <c r="L18" s="57"/>
      <c r="M18" s="57"/>
      <c r="N18" s="57"/>
      <c r="O18" s="57"/>
    </row>
    <row r="19" spans="1:30" s="22" customFormat="1" ht="17.5" customHeight="1" x14ac:dyDescent="0.2">
      <c r="A19" s="18" t="s">
        <v>15</v>
      </c>
      <c r="B19" s="19"/>
      <c r="C19" s="20"/>
      <c r="D19" s="19"/>
      <c r="E19" s="20"/>
      <c r="F19" s="20"/>
      <c r="G19" s="20"/>
      <c r="H19" s="21"/>
      <c r="I19" s="70">
        <f>H21+H23</f>
        <v>540.16000000000008</v>
      </c>
      <c r="J19" s="69">
        <f>SUM(I19:I31)</f>
        <v>1592.8600000000001</v>
      </c>
      <c r="L19" s="54"/>
      <c r="M19" s="54"/>
      <c r="N19" s="54"/>
      <c r="O19" s="54"/>
    </row>
    <row r="20" spans="1:30" ht="20" x14ac:dyDescent="0.25">
      <c r="A20" s="25" t="s">
        <v>81</v>
      </c>
      <c r="B20" s="23"/>
      <c r="C20" s="24"/>
      <c r="D20" s="27" t="s">
        <v>17</v>
      </c>
      <c r="E20" s="24"/>
      <c r="F20" s="24"/>
      <c r="G20" s="24"/>
      <c r="H20" s="26"/>
      <c r="I20" s="4"/>
      <c r="J20" s="4"/>
    </row>
    <row r="21" spans="1:30" s="8" customFormat="1" ht="20" x14ac:dyDescent="0.25">
      <c r="A21" s="2"/>
      <c r="B21" s="2" t="s">
        <v>8</v>
      </c>
      <c r="C21" s="6"/>
      <c r="D21" s="14" t="s">
        <v>114</v>
      </c>
      <c r="E21" s="6"/>
      <c r="F21" s="6"/>
      <c r="G21" s="6"/>
      <c r="H21" s="4">
        <v>257.22000000000003</v>
      </c>
      <c r="I21" s="4"/>
      <c r="L21" s="57"/>
      <c r="M21" s="57"/>
      <c r="N21" s="57"/>
      <c r="O21" s="57"/>
    </row>
    <row r="22" spans="1:30" s="8" customFormat="1" ht="16.25" customHeight="1" x14ac:dyDescent="0.25">
      <c r="A22" s="2"/>
      <c r="B22" s="2"/>
      <c r="C22" s="6"/>
      <c r="D22" s="52" t="s">
        <v>115</v>
      </c>
      <c r="E22" s="6"/>
      <c r="F22" s="6"/>
      <c r="G22" s="6"/>
      <c r="H22" s="4"/>
      <c r="I22" s="4"/>
      <c r="J22" s="9"/>
      <c r="L22" s="57"/>
      <c r="M22" s="57"/>
      <c r="N22" s="57"/>
      <c r="O22" s="57"/>
      <c r="R22"/>
    </row>
    <row r="23" spans="1:30" s="8" customFormat="1" x14ac:dyDescent="0.25">
      <c r="A23" s="2"/>
      <c r="B23" s="14" t="s">
        <v>9</v>
      </c>
      <c r="C23" s="6"/>
      <c r="D23" s="14" t="s">
        <v>114</v>
      </c>
      <c r="E23" s="6"/>
      <c r="F23" s="6"/>
      <c r="G23" s="6"/>
      <c r="H23" s="4">
        <v>282.94</v>
      </c>
      <c r="I23" s="4"/>
      <c r="L23" s="57"/>
      <c r="M23" s="57"/>
      <c r="N23" s="57"/>
      <c r="O23" s="57"/>
      <c r="V23"/>
    </row>
    <row r="24" spans="1:30" s="8" customFormat="1" ht="16.25" customHeight="1" x14ac:dyDescent="0.25">
      <c r="A24" s="2"/>
      <c r="B24" s="2"/>
      <c r="C24" s="6"/>
      <c r="D24" s="52" t="s">
        <v>116</v>
      </c>
      <c r="E24" s="6"/>
      <c r="F24" s="6"/>
      <c r="G24" s="6"/>
      <c r="H24" s="4"/>
      <c r="I24" s="4"/>
      <c r="J24" s="9"/>
      <c r="L24" s="57"/>
      <c r="M24" s="57"/>
      <c r="N24" s="57"/>
      <c r="O24" s="57"/>
      <c r="AD24"/>
    </row>
    <row r="25" spans="1:30" s="8" customFormat="1" ht="16.25" customHeight="1" x14ac:dyDescent="0.25">
      <c r="A25" s="2"/>
      <c r="B25" s="2"/>
      <c r="C25" s="6"/>
      <c r="D25" s="52"/>
      <c r="E25" s="6"/>
      <c r="F25" s="6"/>
      <c r="G25" s="6"/>
      <c r="H25" s="4"/>
      <c r="I25" s="4"/>
      <c r="J25" s="9"/>
      <c r="L25" s="57"/>
      <c r="M25" s="57"/>
      <c r="N25" s="57"/>
      <c r="O25" s="57"/>
      <c r="AD25"/>
    </row>
    <row r="26" spans="1:30" s="8" customFormat="1" ht="16.25" customHeight="1" x14ac:dyDescent="0.25">
      <c r="A26" s="18" t="s">
        <v>15</v>
      </c>
      <c r="B26" s="19"/>
      <c r="C26" s="20"/>
      <c r="D26" s="19"/>
      <c r="E26" s="20"/>
      <c r="F26" s="20"/>
      <c r="G26" s="20"/>
      <c r="H26" s="21"/>
      <c r="I26" s="70">
        <f>H28</f>
        <v>427</v>
      </c>
      <c r="J26" s="9"/>
      <c r="L26" s="57"/>
      <c r="M26" s="57"/>
      <c r="N26" s="57"/>
      <c r="O26" s="57"/>
      <c r="AD26"/>
    </row>
    <row r="27" spans="1:30" s="8" customFormat="1" ht="20" x14ac:dyDescent="0.25">
      <c r="A27" s="25" t="s">
        <v>10</v>
      </c>
      <c r="B27" s="23"/>
      <c r="C27" s="24"/>
      <c r="D27" s="27" t="s">
        <v>19</v>
      </c>
      <c r="E27" s="24"/>
      <c r="F27" s="24"/>
      <c r="G27" s="24"/>
      <c r="H27" s="26"/>
      <c r="I27" s="4"/>
      <c r="J27" s="9"/>
      <c r="L27" s="57"/>
      <c r="M27" s="57"/>
      <c r="N27" s="57"/>
      <c r="O27" s="57"/>
    </row>
    <row r="28" spans="1:30" s="8" customFormat="1" ht="16.25" customHeight="1" x14ac:dyDescent="0.25">
      <c r="A28" s="2"/>
      <c r="B28" s="2" t="s">
        <v>7</v>
      </c>
      <c r="C28" s="6"/>
      <c r="D28" s="2" t="s">
        <v>16</v>
      </c>
      <c r="E28" s="6"/>
      <c r="F28" s="6"/>
      <c r="G28" s="6"/>
      <c r="H28" s="4">
        <v>427</v>
      </c>
      <c r="I28" s="4"/>
      <c r="J28" s="9"/>
      <c r="L28" s="57"/>
      <c r="M28" s="57"/>
      <c r="N28" s="57"/>
      <c r="O28" s="57"/>
      <c r="AD28"/>
    </row>
    <row r="29" spans="1:30" s="8" customFormat="1" ht="16.25" customHeight="1" x14ac:dyDescent="0.25">
      <c r="A29" s="2"/>
      <c r="B29" s="2"/>
      <c r="C29" s="6"/>
      <c r="D29" s="52" t="s">
        <v>117</v>
      </c>
      <c r="E29" s="6"/>
      <c r="F29" s="6"/>
      <c r="G29" s="6"/>
      <c r="H29" s="4"/>
      <c r="I29" s="4"/>
      <c r="J29" s="9"/>
      <c r="K29"/>
      <c r="L29" s="57"/>
      <c r="M29" s="57"/>
      <c r="N29" s="57"/>
      <c r="O29" s="57"/>
      <c r="AD29"/>
    </row>
    <row r="30" spans="1:30" s="8" customFormat="1" ht="16.25" customHeight="1" x14ac:dyDescent="0.25">
      <c r="A30" s="2"/>
      <c r="B30" s="2"/>
      <c r="C30" s="6"/>
      <c r="D30" s="52"/>
      <c r="E30" s="6"/>
      <c r="F30" s="6"/>
      <c r="G30" s="6"/>
      <c r="H30" s="4"/>
      <c r="I30" s="4"/>
      <c r="J30"/>
      <c r="L30" s="57"/>
      <c r="M30" s="57"/>
      <c r="N30" s="57"/>
      <c r="O30" s="57"/>
    </row>
    <row r="31" spans="1:30" x14ac:dyDescent="0.25">
      <c r="A31" s="10" t="s">
        <v>18</v>
      </c>
      <c r="B31" s="11"/>
      <c r="C31" s="12"/>
      <c r="D31" s="11"/>
      <c r="E31" s="12"/>
      <c r="F31" s="12"/>
      <c r="G31" s="12"/>
      <c r="H31" s="13"/>
      <c r="I31" s="68">
        <f>H33+H35</f>
        <v>625.70000000000005</v>
      </c>
      <c r="J31" s="8"/>
      <c r="L31"/>
    </row>
    <row r="32" spans="1:30" ht="20" x14ac:dyDescent="0.25">
      <c r="A32" s="25" t="s">
        <v>81</v>
      </c>
      <c r="B32" s="23"/>
      <c r="C32" s="24"/>
      <c r="D32" s="27" t="s">
        <v>17</v>
      </c>
      <c r="E32" s="24"/>
      <c r="F32" s="24"/>
      <c r="G32" s="24"/>
      <c r="H32" s="26"/>
      <c r="I32" s="4"/>
      <c r="J32" s="4"/>
    </row>
    <row r="33" spans="1:15" ht="20" x14ac:dyDescent="0.25">
      <c r="A33" s="2"/>
      <c r="B33" s="2" t="s">
        <v>106</v>
      </c>
      <c r="C33" s="6"/>
      <c r="D33" s="14" t="s">
        <v>11</v>
      </c>
      <c r="E33" s="6"/>
      <c r="F33" s="6"/>
      <c r="G33" s="6"/>
      <c r="H33" s="4">
        <v>600</v>
      </c>
      <c r="I33" s="4"/>
      <c r="J33" s="4"/>
      <c r="K33" s="9"/>
      <c r="L33" s="60"/>
    </row>
    <row r="34" spans="1:15" ht="20" x14ac:dyDescent="0.25">
      <c r="A34" s="2"/>
      <c r="B34" s="2" t="s">
        <v>94</v>
      </c>
      <c r="C34" s="28"/>
      <c r="D34" s="17"/>
      <c r="J34" s="4"/>
    </row>
    <row r="35" spans="1:15" x14ac:dyDescent="0.25">
      <c r="A35" s="2"/>
      <c r="B35" s="2"/>
      <c r="C35" s="28" t="s">
        <v>121</v>
      </c>
      <c r="D35" s="67" t="s">
        <v>122</v>
      </c>
      <c r="H35" s="29">
        <v>25.7</v>
      </c>
      <c r="J35" s="4"/>
    </row>
    <row r="36" spans="1:15" x14ac:dyDescent="0.25">
      <c r="A36" s="2"/>
      <c r="B36" s="2"/>
      <c r="D36" s="17"/>
      <c r="J36" s="4"/>
    </row>
    <row r="37" spans="1:15" x14ac:dyDescent="0.25">
      <c r="A37" s="10" t="s">
        <v>125</v>
      </c>
      <c r="B37" s="11"/>
      <c r="C37" s="12"/>
      <c r="D37" s="11"/>
      <c r="E37" s="12"/>
      <c r="F37" s="12"/>
      <c r="G37" s="12"/>
      <c r="H37" s="13"/>
      <c r="I37" s="68">
        <f>H39+H40</f>
        <v>3100</v>
      </c>
    </row>
    <row r="38" spans="1:15" x14ac:dyDescent="0.25">
      <c r="A38" s="25" t="s">
        <v>124</v>
      </c>
      <c r="B38" s="23"/>
      <c r="C38" s="24"/>
      <c r="D38" s="27"/>
      <c r="E38" s="24"/>
      <c r="F38" s="24"/>
      <c r="G38" s="24"/>
      <c r="H38" s="26"/>
      <c r="I38" s="4"/>
    </row>
    <row r="39" spans="1:15" ht="20" x14ac:dyDescent="0.25">
      <c r="A39" s="2"/>
      <c r="B39" s="2" t="s">
        <v>126</v>
      </c>
      <c r="C39" s="6"/>
      <c r="D39" s="31" t="s">
        <v>123</v>
      </c>
      <c r="E39" s="6"/>
      <c r="F39" s="6"/>
      <c r="G39" s="6"/>
      <c r="H39" s="4">
        <v>700</v>
      </c>
      <c r="I39" s="4"/>
    </row>
    <row r="40" spans="1:15" ht="20" x14ac:dyDescent="0.25">
      <c r="A40" s="2"/>
      <c r="B40" s="2" t="s">
        <v>126</v>
      </c>
      <c r="C40" s="28"/>
      <c r="D40" s="31" t="s">
        <v>118</v>
      </c>
      <c r="H40" s="29">
        <v>2400</v>
      </c>
    </row>
    <row r="41" spans="1:15" x14ac:dyDescent="0.25">
      <c r="A41" s="2"/>
      <c r="B41" s="2"/>
      <c r="C41" s="28"/>
      <c r="D41" s="31" t="s">
        <v>105</v>
      </c>
    </row>
    <row r="42" spans="1:15" x14ac:dyDescent="0.25">
      <c r="A42" s="30"/>
      <c r="B42" s="65"/>
      <c r="C42" s="2"/>
      <c r="D42" s="2"/>
      <c r="I42" s="64"/>
      <c r="J42" s="9"/>
    </row>
    <row r="43" spans="1:15" s="8" customFormat="1" x14ac:dyDescent="0.25">
      <c r="A43" s="10" t="s">
        <v>102</v>
      </c>
      <c r="B43" s="19"/>
      <c r="C43" s="20"/>
      <c r="D43" s="19"/>
      <c r="E43" s="20"/>
      <c r="F43" s="20"/>
      <c r="G43" s="20"/>
      <c r="H43" s="21"/>
      <c r="I43" s="62">
        <f>H45</f>
        <v>0</v>
      </c>
      <c r="J43" s="9"/>
      <c r="L43" s="57"/>
      <c r="M43" s="57"/>
      <c r="N43" s="57"/>
      <c r="O43" s="57"/>
    </row>
    <row r="44" spans="1:15" s="8" customFormat="1" ht="20" x14ac:dyDescent="0.25">
      <c r="A44" s="25" t="s">
        <v>103</v>
      </c>
      <c r="B44" s="23" t="s">
        <v>104</v>
      </c>
      <c r="C44" s="24"/>
      <c r="D44" s="27"/>
      <c r="E44" s="24"/>
      <c r="F44" s="24"/>
      <c r="G44" s="24"/>
      <c r="H44" s="26"/>
      <c r="I44" s="4"/>
      <c r="J44" s="9"/>
      <c r="K44"/>
      <c r="L44" s="57"/>
      <c r="M44" s="57"/>
      <c r="N44" s="57"/>
      <c r="O44" s="57"/>
    </row>
    <row r="45" spans="1:15" ht="20" x14ac:dyDescent="0.25">
      <c r="A45" s="2"/>
      <c r="B45" s="2"/>
      <c r="C45" s="6"/>
      <c r="D45" s="2" t="s">
        <v>119</v>
      </c>
      <c r="E45" s="6"/>
      <c r="F45" s="6"/>
      <c r="G45" s="6"/>
      <c r="H45" s="4"/>
      <c r="I45" s="4"/>
      <c r="J45" s="9"/>
    </row>
    <row r="46" spans="1:15" ht="20" x14ac:dyDescent="0.25">
      <c r="A46" s="2"/>
      <c r="B46" s="2"/>
      <c r="C46" s="6"/>
      <c r="D46" s="2" t="s">
        <v>120</v>
      </c>
      <c r="E46" s="6"/>
      <c r="F46" s="6"/>
      <c r="G46" s="6"/>
      <c r="H46" s="4"/>
      <c r="I46" s="4"/>
      <c r="J46" s="9"/>
    </row>
    <row r="47" spans="1:15" x14ac:dyDescent="0.25">
      <c r="C47" s="31"/>
      <c r="D47" s="28" t="s">
        <v>127</v>
      </c>
    </row>
    <row r="48" spans="1:15" x14ac:dyDescent="0.25">
      <c r="B48" s="30"/>
      <c r="C48" s="31"/>
    </row>
    <row r="49" spans="1:27" x14ac:dyDescent="0.25">
      <c r="B49" s="30"/>
      <c r="C49" s="31"/>
    </row>
    <row r="51" spans="1:27" x14ac:dyDescent="0.25">
      <c r="A51"/>
    </row>
    <row r="59" spans="1:27" x14ac:dyDescent="0.25">
      <c r="L59" s="60"/>
      <c r="Q59"/>
      <c r="V59"/>
      <c r="AA59"/>
    </row>
    <row r="75" spans="1:1" x14ac:dyDescent="0.25">
      <c r="A75"/>
    </row>
    <row r="95" spans="1:1" x14ac:dyDescent="0.25">
      <c r="A95" s="28" t="s">
        <v>101</v>
      </c>
    </row>
    <row r="96" spans="1:1" x14ac:dyDescent="0.25">
      <c r="A96"/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7" bestFit="1" customWidth="1"/>
    <col min="2" max="2" width="15.1640625" style="37" bestFit="1" customWidth="1"/>
    <col min="3" max="3" width="22.1640625" style="37" bestFit="1" customWidth="1"/>
    <col min="4" max="4" width="50.33203125" style="37" bestFit="1" customWidth="1"/>
    <col min="5" max="7" width="14.1640625" style="47" customWidth="1"/>
    <col min="8" max="16384" width="11.5" style="37"/>
  </cols>
  <sheetData>
    <row r="1" spans="1:8" x14ac:dyDescent="0.2">
      <c r="A1" s="32" t="s">
        <v>12</v>
      </c>
      <c r="B1" s="33"/>
      <c r="C1" s="33"/>
      <c r="D1" s="34"/>
      <c r="E1" s="35"/>
    </row>
    <row r="2" spans="1:8" x14ac:dyDescent="0.2">
      <c r="A2" s="32" t="s">
        <v>49</v>
      </c>
      <c r="B2" s="33"/>
      <c r="C2" s="33"/>
      <c r="D2" s="38"/>
      <c r="E2" s="39"/>
    </row>
    <row r="3" spans="1:8" x14ac:dyDescent="0.2">
      <c r="A3" s="33"/>
      <c r="B3" s="33"/>
      <c r="C3" s="33"/>
      <c r="D3" s="38"/>
      <c r="E3" s="35"/>
    </row>
    <row r="4" spans="1:8" x14ac:dyDescent="0.2">
      <c r="A4" s="40" t="s">
        <v>23</v>
      </c>
      <c r="B4" s="41"/>
      <c r="C4" s="41"/>
      <c r="D4" s="42"/>
      <c r="E4" s="35"/>
      <c r="F4" s="35"/>
      <c r="G4" s="35"/>
    </row>
    <row r="5" spans="1:8" s="45" customFormat="1" ht="17" x14ac:dyDescent="0.2">
      <c r="A5" s="45" t="s">
        <v>24</v>
      </c>
      <c r="B5" s="45" t="s">
        <v>25</v>
      </c>
      <c r="C5" s="45" t="s">
        <v>45</v>
      </c>
      <c r="D5" s="49" t="s">
        <v>26</v>
      </c>
      <c r="E5" s="39" t="s">
        <v>20</v>
      </c>
      <c r="F5" s="39" t="s">
        <v>21</v>
      </c>
      <c r="G5" s="39" t="s">
        <v>22</v>
      </c>
    </row>
    <row r="6" spans="1:8" x14ac:dyDescent="0.2">
      <c r="A6" s="43">
        <v>45890</v>
      </c>
      <c r="B6" s="46">
        <v>1601</v>
      </c>
      <c r="C6" s="44" t="s">
        <v>34</v>
      </c>
      <c r="D6" s="37" t="s">
        <v>27</v>
      </c>
      <c r="E6" s="47">
        <v>960</v>
      </c>
      <c r="G6" s="47">
        <f>E6-F6</f>
        <v>960</v>
      </c>
    </row>
    <row r="7" spans="1:8" x14ac:dyDescent="0.2">
      <c r="A7" s="43">
        <v>45890</v>
      </c>
      <c r="B7" s="46">
        <v>501</v>
      </c>
      <c r="C7" s="44" t="s">
        <v>35</v>
      </c>
      <c r="D7" s="37" t="s">
        <v>29</v>
      </c>
      <c r="E7" s="47">
        <v>500</v>
      </c>
      <c r="G7" s="47">
        <f>G6+E7-F7</f>
        <v>1460</v>
      </c>
    </row>
    <row r="8" spans="1:8" x14ac:dyDescent="0.2">
      <c r="A8" s="43">
        <v>45890</v>
      </c>
      <c r="B8" s="46">
        <v>503</v>
      </c>
      <c r="C8" s="44" t="s">
        <v>36</v>
      </c>
      <c r="D8" s="37" t="s">
        <v>29</v>
      </c>
      <c r="E8" s="47">
        <v>325.89999999999998</v>
      </c>
      <c r="G8" s="47">
        <f>G7+E8-F8</f>
        <v>1785.9</v>
      </c>
    </row>
    <row r="9" spans="1:8" x14ac:dyDescent="0.2">
      <c r="A9" s="43">
        <v>45890</v>
      </c>
      <c r="B9" s="46">
        <v>302</v>
      </c>
      <c r="C9" s="44" t="s">
        <v>37</v>
      </c>
      <c r="D9" s="37" t="s">
        <v>29</v>
      </c>
      <c r="E9" s="47">
        <v>325.89999999999998</v>
      </c>
      <c r="G9" s="47">
        <f>G8+E9-F9</f>
        <v>2111.8000000000002</v>
      </c>
    </row>
    <row r="10" spans="1:8" x14ac:dyDescent="0.2">
      <c r="A10" s="43">
        <v>45890</v>
      </c>
      <c r="B10" s="46">
        <v>1301</v>
      </c>
      <c r="C10" s="44" t="s">
        <v>38</v>
      </c>
      <c r="D10" s="37" t="s">
        <v>29</v>
      </c>
      <c r="E10" s="47">
        <v>325.89999999999998</v>
      </c>
      <c r="G10" s="47">
        <f>G9+E10-F10</f>
        <v>2437.7000000000003</v>
      </c>
    </row>
    <row r="11" spans="1:8" x14ac:dyDescent="0.2">
      <c r="A11" s="43">
        <v>45890</v>
      </c>
      <c r="B11" s="36"/>
      <c r="C11" s="50"/>
      <c r="D11" s="37" t="s">
        <v>28</v>
      </c>
      <c r="F11" s="47">
        <v>427</v>
      </c>
      <c r="G11" s="47">
        <f>G10+E11-F11</f>
        <v>2010.7000000000003</v>
      </c>
    </row>
    <row r="12" spans="1:8" x14ac:dyDescent="0.2">
      <c r="A12" s="43">
        <v>45890</v>
      </c>
      <c r="B12" s="36"/>
      <c r="C12" s="50"/>
      <c r="D12" s="37" t="s">
        <v>30</v>
      </c>
      <c r="F12" s="47">
        <v>500</v>
      </c>
      <c r="G12" s="47">
        <f t="shared" ref="G12:G14" si="0">G11+E12-F12</f>
        <v>1510.7000000000003</v>
      </c>
    </row>
    <row r="13" spans="1:8" x14ac:dyDescent="0.2">
      <c r="A13" s="43">
        <v>45890</v>
      </c>
      <c r="B13" s="36"/>
      <c r="C13" s="50"/>
      <c r="D13" s="37" t="s">
        <v>31</v>
      </c>
      <c r="F13" s="47">
        <v>500</v>
      </c>
      <c r="G13" s="47">
        <f t="shared" si="0"/>
        <v>1010.7000000000003</v>
      </c>
    </row>
    <row r="14" spans="1:8" x14ac:dyDescent="0.2">
      <c r="A14" s="43">
        <v>45890</v>
      </c>
      <c r="B14" s="36"/>
      <c r="C14" s="50"/>
      <c r="D14" s="37" t="s">
        <v>32</v>
      </c>
      <c r="F14" s="47">
        <v>500</v>
      </c>
      <c r="G14" s="47">
        <f t="shared" si="0"/>
        <v>510.70000000000027</v>
      </c>
    </row>
    <row r="15" spans="1:8" x14ac:dyDescent="0.2">
      <c r="A15" s="43">
        <v>45890</v>
      </c>
      <c r="B15" s="36"/>
      <c r="C15" s="50"/>
      <c r="D15" s="37" t="s">
        <v>33</v>
      </c>
      <c r="F15" s="47">
        <v>500</v>
      </c>
      <c r="G15" s="47">
        <f>G14+E15-F15</f>
        <v>10.700000000000273</v>
      </c>
    </row>
    <row r="16" spans="1:8" x14ac:dyDescent="0.2">
      <c r="A16" s="43">
        <v>45890</v>
      </c>
      <c r="B16" s="36" t="s">
        <v>39</v>
      </c>
      <c r="C16" s="50" t="s">
        <v>40</v>
      </c>
      <c r="D16" s="37" t="s">
        <v>29</v>
      </c>
      <c r="E16" s="47">
        <v>300</v>
      </c>
      <c r="G16" s="47">
        <f t="shared" ref="G16:G19" si="1">G15+E16-F16</f>
        <v>310.70000000000027</v>
      </c>
      <c r="H16" s="48"/>
    </row>
    <row r="17" spans="1:9" x14ac:dyDescent="0.2">
      <c r="A17" s="43">
        <v>45890</v>
      </c>
      <c r="B17" s="36">
        <v>1303</v>
      </c>
      <c r="C17" s="50" t="s">
        <v>41</v>
      </c>
      <c r="D17" s="37" t="s">
        <v>29</v>
      </c>
      <c r="E17" s="47">
        <v>500</v>
      </c>
      <c r="G17" s="47">
        <f t="shared" si="1"/>
        <v>810.70000000000027</v>
      </c>
    </row>
    <row r="18" spans="1:9" x14ac:dyDescent="0.2">
      <c r="A18" s="43">
        <v>45890</v>
      </c>
      <c r="B18" s="36">
        <v>1701</v>
      </c>
      <c r="C18" s="50" t="s">
        <v>42</v>
      </c>
      <c r="D18" s="37" t="s">
        <v>44</v>
      </c>
      <c r="E18" s="47">
        <v>2793</v>
      </c>
      <c r="G18" s="47">
        <f t="shared" si="1"/>
        <v>3603.7000000000003</v>
      </c>
    </row>
    <row r="19" spans="1:9" x14ac:dyDescent="0.2">
      <c r="A19" s="43">
        <v>45890</v>
      </c>
      <c r="B19" s="36">
        <v>1202</v>
      </c>
      <c r="C19" s="50" t="s">
        <v>43</v>
      </c>
      <c r="D19" s="37" t="s">
        <v>29</v>
      </c>
      <c r="E19" s="47">
        <v>200</v>
      </c>
      <c r="G19" s="47">
        <f t="shared" si="1"/>
        <v>3803.7000000000003</v>
      </c>
    </row>
    <row r="20" spans="1:9" x14ac:dyDescent="0.2">
      <c r="A20" s="43">
        <v>45891</v>
      </c>
      <c r="B20" s="36"/>
      <c r="C20" s="36"/>
      <c r="D20" s="37" t="s">
        <v>46</v>
      </c>
      <c r="F20" s="47">
        <v>257.98</v>
      </c>
      <c r="G20" s="47">
        <f t="shared" ref="G20:G21" si="2">G19+E20-F20</f>
        <v>3545.7200000000003</v>
      </c>
    </row>
    <row r="21" spans="1:9" x14ac:dyDescent="0.2">
      <c r="A21" s="43">
        <v>45891</v>
      </c>
      <c r="B21" s="36"/>
      <c r="C21" s="36"/>
      <c r="D21" s="37" t="s">
        <v>47</v>
      </c>
      <c r="F21" s="47">
        <v>283.79000000000002</v>
      </c>
      <c r="G21" s="47">
        <f t="shared" si="2"/>
        <v>3261.9300000000003</v>
      </c>
    </row>
    <row r="22" spans="1:9" x14ac:dyDescent="0.2">
      <c r="A22" s="43">
        <v>45891</v>
      </c>
      <c r="B22" s="36"/>
      <c r="C22" s="36"/>
      <c r="D22" s="37" t="s">
        <v>48</v>
      </c>
      <c r="F22" s="47">
        <v>600</v>
      </c>
      <c r="G22" s="51">
        <f>G21+E22-F22</f>
        <v>2661.9300000000003</v>
      </c>
      <c r="H22" s="48"/>
      <c r="I22" s="48"/>
    </row>
    <row r="23" spans="1:9" x14ac:dyDescent="0.2">
      <c r="A23" s="43"/>
      <c r="B23" s="36"/>
      <c r="C23" s="36"/>
      <c r="E23" s="47">
        <f>SUM(E6:E22)</f>
        <v>6230.7000000000007</v>
      </c>
      <c r="F23" s="47">
        <f>SUM(F6:F22)</f>
        <v>3568.77</v>
      </c>
    </row>
    <row r="24" spans="1:9" x14ac:dyDescent="0.2">
      <c r="A24" s="43"/>
      <c r="B24" s="36"/>
      <c r="C24" s="36"/>
    </row>
    <row r="25" spans="1:9" x14ac:dyDescent="0.2">
      <c r="A25" s="43"/>
      <c r="B25" s="36"/>
      <c r="C25" s="36"/>
      <c r="D25" s="37" t="s">
        <v>52</v>
      </c>
      <c r="E25" s="51">
        <v>2661.93</v>
      </c>
      <c r="G25" s="47">
        <f>G23+E25-F25</f>
        <v>2661.93</v>
      </c>
    </row>
    <row r="26" spans="1:9" x14ac:dyDescent="0.2">
      <c r="A26" s="43">
        <v>45902</v>
      </c>
      <c r="B26" s="36">
        <v>1303</v>
      </c>
      <c r="C26" s="50" t="s">
        <v>41</v>
      </c>
      <c r="D26" s="37" t="s">
        <v>53</v>
      </c>
      <c r="E26" s="47">
        <v>200</v>
      </c>
      <c r="G26" s="47">
        <f>G25+E26-F26</f>
        <v>2861.93</v>
      </c>
    </row>
    <row r="27" spans="1:9" x14ac:dyDescent="0.2">
      <c r="A27" s="43">
        <v>45902</v>
      </c>
      <c r="B27" s="46">
        <v>501</v>
      </c>
      <c r="C27" s="44" t="s">
        <v>35</v>
      </c>
      <c r="D27" s="37" t="s">
        <v>53</v>
      </c>
      <c r="E27" s="47">
        <v>150</v>
      </c>
      <c r="G27" s="47">
        <f t="shared" ref="G27:G32" si="3">G26+E27-F27</f>
        <v>3011.93</v>
      </c>
    </row>
    <row r="28" spans="1:9" x14ac:dyDescent="0.2">
      <c r="A28" s="43">
        <v>45902</v>
      </c>
      <c r="B28" s="46">
        <v>503</v>
      </c>
      <c r="C28" s="44" t="s">
        <v>36</v>
      </c>
      <c r="D28" s="37" t="s">
        <v>53</v>
      </c>
      <c r="E28" s="47">
        <v>150</v>
      </c>
      <c r="G28" s="47">
        <f t="shared" si="3"/>
        <v>3161.93</v>
      </c>
    </row>
    <row r="29" spans="1:9" x14ac:dyDescent="0.2">
      <c r="A29" s="43">
        <v>45902</v>
      </c>
      <c r="B29" s="46">
        <v>302</v>
      </c>
      <c r="C29" s="44" t="s">
        <v>37</v>
      </c>
      <c r="D29" s="37" t="s">
        <v>53</v>
      </c>
      <c r="E29" s="47">
        <v>150</v>
      </c>
      <c r="G29" s="47">
        <f t="shared" si="3"/>
        <v>3311.93</v>
      </c>
    </row>
    <row r="30" spans="1:9" x14ac:dyDescent="0.2">
      <c r="A30" s="43">
        <v>45902</v>
      </c>
      <c r="B30" s="36">
        <v>1202</v>
      </c>
      <c r="C30" s="50" t="s">
        <v>43</v>
      </c>
      <c r="D30" s="37" t="s">
        <v>53</v>
      </c>
      <c r="E30" s="47">
        <v>100</v>
      </c>
      <c r="G30" s="47">
        <f t="shared" si="3"/>
        <v>3411.93</v>
      </c>
    </row>
    <row r="31" spans="1:9" x14ac:dyDescent="0.2">
      <c r="A31" s="43">
        <v>45902</v>
      </c>
      <c r="B31" s="36">
        <v>402</v>
      </c>
      <c r="C31" s="37" t="s">
        <v>50</v>
      </c>
      <c r="D31" s="37" t="s">
        <v>53</v>
      </c>
      <c r="E31" s="47">
        <v>150</v>
      </c>
      <c r="G31" s="47">
        <f t="shared" si="3"/>
        <v>3561.93</v>
      </c>
    </row>
    <row r="32" spans="1:9" x14ac:dyDescent="0.2">
      <c r="A32" s="43">
        <v>45903</v>
      </c>
      <c r="B32" s="36">
        <v>1601</v>
      </c>
      <c r="C32" s="44" t="s">
        <v>34</v>
      </c>
      <c r="D32" s="37" t="s">
        <v>53</v>
      </c>
      <c r="E32" s="47">
        <v>100</v>
      </c>
      <c r="G32" s="47">
        <f t="shared" si="3"/>
        <v>3661.93</v>
      </c>
    </row>
    <row r="33" spans="1:7" x14ac:dyDescent="0.2">
      <c r="A33" s="43">
        <v>45903</v>
      </c>
      <c r="D33" s="37" t="s">
        <v>51</v>
      </c>
      <c r="F33" s="47">
        <v>1000</v>
      </c>
      <c r="G33" s="47">
        <f>G32+E33-F33</f>
        <v>2661.93</v>
      </c>
    </row>
    <row r="34" spans="1:7" x14ac:dyDescent="0.2">
      <c r="A34" s="43">
        <v>45903</v>
      </c>
      <c r="D34" s="37" t="s">
        <v>54</v>
      </c>
      <c r="F34" s="47">
        <v>0.05</v>
      </c>
      <c r="G34" s="47">
        <f>G33+E34-F34</f>
        <v>2661.8799999999997</v>
      </c>
    </row>
    <row r="35" spans="1:7" x14ac:dyDescent="0.2">
      <c r="A35" s="43">
        <v>45910</v>
      </c>
      <c r="D35" s="37" t="s">
        <v>55</v>
      </c>
      <c r="F35" s="47">
        <v>394.8</v>
      </c>
      <c r="G35" s="47">
        <f>G34+E35-F35</f>
        <v>2267.0799999999995</v>
      </c>
    </row>
    <row r="36" spans="1:7" x14ac:dyDescent="0.2">
      <c r="A36" s="43">
        <v>45915</v>
      </c>
      <c r="D36" s="37" t="s">
        <v>59</v>
      </c>
      <c r="E36" s="47">
        <v>2000</v>
      </c>
      <c r="G36" s="47">
        <f t="shared" ref="G36:G41" si="4">G35+E36-F36</f>
        <v>4267.08</v>
      </c>
    </row>
    <row r="37" spans="1:7" x14ac:dyDescent="0.2">
      <c r="A37" s="43">
        <v>45915</v>
      </c>
      <c r="D37" s="37" t="s">
        <v>60</v>
      </c>
      <c r="F37" s="47">
        <v>500</v>
      </c>
      <c r="G37" s="47">
        <f t="shared" si="4"/>
        <v>3767.08</v>
      </c>
    </row>
    <row r="38" spans="1:7" x14ac:dyDescent="0.2">
      <c r="A38" s="43">
        <v>45915</v>
      </c>
      <c r="D38" s="37" t="s">
        <v>61</v>
      </c>
      <c r="F38" s="47">
        <v>500</v>
      </c>
      <c r="G38" s="47">
        <f t="shared" si="4"/>
        <v>3267.08</v>
      </c>
    </row>
    <row r="39" spans="1:7" x14ac:dyDescent="0.2">
      <c r="A39" s="43">
        <v>45915</v>
      </c>
      <c r="D39" s="37" t="s">
        <v>62</v>
      </c>
      <c r="F39" s="47">
        <v>500</v>
      </c>
      <c r="G39" s="47">
        <f t="shared" si="4"/>
        <v>2767.08</v>
      </c>
    </row>
    <row r="40" spans="1:7" x14ac:dyDescent="0.2">
      <c r="A40" s="43">
        <v>45915</v>
      </c>
      <c r="D40" s="37" t="s">
        <v>63</v>
      </c>
      <c r="F40" s="47">
        <v>500</v>
      </c>
      <c r="G40" s="47">
        <f t="shared" si="4"/>
        <v>2267.08</v>
      </c>
    </row>
    <row r="41" spans="1:7" x14ac:dyDescent="0.2">
      <c r="A41" s="43">
        <v>45915</v>
      </c>
      <c r="D41" s="37" t="s">
        <v>54</v>
      </c>
      <c r="F41" s="47">
        <v>0.1</v>
      </c>
      <c r="G41" s="47">
        <f t="shared" si="4"/>
        <v>2266.98</v>
      </c>
    </row>
    <row r="42" spans="1:7" x14ac:dyDescent="0.2">
      <c r="A42" s="43">
        <v>45916</v>
      </c>
      <c r="C42" s="37" t="s">
        <v>60</v>
      </c>
      <c r="D42" s="37" t="s">
        <v>80</v>
      </c>
      <c r="F42" s="47">
        <v>100</v>
      </c>
      <c r="G42" s="47">
        <f>G41+E42-F42</f>
        <v>2166.98</v>
      </c>
    </row>
    <row r="43" spans="1:7" x14ac:dyDescent="0.2">
      <c r="A43" s="43">
        <v>45916</v>
      </c>
      <c r="C43" s="37" t="s">
        <v>84</v>
      </c>
      <c r="E43" s="47">
        <v>1978</v>
      </c>
      <c r="G43" s="47">
        <f t="shared" ref="G43:G51" si="5">G42+E43-F43</f>
        <v>4144.9799999999996</v>
      </c>
    </row>
    <row r="44" spans="1:7" x14ac:dyDescent="0.2">
      <c r="A44" s="43">
        <v>45916</v>
      </c>
      <c r="D44" s="37" t="s">
        <v>54</v>
      </c>
      <c r="F44" s="47">
        <v>0.05</v>
      </c>
      <c r="G44" s="47">
        <f t="shared" si="5"/>
        <v>4144.9299999999994</v>
      </c>
    </row>
    <row r="45" spans="1:7" x14ac:dyDescent="0.2">
      <c r="A45" s="43">
        <v>45916</v>
      </c>
      <c r="C45" s="37" t="s">
        <v>82</v>
      </c>
      <c r="D45" s="37" t="s">
        <v>83</v>
      </c>
      <c r="F45" s="47">
        <v>427</v>
      </c>
      <c r="G45" s="47">
        <f t="shared" si="5"/>
        <v>3717.9299999999994</v>
      </c>
    </row>
    <row r="46" spans="1:7" x14ac:dyDescent="0.2">
      <c r="A46" s="43">
        <v>45917</v>
      </c>
      <c r="C46" s="37" t="s">
        <v>85</v>
      </c>
      <c r="D46" s="37" t="s">
        <v>86</v>
      </c>
      <c r="F46" s="47">
        <v>1120</v>
      </c>
      <c r="G46" s="47">
        <f t="shared" si="5"/>
        <v>2597.9299999999994</v>
      </c>
    </row>
    <row r="47" spans="1:7" x14ac:dyDescent="0.2">
      <c r="A47" s="43">
        <v>45917</v>
      </c>
      <c r="C47" s="37" t="s">
        <v>87</v>
      </c>
      <c r="D47" s="37" t="s">
        <v>58</v>
      </c>
      <c r="F47" s="47">
        <v>498</v>
      </c>
      <c r="G47" s="47">
        <f t="shared" si="5"/>
        <v>2099.9299999999994</v>
      </c>
    </row>
    <row r="48" spans="1:7" x14ac:dyDescent="0.2">
      <c r="A48" s="43">
        <v>45917</v>
      </c>
      <c r="D48" s="37" t="s">
        <v>54</v>
      </c>
      <c r="F48" s="47">
        <v>0.05</v>
      </c>
      <c r="G48" s="47">
        <f t="shared" si="5"/>
        <v>2099.8799999999992</v>
      </c>
    </row>
    <row r="49" spans="1:7" x14ac:dyDescent="0.2">
      <c r="A49" s="43">
        <v>45919</v>
      </c>
      <c r="C49" s="37" t="s">
        <v>88</v>
      </c>
      <c r="D49" s="37" t="s">
        <v>89</v>
      </c>
      <c r="F49" s="47">
        <v>200</v>
      </c>
      <c r="G49" s="47">
        <f t="shared" si="5"/>
        <v>1899.8799999999992</v>
      </c>
    </row>
    <row r="50" spans="1:7" x14ac:dyDescent="0.2">
      <c r="A50" s="43">
        <v>45919</v>
      </c>
      <c r="C50" s="37" t="s">
        <v>90</v>
      </c>
      <c r="D50" s="37" t="s">
        <v>91</v>
      </c>
      <c r="F50" s="47">
        <v>160</v>
      </c>
      <c r="G50" s="51">
        <f t="shared" si="5"/>
        <v>1739.8799999999992</v>
      </c>
    </row>
    <row r="51" spans="1:7" x14ac:dyDescent="0.2">
      <c r="A51" s="43"/>
      <c r="D51" s="37" t="s">
        <v>92</v>
      </c>
      <c r="F51" s="47">
        <v>200</v>
      </c>
      <c r="G51" s="51">
        <f t="shared" si="5"/>
        <v>1539.8799999999992</v>
      </c>
    </row>
    <row r="52" spans="1:7" x14ac:dyDescent="0.2">
      <c r="A52" s="43"/>
      <c r="D52" s="37" t="s">
        <v>93</v>
      </c>
      <c r="F52" s="47">
        <v>16</v>
      </c>
      <c r="G52" s="51">
        <f>G51+E52-F52</f>
        <v>1523.8799999999992</v>
      </c>
    </row>
    <row r="53" spans="1:7" x14ac:dyDescent="0.2">
      <c r="A53" s="43"/>
    </row>
    <row r="54" spans="1:7" x14ac:dyDescent="0.2">
      <c r="A54" s="43"/>
    </row>
    <row r="55" spans="1:7" x14ac:dyDescent="0.2">
      <c r="A55" s="43"/>
    </row>
    <row r="56" spans="1:7" x14ac:dyDescent="0.2">
      <c r="A56" s="43"/>
    </row>
    <row r="57" spans="1:7" x14ac:dyDescent="0.2">
      <c r="A57" s="43"/>
    </row>
    <row r="58" spans="1:7" x14ac:dyDescent="0.2">
      <c r="A58" s="43"/>
    </row>
    <row r="59" spans="1:7" x14ac:dyDescent="0.2">
      <c r="A59" s="43"/>
    </row>
    <row r="60" spans="1:7" x14ac:dyDescent="0.2">
      <c r="A60" s="43"/>
    </row>
    <row r="61" spans="1:7" x14ac:dyDescent="0.2">
      <c r="A61" s="43"/>
    </row>
    <row r="62" spans="1:7" x14ac:dyDescent="0.2">
      <c r="A62" s="43"/>
    </row>
    <row r="63" spans="1:7" x14ac:dyDescent="0.2">
      <c r="A63" s="43"/>
    </row>
    <row r="64" spans="1:7" x14ac:dyDescent="0.2">
      <c r="A64" s="43"/>
    </row>
    <row r="65" spans="1:1" x14ac:dyDescent="0.2">
      <c r="A65" s="43"/>
    </row>
    <row r="66" spans="1:1" x14ac:dyDescent="0.2">
      <c r="A66" s="43"/>
    </row>
    <row r="67" spans="1:1" x14ac:dyDescent="0.2">
      <c r="A67" s="43"/>
    </row>
    <row r="68" spans="1:1" x14ac:dyDescent="0.2">
      <c r="A68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2" t="s">
        <v>12</v>
      </c>
      <c r="B1" s="33"/>
      <c r="C1" s="33"/>
      <c r="D1" s="34"/>
      <c r="E1" s="35"/>
      <c r="F1" s="36"/>
      <c r="G1" s="36"/>
    </row>
    <row r="2" spans="1:7" ht="16" x14ac:dyDescent="0.2">
      <c r="A2" s="32" t="s">
        <v>56</v>
      </c>
      <c r="B2" s="33"/>
      <c r="C2" s="33"/>
      <c r="D2" s="38"/>
      <c r="E2" s="39"/>
      <c r="F2" s="36"/>
      <c r="G2" s="36"/>
    </row>
    <row r="3" spans="1:7" ht="16" x14ac:dyDescent="0.2">
      <c r="A3" s="32" t="s">
        <v>74</v>
      </c>
      <c r="B3" s="33"/>
      <c r="C3" s="33"/>
      <c r="D3" s="38"/>
      <c r="E3" s="35"/>
      <c r="F3" s="36"/>
      <c r="G3" s="36"/>
    </row>
    <row r="4" spans="1:7" ht="16" x14ac:dyDescent="0.2">
      <c r="A4" s="32" t="s">
        <v>76</v>
      </c>
      <c r="B4" s="33"/>
      <c r="C4" s="33"/>
      <c r="D4" s="38"/>
      <c r="E4" s="35"/>
      <c r="F4" s="36"/>
      <c r="G4" s="36"/>
    </row>
    <row r="5" spans="1:7" ht="16" x14ac:dyDescent="0.2">
      <c r="A5" s="32" t="s">
        <v>77</v>
      </c>
      <c r="B5" s="33"/>
      <c r="C5" s="33"/>
      <c r="D5" s="38"/>
      <c r="E5" s="35"/>
      <c r="F5" s="36"/>
      <c r="G5" s="36"/>
    </row>
    <row r="6" spans="1:7" ht="16" x14ac:dyDescent="0.2">
      <c r="A6" s="40" t="s">
        <v>75</v>
      </c>
      <c r="B6" s="41"/>
      <c r="C6" s="41"/>
      <c r="D6" s="42"/>
      <c r="E6" s="35"/>
      <c r="F6" s="35"/>
      <c r="G6" s="35"/>
    </row>
    <row r="7" spans="1:7" ht="17" x14ac:dyDescent="0.2">
      <c r="A7" s="45" t="s">
        <v>24</v>
      </c>
      <c r="B7" s="45" t="s">
        <v>25</v>
      </c>
      <c r="C7" s="45" t="s">
        <v>45</v>
      </c>
      <c r="D7" s="49" t="s">
        <v>26</v>
      </c>
      <c r="E7" s="39" t="s">
        <v>20</v>
      </c>
      <c r="F7" s="39" t="s">
        <v>21</v>
      </c>
      <c r="G7" s="39" t="s">
        <v>22</v>
      </c>
    </row>
    <row r="8" spans="1:7" ht="16" x14ac:dyDescent="0.2">
      <c r="A8" s="43"/>
      <c r="B8" s="46"/>
      <c r="C8" s="44"/>
      <c r="D8" s="37"/>
      <c r="E8" s="47"/>
      <c r="F8" s="47"/>
      <c r="G8" s="47">
        <f>E8-F8</f>
        <v>0</v>
      </c>
    </row>
    <row r="9" spans="1:7" ht="16" x14ac:dyDescent="0.2">
      <c r="A9" s="43">
        <v>45905</v>
      </c>
      <c r="B9" s="46">
        <v>201</v>
      </c>
      <c r="C9" s="44" t="s">
        <v>71</v>
      </c>
      <c r="D9" s="37" t="s">
        <v>78</v>
      </c>
      <c r="E9" s="47">
        <v>456.4</v>
      </c>
      <c r="G9" s="47">
        <f>G8+E9-F9</f>
        <v>456.4</v>
      </c>
    </row>
    <row r="10" spans="1:7" ht="16" x14ac:dyDescent="0.2">
      <c r="A10" s="43">
        <v>45905</v>
      </c>
      <c r="B10" s="46"/>
      <c r="C10" s="44" t="s">
        <v>72</v>
      </c>
      <c r="D10" s="37"/>
      <c r="E10" s="47">
        <v>463.9</v>
      </c>
      <c r="G10" s="47">
        <f t="shared" ref="G10:G74" si="0">G9+E10-F10</f>
        <v>920.3</v>
      </c>
    </row>
    <row r="11" spans="1:7" ht="16" x14ac:dyDescent="0.2">
      <c r="A11" s="43">
        <v>45905</v>
      </c>
      <c r="B11" s="46">
        <v>303</v>
      </c>
      <c r="C11" s="44" t="s">
        <v>73</v>
      </c>
      <c r="D11" s="37"/>
      <c r="E11" s="47">
        <v>273.89999999999998</v>
      </c>
      <c r="F11" s="47"/>
      <c r="G11" s="47">
        <f t="shared" si="0"/>
        <v>1194.1999999999998</v>
      </c>
    </row>
    <row r="12" spans="1:7" ht="16" x14ac:dyDescent="0.2">
      <c r="A12" s="43">
        <v>45908</v>
      </c>
      <c r="B12" s="46">
        <v>1102</v>
      </c>
      <c r="C12" t="s">
        <v>70</v>
      </c>
      <c r="E12" s="47">
        <v>220</v>
      </c>
      <c r="G12" s="47">
        <f t="shared" si="0"/>
        <v>1414.1999999999998</v>
      </c>
    </row>
    <row r="13" spans="1:7" ht="16" x14ac:dyDescent="0.2">
      <c r="A13" s="43">
        <v>45908</v>
      </c>
      <c r="B13" s="46">
        <v>701</v>
      </c>
      <c r="D13" s="53">
        <v>45901</v>
      </c>
      <c r="E13" s="47">
        <v>471.7</v>
      </c>
      <c r="G13" s="47">
        <f t="shared" si="0"/>
        <v>1885.8999999999999</v>
      </c>
    </row>
    <row r="14" spans="1:7" ht="16" x14ac:dyDescent="0.2">
      <c r="A14" s="43">
        <v>45909</v>
      </c>
      <c r="B14" s="46">
        <v>503</v>
      </c>
      <c r="C14" s="44" t="s">
        <v>36</v>
      </c>
      <c r="E14" s="47">
        <v>436.5</v>
      </c>
      <c r="G14" s="47">
        <f t="shared" si="0"/>
        <v>2322.3999999999996</v>
      </c>
    </row>
    <row r="15" spans="1:7" ht="16" x14ac:dyDescent="0.2">
      <c r="A15" s="43">
        <v>45909</v>
      </c>
      <c r="B15" s="46">
        <v>306</v>
      </c>
      <c r="E15" s="47">
        <v>20000</v>
      </c>
      <c r="G15" s="47">
        <f t="shared" si="0"/>
        <v>22322.400000000001</v>
      </c>
    </row>
    <row r="16" spans="1:7" ht="16" x14ac:dyDescent="0.2">
      <c r="A16" s="43"/>
      <c r="B16" s="46"/>
      <c r="D16" t="s">
        <v>57</v>
      </c>
      <c r="E16" s="47">
        <v>1</v>
      </c>
      <c r="G16" s="47">
        <f t="shared" si="0"/>
        <v>22323.4</v>
      </c>
    </row>
    <row r="17" spans="1:7" ht="16" x14ac:dyDescent="0.2">
      <c r="A17" s="43"/>
      <c r="B17" s="46"/>
      <c r="C17" t="s">
        <v>69</v>
      </c>
      <c r="E17" s="47">
        <v>117.9</v>
      </c>
      <c r="G17" s="47">
        <f t="shared" si="0"/>
        <v>22441.300000000003</v>
      </c>
    </row>
    <row r="18" spans="1:7" ht="16" x14ac:dyDescent="0.2">
      <c r="A18" s="43">
        <v>45910</v>
      </c>
      <c r="B18" s="46">
        <v>1101</v>
      </c>
      <c r="E18" s="47">
        <v>380.2</v>
      </c>
      <c r="G18" s="47">
        <f t="shared" si="0"/>
        <v>22821.500000000004</v>
      </c>
    </row>
    <row r="19" spans="1:7" ht="16" x14ac:dyDescent="0.2">
      <c r="A19" s="43">
        <v>45910</v>
      </c>
      <c r="B19" s="46"/>
      <c r="C19" t="s">
        <v>64</v>
      </c>
      <c r="E19" s="47">
        <v>473</v>
      </c>
      <c r="G19" s="47">
        <f t="shared" si="0"/>
        <v>23294.500000000004</v>
      </c>
    </row>
    <row r="20" spans="1:7" ht="16" x14ac:dyDescent="0.2">
      <c r="A20" s="43">
        <v>45910</v>
      </c>
      <c r="B20" s="46"/>
      <c r="C20" t="s">
        <v>64</v>
      </c>
      <c r="E20" s="47">
        <v>13.8</v>
      </c>
      <c r="G20" s="47">
        <f t="shared" si="0"/>
        <v>23308.300000000003</v>
      </c>
    </row>
    <row r="21" spans="1:7" ht="16" x14ac:dyDescent="0.2">
      <c r="A21" s="43">
        <v>45910</v>
      </c>
      <c r="B21" s="46"/>
      <c r="E21" s="47">
        <v>516.6</v>
      </c>
      <c r="G21" s="47">
        <f t="shared" si="0"/>
        <v>23824.9</v>
      </c>
    </row>
    <row r="22" spans="1:7" ht="16" x14ac:dyDescent="0.2">
      <c r="A22" s="43">
        <v>45910</v>
      </c>
      <c r="B22" s="46"/>
      <c r="C22" t="s">
        <v>65</v>
      </c>
      <c r="E22" s="47">
        <v>524.20000000000005</v>
      </c>
      <c r="G22" s="47">
        <f t="shared" si="0"/>
        <v>24349.100000000002</v>
      </c>
    </row>
    <row r="23" spans="1:7" ht="16" x14ac:dyDescent="0.2">
      <c r="A23" s="43">
        <v>45913</v>
      </c>
      <c r="B23" s="46">
        <v>202</v>
      </c>
      <c r="C23" t="s">
        <v>66</v>
      </c>
      <c r="E23" s="47">
        <v>278.3</v>
      </c>
      <c r="G23" s="47">
        <f t="shared" si="0"/>
        <v>24627.4</v>
      </c>
    </row>
    <row r="24" spans="1:7" ht="16" x14ac:dyDescent="0.2">
      <c r="A24" s="43">
        <v>45913</v>
      </c>
      <c r="B24" s="46">
        <v>1702</v>
      </c>
      <c r="C24" t="s">
        <v>67</v>
      </c>
      <c r="D24" s="53">
        <v>45870</v>
      </c>
      <c r="E24" s="47">
        <v>457.8</v>
      </c>
      <c r="G24" s="47">
        <f t="shared" si="0"/>
        <v>25085.200000000001</v>
      </c>
    </row>
    <row r="25" spans="1:7" ht="16" x14ac:dyDescent="0.2">
      <c r="A25" s="43">
        <v>45913</v>
      </c>
      <c r="B25" s="46">
        <v>1702</v>
      </c>
      <c r="C25" t="s">
        <v>67</v>
      </c>
      <c r="D25" s="53">
        <v>45901</v>
      </c>
      <c r="E25" s="47">
        <v>449.6</v>
      </c>
      <c r="G25" s="47">
        <f t="shared" si="0"/>
        <v>25534.799999999999</v>
      </c>
    </row>
    <row r="26" spans="1:7" ht="16" x14ac:dyDescent="0.2">
      <c r="A26" s="43">
        <v>45914</v>
      </c>
      <c r="B26" s="46">
        <v>402</v>
      </c>
      <c r="C26" t="s">
        <v>68</v>
      </c>
      <c r="E26" s="47">
        <v>225</v>
      </c>
      <c r="G26" s="47">
        <f t="shared" si="0"/>
        <v>25759.8</v>
      </c>
    </row>
    <row r="27" spans="1:7" ht="16" x14ac:dyDescent="0.2">
      <c r="A27" s="43">
        <v>45915</v>
      </c>
      <c r="B27" s="46">
        <v>702</v>
      </c>
      <c r="E27" s="47">
        <v>245.9</v>
      </c>
      <c r="G27" s="47">
        <f t="shared" si="0"/>
        <v>26005.7</v>
      </c>
    </row>
    <row r="28" spans="1:7" ht="16" x14ac:dyDescent="0.2">
      <c r="A28" s="43">
        <v>45915</v>
      </c>
      <c r="D28" t="s">
        <v>79</v>
      </c>
      <c r="F28">
        <v>2000</v>
      </c>
      <c r="G28" s="47">
        <f t="shared" si="0"/>
        <v>24005.7</v>
      </c>
    </row>
    <row r="29" spans="1:7" ht="16" x14ac:dyDescent="0.2">
      <c r="A29" s="43"/>
      <c r="G29" s="47">
        <f t="shared" si="0"/>
        <v>24005.7</v>
      </c>
    </row>
    <row r="30" spans="1:7" ht="16" x14ac:dyDescent="0.2">
      <c r="A30" s="43"/>
      <c r="G30" s="47">
        <f t="shared" si="0"/>
        <v>24005.7</v>
      </c>
    </row>
    <row r="31" spans="1:7" ht="16" x14ac:dyDescent="0.2">
      <c r="A31" s="43"/>
      <c r="G31" s="47">
        <f t="shared" si="0"/>
        <v>24005.7</v>
      </c>
    </row>
    <row r="32" spans="1:7" ht="16" x14ac:dyDescent="0.2">
      <c r="A32" s="43"/>
      <c r="G32" s="47">
        <f t="shared" si="0"/>
        <v>24005.7</v>
      </c>
    </row>
    <row r="33" spans="1:7" ht="16" x14ac:dyDescent="0.2">
      <c r="A33" s="43"/>
      <c r="G33" s="47">
        <f t="shared" si="0"/>
        <v>24005.7</v>
      </c>
    </row>
    <row r="34" spans="1:7" ht="16" x14ac:dyDescent="0.2">
      <c r="A34" s="43"/>
      <c r="G34" s="47">
        <f t="shared" si="0"/>
        <v>24005.7</v>
      </c>
    </row>
    <row r="35" spans="1:7" ht="16" x14ac:dyDescent="0.2">
      <c r="G35" s="47">
        <f t="shared" si="0"/>
        <v>24005.7</v>
      </c>
    </row>
    <row r="36" spans="1:7" ht="16" x14ac:dyDescent="0.2">
      <c r="G36" s="47">
        <f t="shared" si="0"/>
        <v>24005.7</v>
      </c>
    </row>
    <row r="37" spans="1:7" ht="16" x14ac:dyDescent="0.2">
      <c r="G37" s="47">
        <f t="shared" si="0"/>
        <v>24005.7</v>
      </c>
    </row>
    <row r="38" spans="1:7" ht="16" x14ac:dyDescent="0.2">
      <c r="G38" s="47">
        <f t="shared" si="0"/>
        <v>24005.7</v>
      </c>
    </row>
    <row r="39" spans="1:7" ht="16" x14ac:dyDescent="0.2">
      <c r="G39" s="47">
        <f t="shared" si="0"/>
        <v>24005.7</v>
      </c>
    </row>
    <row r="40" spans="1:7" ht="16" x14ac:dyDescent="0.2">
      <c r="G40" s="47">
        <f t="shared" si="0"/>
        <v>24005.7</v>
      </c>
    </row>
    <row r="41" spans="1:7" ht="16" x14ac:dyDescent="0.2">
      <c r="G41" s="47">
        <f t="shared" si="0"/>
        <v>24005.7</v>
      </c>
    </row>
    <row r="42" spans="1:7" ht="16" x14ac:dyDescent="0.2">
      <c r="G42" s="47">
        <f t="shared" si="0"/>
        <v>24005.7</v>
      </c>
    </row>
    <row r="43" spans="1:7" ht="16" x14ac:dyDescent="0.2">
      <c r="G43" s="47">
        <f t="shared" si="0"/>
        <v>24005.7</v>
      </c>
    </row>
    <row r="44" spans="1:7" ht="16" x14ac:dyDescent="0.2">
      <c r="G44" s="47">
        <f t="shared" si="0"/>
        <v>24005.7</v>
      </c>
    </row>
    <row r="45" spans="1:7" ht="16" x14ac:dyDescent="0.2">
      <c r="G45" s="47">
        <f t="shared" si="0"/>
        <v>24005.7</v>
      </c>
    </row>
    <row r="46" spans="1:7" ht="16" x14ac:dyDescent="0.2">
      <c r="G46" s="47">
        <f t="shared" si="0"/>
        <v>24005.7</v>
      </c>
    </row>
    <row r="47" spans="1:7" ht="16" x14ac:dyDescent="0.2">
      <c r="G47" s="47">
        <f t="shared" si="0"/>
        <v>24005.7</v>
      </c>
    </row>
    <row r="48" spans="1:7" ht="16" x14ac:dyDescent="0.2">
      <c r="G48" s="47">
        <f t="shared" si="0"/>
        <v>24005.7</v>
      </c>
    </row>
    <row r="49" spans="7:7" ht="16" x14ac:dyDescent="0.2">
      <c r="G49" s="47">
        <f t="shared" si="0"/>
        <v>24005.7</v>
      </c>
    </row>
    <row r="50" spans="7:7" ht="16" x14ac:dyDescent="0.2">
      <c r="G50" s="47">
        <f t="shared" si="0"/>
        <v>24005.7</v>
      </c>
    </row>
    <row r="51" spans="7:7" ht="16" x14ac:dyDescent="0.2">
      <c r="G51" s="47">
        <f t="shared" si="0"/>
        <v>24005.7</v>
      </c>
    </row>
    <row r="52" spans="7:7" ht="16" x14ac:dyDescent="0.2">
      <c r="G52" s="47">
        <f t="shared" si="0"/>
        <v>24005.7</v>
      </c>
    </row>
    <row r="53" spans="7:7" ht="16" x14ac:dyDescent="0.2">
      <c r="G53" s="47">
        <f t="shared" si="0"/>
        <v>24005.7</v>
      </c>
    </row>
    <row r="54" spans="7:7" ht="16" x14ac:dyDescent="0.2">
      <c r="G54" s="47">
        <f t="shared" si="0"/>
        <v>24005.7</v>
      </c>
    </row>
    <row r="55" spans="7:7" ht="16" x14ac:dyDescent="0.2">
      <c r="G55" s="47">
        <f t="shared" si="0"/>
        <v>24005.7</v>
      </c>
    </row>
    <row r="56" spans="7:7" ht="16" x14ac:dyDescent="0.2">
      <c r="G56" s="47">
        <f t="shared" si="0"/>
        <v>24005.7</v>
      </c>
    </row>
    <row r="57" spans="7:7" ht="16" x14ac:dyDescent="0.2">
      <c r="G57" s="47">
        <f t="shared" si="0"/>
        <v>24005.7</v>
      </c>
    </row>
    <row r="58" spans="7:7" ht="16" x14ac:dyDescent="0.2">
      <c r="G58" s="47">
        <f t="shared" si="0"/>
        <v>24005.7</v>
      </c>
    </row>
    <row r="59" spans="7:7" ht="16" x14ac:dyDescent="0.2">
      <c r="G59" s="47">
        <f t="shared" si="0"/>
        <v>24005.7</v>
      </c>
    </row>
    <row r="60" spans="7:7" ht="16" x14ac:dyDescent="0.2">
      <c r="G60" s="47">
        <f t="shared" si="0"/>
        <v>24005.7</v>
      </c>
    </row>
    <row r="61" spans="7:7" ht="16" x14ac:dyDescent="0.2">
      <c r="G61" s="47">
        <f t="shared" si="0"/>
        <v>24005.7</v>
      </c>
    </row>
    <row r="62" spans="7:7" ht="16" x14ac:dyDescent="0.2">
      <c r="G62" s="47">
        <f t="shared" si="0"/>
        <v>24005.7</v>
      </c>
    </row>
    <row r="63" spans="7:7" ht="16" x14ac:dyDescent="0.2">
      <c r="G63" s="47">
        <f t="shared" si="0"/>
        <v>24005.7</v>
      </c>
    </row>
    <row r="64" spans="7:7" ht="16" x14ac:dyDescent="0.2">
      <c r="G64" s="47">
        <f t="shared" si="0"/>
        <v>24005.7</v>
      </c>
    </row>
    <row r="65" spans="7:7" ht="16" x14ac:dyDescent="0.2">
      <c r="G65" s="47">
        <f t="shared" si="0"/>
        <v>24005.7</v>
      </c>
    </row>
    <row r="66" spans="7:7" ht="16" x14ac:dyDescent="0.2">
      <c r="G66" s="47">
        <f t="shared" si="0"/>
        <v>24005.7</v>
      </c>
    </row>
    <row r="67" spans="7:7" ht="16" x14ac:dyDescent="0.2">
      <c r="G67" s="47">
        <f t="shared" si="0"/>
        <v>24005.7</v>
      </c>
    </row>
    <row r="68" spans="7:7" ht="16" x14ac:dyDescent="0.2">
      <c r="G68" s="47">
        <f t="shared" si="0"/>
        <v>24005.7</v>
      </c>
    </row>
    <row r="69" spans="7:7" ht="16" x14ac:dyDescent="0.2">
      <c r="G69" s="47">
        <f t="shared" si="0"/>
        <v>24005.7</v>
      </c>
    </row>
    <row r="70" spans="7:7" ht="16" x14ac:dyDescent="0.2">
      <c r="G70" s="47">
        <f t="shared" si="0"/>
        <v>24005.7</v>
      </c>
    </row>
    <row r="71" spans="7:7" ht="16" x14ac:dyDescent="0.2">
      <c r="G71" s="47">
        <f t="shared" si="0"/>
        <v>24005.7</v>
      </c>
    </row>
    <row r="72" spans="7:7" ht="16" x14ac:dyDescent="0.2">
      <c r="G72" s="47">
        <f t="shared" si="0"/>
        <v>24005.7</v>
      </c>
    </row>
    <row r="73" spans="7:7" ht="16" x14ac:dyDescent="0.2">
      <c r="G73" s="47">
        <f t="shared" si="0"/>
        <v>24005.7</v>
      </c>
    </row>
    <row r="74" spans="7:7" ht="16" x14ac:dyDescent="0.2">
      <c r="G74" s="47">
        <f t="shared" si="0"/>
        <v>24005.7</v>
      </c>
    </row>
    <row r="75" spans="7:7" ht="16" x14ac:dyDescent="0.2">
      <c r="G75" s="47">
        <f t="shared" ref="G75:G120" si="1">G74+E75-F75</f>
        <v>24005.7</v>
      </c>
    </row>
    <row r="76" spans="7:7" ht="16" x14ac:dyDescent="0.2">
      <c r="G76" s="47">
        <f t="shared" si="1"/>
        <v>24005.7</v>
      </c>
    </row>
    <row r="77" spans="7:7" ht="16" x14ac:dyDescent="0.2">
      <c r="G77" s="47">
        <f t="shared" si="1"/>
        <v>24005.7</v>
      </c>
    </row>
    <row r="78" spans="7:7" ht="16" x14ac:dyDescent="0.2">
      <c r="G78" s="47">
        <f t="shared" si="1"/>
        <v>24005.7</v>
      </c>
    </row>
    <row r="79" spans="7:7" ht="16" x14ac:dyDescent="0.2">
      <c r="G79" s="47">
        <f t="shared" si="1"/>
        <v>24005.7</v>
      </c>
    </row>
    <row r="80" spans="7:7" ht="16" x14ac:dyDescent="0.2">
      <c r="G80" s="47">
        <f t="shared" si="1"/>
        <v>24005.7</v>
      </c>
    </row>
    <row r="81" spans="7:7" ht="16" x14ac:dyDescent="0.2">
      <c r="G81" s="47">
        <f t="shared" si="1"/>
        <v>24005.7</v>
      </c>
    </row>
    <row r="82" spans="7:7" ht="16" x14ac:dyDescent="0.2">
      <c r="G82" s="47">
        <f t="shared" si="1"/>
        <v>24005.7</v>
      </c>
    </row>
    <row r="83" spans="7:7" ht="16" x14ac:dyDescent="0.2">
      <c r="G83" s="47">
        <f t="shared" si="1"/>
        <v>24005.7</v>
      </c>
    </row>
    <row r="84" spans="7:7" ht="16" x14ac:dyDescent="0.2">
      <c r="G84" s="47">
        <f t="shared" si="1"/>
        <v>24005.7</v>
      </c>
    </row>
    <row r="85" spans="7:7" ht="16" x14ac:dyDescent="0.2">
      <c r="G85" s="47">
        <f t="shared" si="1"/>
        <v>24005.7</v>
      </c>
    </row>
    <row r="86" spans="7:7" ht="16" x14ac:dyDescent="0.2">
      <c r="G86" s="47">
        <f t="shared" si="1"/>
        <v>24005.7</v>
      </c>
    </row>
    <row r="87" spans="7:7" ht="16" x14ac:dyDescent="0.2">
      <c r="G87" s="47">
        <f t="shared" si="1"/>
        <v>24005.7</v>
      </c>
    </row>
    <row r="88" spans="7:7" ht="16" x14ac:dyDescent="0.2">
      <c r="G88" s="47">
        <f t="shared" si="1"/>
        <v>24005.7</v>
      </c>
    </row>
    <row r="89" spans="7:7" ht="16" x14ac:dyDescent="0.2">
      <c r="G89" s="47">
        <f t="shared" si="1"/>
        <v>24005.7</v>
      </c>
    </row>
    <row r="90" spans="7:7" ht="16" x14ac:dyDescent="0.2">
      <c r="G90" s="47">
        <f t="shared" si="1"/>
        <v>24005.7</v>
      </c>
    </row>
    <row r="91" spans="7:7" ht="16" x14ac:dyDescent="0.2">
      <c r="G91" s="47">
        <f t="shared" si="1"/>
        <v>24005.7</v>
      </c>
    </row>
    <row r="92" spans="7:7" ht="16" x14ac:dyDescent="0.2">
      <c r="G92" s="47">
        <f t="shared" si="1"/>
        <v>24005.7</v>
      </c>
    </row>
    <row r="93" spans="7:7" ht="16" x14ac:dyDescent="0.2">
      <c r="G93" s="47">
        <f t="shared" si="1"/>
        <v>24005.7</v>
      </c>
    </row>
    <row r="94" spans="7:7" ht="16" x14ac:dyDescent="0.2">
      <c r="G94" s="47">
        <f t="shared" si="1"/>
        <v>24005.7</v>
      </c>
    </row>
    <row r="95" spans="7:7" ht="16" x14ac:dyDescent="0.2">
      <c r="G95" s="47">
        <f t="shared" si="1"/>
        <v>24005.7</v>
      </c>
    </row>
    <row r="96" spans="7:7" ht="16" x14ac:dyDescent="0.2">
      <c r="G96" s="47">
        <f t="shared" si="1"/>
        <v>24005.7</v>
      </c>
    </row>
    <row r="97" spans="7:7" ht="16" x14ac:dyDescent="0.2">
      <c r="G97" s="47">
        <f t="shared" si="1"/>
        <v>24005.7</v>
      </c>
    </row>
    <row r="98" spans="7:7" ht="16" x14ac:dyDescent="0.2">
      <c r="G98" s="47">
        <f t="shared" si="1"/>
        <v>24005.7</v>
      </c>
    </row>
    <row r="99" spans="7:7" ht="16" x14ac:dyDescent="0.2">
      <c r="G99" s="47">
        <f t="shared" si="1"/>
        <v>24005.7</v>
      </c>
    </row>
    <row r="100" spans="7:7" ht="16" x14ac:dyDescent="0.2">
      <c r="G100" s="47">
        <f t="shared" si="1"/>
        <v>24005.7</v>
      </c>
    </row>
    <row r="101" spans="7:7" ht="16" x14ac:dyDescent="0.2">
      <c r="G101" s="47">
        <f t="shared" si="1"/>
        <v>24005.7</v>
      </c>
    </row>
    <row r="102" spans="7:7" ht="16" x14ac:dyDescent="0.2">
      <c r="G102" s="47">
        <f t="shared" si="1"/>
        <v>24005.7</v>
      </c>
    </row>
    <row r="103" spans="7:7" ht="16" x14ac:dyDescent="0.2">
      <c r="G103" s="47">
        <f t="shared" si="1"/>
        <v>24005.7</v>
      </c>
    </row>
    <row r="104" spans="7:7" ht="16" x14ac:dyDescent="0.2">
      <c r="G104" s="47">
        <f t="shared" si="1"/>
        <v>24005.7</v>
      </c>
    </row>
    <row r="105" spans="7:7" ht="16" x14ac:dyDescent="0.2">
      <c r="G105" s="47">
        <f t="shared" si="1"/>
        <v>24005.7</v>
      </c>
    </row>
    <row r="106" spans="7:7" ht="16" x14ac:dyDescent="0.2">
      <c r="G106" s="47">
        <f t="shared" si="1"/>
        <v>24005.7</v>
      </c>
    </row>
    <row r="107" spans="7:7" ht="16" x14ac:dyDescent="0.2">
      <c r="G107" s="47">
        <f t="shared" si="1"/>
        <v>24005.7</v>
      </c>
    </row>
    <row r="108" spans="7:7" ht="16" x14ac:dyDescent="0.2">
      <c r="G108" s="47">
        <f t="shared" si="1"/>
        <v>24005.7</v>
      </c>
    </row>
    <row r="109" spans="7:7" ht="16" x14ac:dyDescent="0.2">
      <c r="G109" s="47">
        <f t="shared" si="1"/>
        <v>24005.7</v>
      </c>
    </row>
    <row r="110" spans="7:7" ht="16" x14ac:dyDescent="0.2">
      <c r="G110" s="47">
        <f t="shared" si="1"/>
        <v>24005.7</v>
      </c>
    </row>
    <row r="111" spans="7:7" ht="16" x14ac:dyDescent="0.2">
      <c r="G111" s="47">
        <f t="shared" si="1"/>
        <v>24005.7</v>
      </c>
    </row>
    <row r="112" spans="7:7" ht="16" x14ac:dyDescent="0.2">
      <c r="G112" s="47">
        <f t="shared" si="1"/>
        <v>24005.7</v>
      </c>
    </row>
    <row r="113" spans="7:7" ht="16" x14ac:dyDescent="0.2">
      <c r="G113" s="47">
        <f t="shared" si="1"/>
        <v>24005.7</v>
      </c>
    </row>
    <row r="114" spans="7:7" ht="16" x14ac:dyDescent="0.2">
      <c r="G114" s="47">
        <f t="shared" si="1"/>
        <v>24005.7</v>
      </c>
    </row>
    <row r="115" spans="7:7" ht="16" x14ac:dyDescent="0.2">
      <c r="G115" s="47">
        <f t="shared" si="1"/>
        <v>24005.7</v>
      </c>
    </row>
    <row r="116" spans="7:7" ht="16" x14ac:dyDescent="0.2">
      <c r="G116" s="47">
        <f t="shared" si="1"/>
        <v>24005.7</v>
      </c>
    </row>
    <row r="117" spans="7:7" ht="16" x14ac:dyDescent="0.2">
      <c r="G117" s="47">
        <f t="shared" si="1"/>
        <v>24005.7</v>
      </c>
    </row>
    <row r="118" spans="7:7" ht="16" x14ac:dyDescent="0.2">
      <c r="G118" s="47">
        <f t="shared" si="1"/>
        <v>24005.7</v>
      </c>
    </row>
    <row r="119" spans="7:7" ht="16" x14ac:dyDescent="0.2">
      <c r="G119" s="47">
        <f t="shared" si="1"/>
        <v>24005.7</v>
      </c>
    </row>
    <row r="120" spans="7:7" ht="16" x14ac:dyDescent="0.2">
      <c r="G120" s="47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MARZO 26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2026-03-22T20:38:45Z</dcterms:modified>
</cp:coreProperties>
</file>