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A7138CBA-8F47-4944-B424-0FDD9F313842}" xr6:coauthVersionLast="47" xr6:coauthVersionMax="47" xr10:uidLastSave="{00000000-0000-0000-0000-000000000000}"/>
  <bookViews>
    <workbookView xWindow="0" yWindow="780" windowWidth="29100" windowHeight="19800" xr2:uid="{00000000-000D-0000-FFFF-FFFF00000000}"/>
  </bookViews>
  <sheets>
    <sheet name="2DA- MARZO 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H65" i="1" l="1"/>
  <c r="I63" i="1" s="1"/>
  <c r="H53" i="1" l="1"/>
  <c r="I51" i="1" s="1"/>
  <c r="I68" i="1"/>
  <c r="I57" i="1"/>
  <c r="I20" i="1" l="1"/>
  <c r="I4" i="1"/>
  <c r="J10" i="1"/>
  <c r="J6" i="1"/>
  <c r="J9" i="1"/>
  <c r="J5" i="1"/>
  <c r="I13" i="1"/>
  <c r="I74" i="1" l="1"/>
  <c r="I42" i="1"/>
  <c r="I38" i="1" l="1"/>
  <c r="I33" i="1" l="1"/>
  <c r="I46" i="1" l="1"/>
  <c r="I2" i="1" s="1"/>
</calcChain>
</file>

<file path=xl/sharedStrings.xml><?xml version="1.0" encoding="utf-8"?>
<sst xmlns="http://schemas.openxmlformats.org/spreadsheetml/2006/main" count="93" uniqueCount="83">
  <si>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</si>
  <si>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</si>
  <si>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</si>
  <si>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</si>
  <si>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</si>
  <si>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</si>
  <si>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</si>
  <si>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</si>
  <si>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</si>
  <si>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</si>
  <si>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</si>
  <si>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</si>
  <si>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</si>
  <si>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</si>
  <si>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</si>
  <si>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</si>
  <si>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</si>
  <si>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</si>
  <si>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</si>
  <si>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</si>
  <si>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</si>
  <si>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</si>
  <si>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</si>
  <si>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</si>
  <si>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</si>
  <si>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</si>
  <si>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</si>
  <si>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SECURITY BONTHER SAC</t>
  </si>
  <si>
    <t>BCP 193-16256893002</t>
  </si>
  <si>
    <t>Pelaez Lopez Fernando</t>
  </si>
  <si>
    <t>Recibo</t>
  </si>
  <si>
    <t>Vigilancia interna 24 horas</t>
  </si>
  <si>
    <t>AYLLON GRADOS JUNIOR FERNANDO</t>
  </si>
  <si>
    <t>BCP 19377399585096 CCI 00219317739958509614 DNI 75358060</t>
  </si>
  <si>
    <t>Ingreso de información de pagos al sistema</t>
  </si>
  <si>
    <t>UNIDOS ASCENSORES</t>
  </si>
  <si>
    <t>BCP 193-2515609-0-90</t>
  </si>
  <si>
    <t>RUC 20603725761</t>
  </si>
  <si>
    <t>ORDEN DE PAGO - FEBRERO 2026 (SEGUNDA QUINCENA)</t>
  </si>
  <si>
    <t>Vacaciones 2025 - 2026</t>
  </si>
  <si>
    <t>Bono nocturno Marzo 26</t>
  </si>
  <si>
    <t>Apoyo en recepción del edificio (hr extra) - Marzo 26</t>
  </si>
  <si>
    <t>Claro Recibo SB 02-0 207394858 Vto. 09.marzo.26</t>
  </si>
  <si>
    <t>B002-00002614</t>
  </si>
  <si>
    <t>03/03/26 - 2 BALON GRANDE CENTRAL</t>
  </si>
  <si>
    <t>B002-00002622</t>
  </si>
  <si>
    <t>11/03/26 - 2 BALON GRANDE CENTRAL</t>
  </si>
  <si>
    <t>B002-00002623</t>
  </si>
  <si>
    <t>12/03/26 - 2 BALON GRANDE CENTRAL</t>
  </si>
  <si>
    <t>B002-00002631</t>
  </si>
  <si>
    <t>18/03/26 - 2 BALON GRANDE CENTRAL</t>
  </si>
  <si>
    <t>B002-00002635</t>
  </si>
  <si>
    <t>25/03/26 - 2 BALON GRANDE CENTRAL</t>
  </si>
  <si>
    <t>Servicio de Jardineria - Marzo 26</t>
  </si>
  <si>
    <t>E001-399</t>
  </si>
  <si>
    <t>E001-689</t>
  </si>
  <si>
    <t>Servicio Contador Mes de Febrero 26</t>
  </si>
  <si>
    <t xml:space="preserve">Mes de Febrero 26 01 - 08 - 15 - 22 días </t>
  </si>
  <si>
    <t>Mes de Marzo 26 01</t>
  </si>
  <si>
    <t>EB01-2790</t>
  </si>
  <si>
    <t>Mantenimiento Febrero 26</t>
  </si>
  <si>
    <t>ACCESORIOS &amp; ASCENSORES SAC</t>
  </si>
  <si>
    <t xml:space="preserve">BBVA CONTINENTAL CCI. 011-135-000100051995-17 </t>
  </si>
  <si>
    <t xml:space="preserve">ELMER HUAMAN JARA </t>
  </si>
  <si>
    <t xml:space="preserve">Interbank </t>
  </si>
  <si>
    <t>274-3120672859</t>
  </si>
  <si>
    <t xml:space="preserve">Cambio de llave de paso Dpto. </t>
  </si>
  <si>
    <t>Cambio de regadera de cocina del personal</t>
  </si>
  <si>
    <t xml:space="preserve">Se realiza el día miércoles 18 de marzo </t>
  </si>
  <si>
    <t>E001-085</t>
  </si>
  <si>
    <t>Administración 2da quincena marzo 26</t>
  </si>
  <si>
    <t>Cotización 18 - 3100</t>
  </si>
  <si>
    <t xml:space="preserve">Ascensor derecho </t>
  </si>
  <si>
    <t xml:space="preserve">Suministro e instalación de 04 guías </t>
  </si>
  <si>
    <t>Realineamiento de rieles de cabina</t>
  </si>
  <si>
    <t>Saldo por cancelar, 23.03 se realizó adelanto de 1700</t>
  </si>
  <si>
    <t xml:space="preserve">IKER FRED MARCOS MEZA </t>
  </si>
  <si>
    <t>BCP 00219410443455404699 DNI 615116647</t>
  </si>
  <si>
    <t xml:space="preserve">Relevo Marzo 26 Dominical </t>
  </si>
  <si>
    <t>Días 8 - 15 - 22 - 29</t>
  </si>
  <si>
    <t xml:space="preserve">SHANDER SEBASTIAN PARIAZA ASCENCIO </t>
  </si>
  <si>
    <t>BCP 00219419762025501696 DNI 61306768</t>
  </si>
  <si>
    <t>no se paga hasta q acabe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</si>
</sst>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3" fillId="8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3" fillId="0" borderId="0" xfId="0" applyFont="1" applyAlignment="1">
      <alignment wrapText="1"/>
    </xf>
    <xf numFmtId="17" fontId="13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0" fontId="1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wrapText="1"/>
    </xf>
    <xf numFmtId="0" fontId="1" fillId="8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right" wrapText="1"/>
    </xf>
    <xf numFmtId="0" fontId="9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wrapText="1"/>
    </xf>
    <xf numFmtId="0" fontId="1" fillId="9" borderId="0" xfId="0" applyFont="1" applyFill="1" applyAlignment="1">
      <alignment horizontal="center" wrapText="1"/>
    </xf>
    <xf numFmtId="0" fontId="9" fillId="9" borderId="0" xfId="0" applyFont="1" applyFill="1" applyAlignment="1">
      <alignment horizontal="left" wrapText="1"/>
    </xf>
    <xf numFmtId="4" fontId="1" fillId="9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  <xf numFmtId="4" fontId="1" fillId="8" borderId="0" xfId="0" applyNumberFormat="1" applyFont="1" applyFill="1" applyAlignment="1">
      <alignment horizontal="right" vertical="center" wrapText="1"/>
    </xf>
    <xf numFmtId="4" fontId="2" fillId="13" borderId="0" xfId="0" applyNumberFormat="1" applyFont="1" applyFill="1"/>
    <xf numFmtId="4" fontId="1" fillId="13" borderId="0" xfId="0" applyNumberFormat="1" applyFont="1" applyFill="1" applyAlignment="1">
      <alignment horizontal="right" wrapText="1"/>
    </xf>
    <xf numFmtId="4" fontId="1" fillId="13" borderId="0" xfId="0" applyNumberFormat="1" applyFont="1" applyFill="1" applyAlignment="1">
      <alignment horizontal="right" vertical="center" wrapText="1"/>
    </xf>
    <xf numFmtId="4" fontId="15" fillId="13" borderId="0" xfId="0" applyNumberFormat="1" applyFont="1" applyFill="1" applyAlignment="1">
      <alignment horizontal="right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49"/>
  <sheetViews>
    <sheetView showGridLines="0" tabSelected="1" topLeftCell="A46" zoomScale="110" zoomScaleNormal="110" workbookViewId="0">
      <selection activeCell="I78" sqref="I78"/>
    </sheetView>
  </sheetViews>
  <sheetFormatPr baseColWidth="10" defaultColWidth="11.1640625" defaultRowHeight="15" customHeight="1" x14ac:dyDescent="0.25"/>
  <cols>
    <col min="1" max="1" width="16.6640625" style="3" customWidth="1"/>
    <col min="2" max="2" width="19" style="3" customWidth="1"/>
    <col min="3" max="3" width="6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38</v>
      </c>
      <c r="H2" s="7" t="s">
        <v>0</v>
      </c>
      <c r="I2" s="50">
        <f>SUM(I4:I46)</f>
        <v>8159.18</v>
      </c>
      <c r="J2" s="5"/>
      <c r="K2"/>
      <c r="N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69">
        <f>SUM(H5:H12)</f>
        <v>5225.38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2">
        <v>851.52</v>
      </c>
      <c r="I5" s="5"/>
      <c r="J5" s="5">
        <f>H5</f>
        <v>851.52</v>
      </c>
      <c r="L5" s="4"/>
      <c r="M5" s="4"/>
    </row>
    <row r="6" spans="1:28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">
        <v>851.52</v>
      </c>
      <c r="I6" s="5"/>
      <c r="J6" s="5">
        <f>H6+H7+H8</f>
        <v>2086.52</v>
      </c>
      <c r="L6" s="4"/>
      <c r="M6" s="5"/>
      <c r="AB6"/>
    </row>
    <row r="7" spans="1:28" ht="15.75" customHeight="1" x14ac:dyDescent="0.25">
      <c r="B7" s="13"/>
      <c r="C7" s="13"/>
      <c r="D7" s="14" t="s">
        <v>23</v>
      </c>
      <c r="E7" s="13"/>
      <c r="F7" s="13"/>
      <c r="G7" s="13"/>
      <c r="H7" s="5">
        <v>105</v>
      </c>
      <c r="I7" s="5"/>
      <c r="J7" s="5"/>
      <c r="L7" s="49"/>
      <c r="M7" s="5"/>
    </row>
    <row r="8" spans="1:28" ht="15.75" customHeight="1" x14ac:dyDescent="0.25">
      <c r="B8" s="13"/>
      <c r="C8" s="13"/>
      <c r="D8" s="14" t="s">
        <v>39</v>
      </c>
      <c r="E8" s="13"/>
      <c r="F8" s="13"/>
      <c r="G8" s="13"/>
      <c r="H8" s="5">
        <v>1130</v>
      </c>
      <c r="I8" s="5"/>
      <c r="J8" s="5"/>
      <c r="L8" s="49"/>
      <c r="M8" s="5"/>
    </row>
    <row r="9" spans="1:28" ht="15" customHeight="1" x14ac:dyDescent="0.25">
      <c r="A9" s="15"/>
      <c r="B9" s="15" t="s">
        <v>5</v>
      </c>
      <c r="C9" s="15"/>
      <c r="D9" s="15" t="s">
        <v>3</v>
      </c>
      <c r="E9" s="15"/>
      <c r="F9" s="15"/>
      <c r="G9" s="15"/>
      <c r="H9" s="52">
        <v>951.67</v>
      </c>
      <c r="I9" s="5"/>
      <c r="J9" s="5">
        <f>H9</f>
        <v>951.67</v>
      </c>
      <c r="L9" s="4"/>
      <c r="M9" s="4"/>
    </row>
    <row r="10" spans="1:28" ht="15.75" customHeight="1" x14ac:dyDescent="0.25">
      <c r="A10" s="16"/>
      <c r="B10" s="16" t="s">
        <v>6</v>
      </c>
      <c r="C10" s="16"/>
      <c r="D10" s="16" t="s">
        <v>3</v>
      </c>
      <c r="E10" s="16"/>
      <c r="F10" s="16"/>
      <c r="G10" s="16"/>
      <c r="H10" s="5">
        <v>951.67</v>
      </c>
      <c r="I10" s="5"/>
      <c r="J10" s="5">
        <f>H10+H11+H12</f>
        <v>1335.67</v>
      </c>
    </row>
    <row r="11" spans="1:28" ht="15.75" customHeight="1" x14ac:dyDescent="0.25">
      <c r="A11" s="16"/>
      <c r="B11" s="16"/>
      <c r="C11" s="16"/>
      <c r="D11" s="16" t="s">
        <v>40</v>
      </c>
      <c r="E11" s="16"/>
      <c r="F11" s="16"/>
      <c r="G11" s="16"/>
      <c r="H11" s="5">
        <v>250</v>
      </c>
      <c r="I11" s="5"/>
      <c r="J11" s="5"/>
    </row>
    <row r="12" spans="1:28" ht="15.75" customHeight="1" x14ac:dyDescent="0.25">
      <c r="A12" s="16"/>
      <c r="B12" s="17"/>
      <c r="C12" s="18"/>
      <c r="D12" s="19" t="s">
        <v>41</v>
      </c>
      <c r="E12" s="20"/>
      <c r="F12" s="20"/>
      <c r="G12" s="20"/>
      <c r="H12" s="2">
        <v>134</v>
      </c>
      <c r="I12" s="5"/>
      <c r="J12" s="5"/>
    </row>
    <row r="13" spans="1:28" ht="15.75" customHeight="1" x14ac:dyDescent="0.25">
      <c r="A13" s="21" t="s">
        <v>7</v>
      </c>
      <c r="B13" s="22"/>
      <c r="C13" s="22"/>
      <c r="D13" s="22"/>
      <c r="E13" s="22"/>
      <c r="F13" s="22"/>
      <c r="G13" s="22"/>
      <c r="H13" s="23"/>
      <c r="I13" s="69">
        <f>SUM(H15:H17)</f>
        <v>143.80000000000001</v>
      </c>
      <c r="J13" s="5"/>
      <c r="L13" s="4"/>
    </row>
    <row r="14" spans="1:28" ht="15.75" customHeight="1" x14ac:dyDescent="0.25">
      <c r="A14" s="24"/>
      <c r="B14" s="24"/>
      <c r="C14" s="24"/>
      <c r="D14" s="24"/>
      <c r="E14" s="24"/>
      <c r="F14" s="24"/>
      <c r="G14" s="24"/>
      <c r="H14" s="25"/>
      <c r="I14" s="5"/>
      <c r="J14" s="5"/>
    </row>
    <row r="15" spans="1:28" ht="15.75" customHeight="1" x14ac:dyDescent="0.25">
      <c r="A15" s="13"/>
      <c r="B15" s="13" t="s">
        <v>8</v>
      </c>
      <c r="C15" s="13"/>
      <c r="D15" s="13" t="s">
        <v>22</v>
      </c>
      <c r="E15" s="13"/>
      <c r="F15" s="13"/>
      <c r="G15" s="13"/>
      <c r="H15" s="26">
        <v>80</v>
      </c>
      <c r="I15" s="5"/>
      <c r="J15" s="5"/>
      <c r="K15" s="50"/>
      <c r="L15" s="13"/>
    </row>
    <row r="16" spans="1:28" ht="15.75" customHeight="1" x14ac:dyDescent="0.25">
      <c r="A16" s="13"/>
      <c r="B16" s="13" t="s">
        <v>9</v>
      </c>
      <c r="C16" s="13"/>
      <c r="D16" s="13" t="s">
        <v>42</v>
      </c>
      <c r="E16" s="13"/>
      <c r="F16" s="13"/>
      <c r="G16" s="13"/>
      <c r="H16" s="26">
        <v>31.9</v>
      </c>
      <c r="I16" s="5"/>
      <c r="J16" s="5"/>
      <c r="L16" s="13"/>
    </row>
    <row r="17" spans="1:20" ht="15.75" customHeight="1" x14ac:dyDescent="0.25">
      <c r="A17" s="13"/>
      <c r="B17" s="13" t="s">
        <v>10</v>
      </c>
      <c r="C17" s="13"/>
      <c r="D17" s="13"/>
      <c r="E17" s="13"/>
      <c r="F17" s="13"/>
      <c r="G17" s="13"/>
      <c r="H17" s="26">
        <v>31.9</v>
      </c>
      <c r="I17" s="5"/>
      <c r="J17" s="5"/>
      <c r="L17" s="13"/>
    </row>
    <row r="18" spans="1:20" ht="10.5" customHeight="1" x14ac:dyDescent="0.25">
      <c r="A18" s="13"/>
      <c r="B18" s="13"/>
      <c r="C18" s="13"/>
      <c r="D18" s="27"/>
      <c r="E18" s="13"/>
      <c r="F18" s="13"/>
      <c r="G18" s="13"/>
      <c r="H18" s="5"/>
      <c r="I18" s="5"/>
      <c r="J18" s="5"/>
      <c r="K18" s="5"/>
      <c r="L18" s="13"/>
      <c r="M18" s="13"/>
      <c r="N18" s="13"/>
      <c r="O18" s="13"/>
    </row>
    <row r="19" spans="1:20" ht="11.25" customHeight="1" x14ac:dyDescent="0.25">
      <c r="J19" s="5"/>
      <c r="K19" s="5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.75" customHeight="1" x14ac:dyDescent="0.25">
      <c r="A20" s="21" t="s">
        <v>15</v>
      </c>
      <c r="B20" s="22"/>
      <c r="C20" s="22"/>
      <c r="D20" s="22"/>
      <c r="E20" s="22"/>
      <c r="F20" s="22"/>
      <c r="G20" s="22"/>
      <c r="H20" s="23"/>
      <c r="I20" s="69">
        <f>H22+H24+H26+H28+H30</f>
        <v>1650</v>
      </c>
      <c r="J20" s="5"/>
    </row>
    <row r="21" spans="1:20" ht="15.75" customHeight="1" x14ac:dyDescent="0.25">
      <c r="A21" s="28" t="s">
        <v>16</v>
      </c>
      <c r="B21" s="24"/>
      <c r="C21" s="24"/>
      <c r="D21" s="28" t="s">
        <v>17</v>
      </c>
      <c r="E21" s="24"/>
      <c r="F21" s="24"/>
      <c r="G21" s="24"/>
      <c r="H21" s="25"/>
      <c r="I21" s="5"/>
      <c r="J21" s="5"/>
    </row>
    <row r="22" spans="1:20" ht="15.75" customHeight="1" x14ac:dyDescent="0.25">
      <c r="A22" s="13"/>
      <c r="B22" s="13" t="s">
        <v>43</v>
      </c>
      <c r="C22" s="13"/>
      <c r="D22" s="13" t="s">
        <v>44</v>
      </c>
      <c r="E22" s="13"/>
      <c r="F22" s="13"/>
      <c r="G22" s="13"/>
      <c r="H22" s="26">
        <v>400</v>
      </c>
      <c r="I22" s="5"/>
      <c r="J22" s="5"/>
    </row>
    <row r="23" spans="1:20" ht="15.75" customHeight="1" x14ac:dyDescent="0.25">
      <c r="A23" s="13"/>
      <c r="B23" s="13"/>
      <c r="C23" s="13"/>
      <c r="D23" s="27" t="s">
        <v>18</v>
      </c>
      <c r="E23" s="13"/>
      <c r="F23" s="13"/>
      <c r="G23" s="13"/>
      <c r="H23" s="29"/>
      <c r="I23" s="5"/>
      <c r="J23" s="5"/>
    </row>
    <row r="24" spans="1:20" ht="15.75" customHeight="1" x14ac:dyDescent="0.25">
      <c r="A24" s="13"/>
      <c r="B24" s="13" t="s">
        <v>45</v>
      </c>
      <c r="C24" s="13"/>
      <c r="D24" s="13" t="s">
        <v>46</v>
      </c>
      <c r="E24" s="13"/>
      <c r="F24" s="13"/>
      <c r="G24" s="13"/>
      <c r="H24" s="26">
        <v>200</v>
      </c>
      <c r="I24" s="5"/>
      <c r="J24" s="5"/>
    </row>
    <row r="25" spans="1:20" ht="15.75" customHeight="1" x14ac:dyDescent="0.25">
      <c r="A25" s="13"/>
      <c r="B25" s="13"/>
      <c r="C25" s="13"/>
      <c r="D25" s="27" t="s">
        <v>18</v>
      </c>
      <c r="E25" s="13"/>
      <c r="F25" s="13"/>
      <c r="G25" s="13"/>
      <c r="H25" s="29"/>
      <c r="I25" s="5"/>
      <c r="J25" s="5"/>
    </row>
    <row r="26" spans="1:20" ht="15.75" customHeight="1" x14ac:dyDescent="0.25">
      <c r="A26" s="13"/>
      <c r="B26" s="13" t="s">
        <v>47</v>
      </c>
      <c r="C26" s="13"/>
      <c r="D26" s="13" t="s">
        <v>48</v>
      </c>
      <c r="E26" s="13"/>
      <c r="F26" s="13"/>
      <c r="G26" s="13"/>
      <c r="H26" s="26">
        <v>210</v>
      </c>
      <c r="I26" s="5"/>
      <c r="J26" s="5"/>
      <c r="K26" s="50"/>
      <c r="L26" s="6"/>
    </row>
    <row r="27" spans="1:20" ht="19" x14ac:dyDescent="0.25">
      <c r="A27" s="13"/>
      <c r="B27" s="13"/>
      <c r="C27" s="13"/>
      <c r="D27" s="27" t="s">
        <v>18</v>
      </c>
      <c r="E27" s="13"/>
      <c r="F27" s="13"/>
      <c r="G27" s="13"/>
      <c r="H27" s="29"/>
      <c r="I27" s="5"/>
      <c r="J27" s="5"/>
    </row>
    <row r="28" spans="1:20" ht="19" x14ac:dyDescent="0.25">
      <c r="A28" s="13"/>
      <c r="B28" s="13" t="s">
        <v>49</v>
      </c>
      <c r="C28" s="13"/>
      <c r="D28" s="13" t="s">
        <v>50</v>
      </c>
      <c r="E28" s="13"/>
      <c r="F28" s="13"/>
      <c r="G28" s="13"/>
      <c r="H28" s="26">
        <v>420</v>
      </c>
      <c r="I28" s="5"/>
      <c r="J28" s="5"/>
      <c r="S28"/>
    </row>
    <row r="29" spans="1:20" ht="19" x14ac:dyDescent="0.25">
      <c r="A29" s="13"/>
      <c r="B29" s="13"/>
      <c r="C29" s="13"/>
      <c r="D29" s="27" t="s">
        <v>18</v>
      </c>
      <c r="E29" s="13"/>
      <c r="F29" s="13"/>
      <c r="G29" s="13"/>
      <c r="H29" s="29"/>
      <c r="I29" s="5"/>
      <c r="J29" s="5"/>
      <c r="K29"/>
    </row>
    <row r="30" spans="1:20" ht="19" x14ac:dyDescent="0.25">
      <c r="A30" s="13"/>
      <c r="B30" s="13" t="s">
        <v>51</v>
      </c>
      <c r="C30" s="13"/>
      <c r="D30" s="13" t="s">
        <v>52</v>
      </c>
      <c r="E30" s="13"/>
      <c r="F30" s="13"/>
      <c r="G30" s="13"/>
      <c r="H30" s="26">
        <v>420</v>
      </c>
      <c r="I30" s="5"/>
      <c r="J30" s="5"/>
      <c r="K30"/>
    </row>
    <row r="31" spans="1:20" ht="19" x14ac:dyDescent="0.25">
      <c r="A31" s="13"/>
      <c r="B31" s="13"/>
      <c r="C31" s="13"/>
      <c r="D31" s="27" t="s">
        <v>18</v>
      </c>
      <c r="E31" s="13"/>
      <c r="F31" s="13"/>
      <c r="G31" s="13"/>
      <c r="H31" s="29"/>
      <c r="I31" s="5"/>
      <c r="J31" s="5"/>
      <c r="K31"/>
    </row>
    <row r="32" spans="1:20" ht="15.75" customHeight="1" x14ac:dyDescent="0.25">
      <c r="A32" s="30"/>
      <c r="B32" s="31"/>
      <c r="C32" s="31"/>
      <c r="D32" s="31"/>
      <c r="E32" s="31"/>
      <c r="F32" s="31"/>
      <c r="G32" s="31"/>
      <c r="H32" s="29"/>
      <c r="I32" s="5"/>
      <c r="J32" s="5"/>
      <c r="P32"/>
    </row>
    <row r="33" spans="1:21" ht="15.75" customHeight="1" x14ac:dyDescent="0.25">
      <c r="A33" s="21" t="s">
        <v>12</v>
      </c>
      <c r="B33" s="22"/>
      <c r="C33" s="22"/>
      <c r="D33" s="22"/>
      <c r="E33" s="22"/>
      <c r="F33" s="22"/>
      <c r="G33" s="22"/>
      <c r="H33" s="23"/>
      <c r="I33" s="69">
        <f>SUM(H35)</f>
        <v>180</v>
      </c>
      <c r="J33" s="5"/>
    </row>
    <row r="34" spans="1:21" ht="15.75" customHeight="1" x14ac:dyDescent="0.25">
      <c r="A34" s="28" t="s">
        <v>13</v>
      </c>
      <c r="B34" s="28" t="s">
        <v>11</v>
      </c>
      <c r="C34" s="28"/>
      <c r="D34" s="28" t="s">
        <v>14</v>
      </c>
      <c r="E34" s="24"/>
      <c r="F34" s="24"/>
      <c r="G34" s="24"/>
      <c r="H34" s="25"/>
      <c r="I34" s="5"/>
      <c r="J34" s="5"/>
    </row>
    <row r="35" spans="1:21" ht="15.75" customHeight="1" x14ac:dyDescent="0.25">
      <c r="B35" s="13" t="s">
        <v>54</v>
      </c>
      <c r="C35" s="13"/>
      <c r="D35" s="13" t="s">
        <v>53</v>
      </c>
      <c r="E35" s="13"/>
      <c r="F35" s="13"/>
      <c r="G35" s="13"/>
      <c r="H35" s="5">
        <v>180</v>
      </c>
      <c r="I35" s="5"/>
      <c r="J35" s="5"/>
    </row>
    <row r="36" spans="1:21" ht="15.75" customHeight="1" x14ac:dyDescent="0.25">
      <c r="B36" s="13"/>
      <c r="C36" s="13"/>
      <c r="D36" s="13"/>
      <c r="E36" s="13"/>
      <c r="F36" s="13"/>
      <c r="G36" s="13"/>
      <c r="H36" s="5"/>
      <c r="I36" s="5"/>
      <c r="J36" s="5"/>
    </row>
    <row r="37" spans="1:21" ht="15.75" customHeight="1" x14ac:dyDescent="0.25">
      <c r="B37" s="13"/>
      <c r="C37" s="13"/>
      <c r="D37" s="27"/>
      <c r="E37" s="13"/>
      <c r="F37" s="13"/>
      <c r="G37" s="13"/>
      <c r="H37" s="5"/>
      <c r="I37" s="5"/>
      <c r="J37" s="5"/>
    </row>
    <row r="38" spans="1:21" ht="15.75" customHeight="1" x14ac:dyDescent="0.25">
      <c r="A38" s="36" t="s">
        <v>32</v>
      </c>
      <c r="B38" s="36"/>
      <c r="C38" s="36"/>
      <c r="D38" s="44"/>
      <c r="E38" s="44"/>
      <c r="F38" s="44"/>
      <c r="G38" s="44"/>
      <c r="H38" s="44"/>
      <c r="I38" s="69">
        <f>H40</f>
        <v>160</v>
      </c>
      <c r="J38" s="5"/>
    </row>
    <row r="39" spans="1:21" ht="15.75" customHeight="1" x14ac:dyDescent="0.25">
      <c r="A39" s="38" t="s">
        <v>33</v>
      </c>
      <c r="B39" s="45"/>
      <c r="C39" s="45"/>
      <c r="D39" s="46"/>
      <c r="E39" s="45"/>
      <c r="F39" s="45"/>
      <c r="G39" s="45"/>
      <c r="H39" s="45"/>
      <c r="I39" s="5"/>
      <c r="J39" s="5"/>
    </row>
    <row r="40" spans="1:21" ht="15.75" customHeight="1" x14ac:dyDescent="0.25">
      <c r="A40" s="47"/>
      <c r="B40" s="48">
        <v>46082</v>
      </c>
      <c r="C40" s="47"/>
      <c r="D40" s="73" t="s">
        <v>34</v>
      </c>
      <c r="E40" s="73"/>
      <c r="F40" s="47"/>
      <c r="G40" s="47"/>
      <c r="H40" s="5">
        <v>160</v>
      </c>
      <c r="I40" s="5"/>
      <c r="J40" s="5"/>
      <c r="U40"/>
    </row>
    <row r="41" spans="1:21" ht="15.5" customHeight="1" x14ac:dyDescent="0.25">
      <c r="I41" s="5"/>
      <c r="J41" s="5"/>
    </row>
    <row r="42" spans="1:21" ht="15.75" customHeight="1" x14ac:dyDescent="0.25">
      <c r="A42" s="21" t="s">
        <v>24</v>
      </c>
      <c r="B42" s="21"/>
      <c r="C42" s="21"/>
      <c r="D42" s="32"/>
      <c r="E42" s="32"/>
      <c r="F42" s="32"/>
      <c r="G42" s="32"/>
      <c r="H42" s="32"/>
      <c r="I42" s="70">
        <f>H44</f>
        <v>200</v>
      </c>
      <c r="J42" s="51"/>
    </row>
    <row r="43" spans="1:21" ht="15.75" customHeight="1" x14ac:dyDescent="0.25">
      <c r="A43" s="33" t="s">
        <v>25</v>
      </c>
      <c r="B43" s="34"/>
      <c r="C43" s="34"/>
      <c r="D43" s="35" t="s">
        <v>26</v>
      </c>
      <c r="E43" s="34"/>
      <c r="F43" s="34"/>
      <c r="G43" s="34"/>
      <c r="H43" s="34"/>
      <c r="I43" s="2"/>
      <c r="J43" s="51"/>
    </row>
    <row r="44" spans="1:21" ht="15.75" customHeight="1" x14ac:dyDescent="0.25">
      <c r="A44" s="1"/>
      <c r="B44" s="1" t="s">
        <v>55</v>
      </c>
      <c r="C44" s="1"/>
      <c r="D44" s="74" t="s">
        <v>56</v>
      </c>
      <c r="E44" s="74"/>
      <c r="F44" s="1"/>
      <c r="G44" s="1"/>
      <c r="H44" s="5">
        <v>200</v>
      </c>
      <c r="I44" s="2"/>
      <c r="J44" s="2"/>
    </row>
    <row r="45" spans="1:21" ht="15.75" customHeight="1" x14ac:dyDescent="0.25">
      <c r="I45" s="2"/>
      <c r="J45" s="2"/>
    </row>
    <row r="46" spans="1:21" ht="15.75" customHeight="1" x14ac:dyDescent="0.25">
      <c r="A46" s="21" t="s">
        <v>19</v>
      </c>
      <c r="B46" s="22"/>
      <c r="C46" s="22"/>
      <c r="D46" s="22"/>
      <c r="E46" s="22"/>
      <c r="F46" s="22"/>
      <c r="G46" s="22"/>
      <c r="H46" s="23"/>
      <c r="I46" s="69">
        <f>H48</f>
        <v>600</v>
      </c>
      <c r="J46" s="5"/>
    </row>
    <row r="47" spans="1:21" ht="15.75" customHeight="1" x14ac:dyDescent="0.25">
      <c r="A47" s="28" t="s">
        <v>20</v>
      </c>
      <c r="B47" s="24"/>
      <c r="C47" s="24"/>
      <c r="D47" s="28" t="s">
        <v>21</v>
      </c>
      <c r="E47" s="24"/>
      <c r="F47" s="24"/>
      <c r="G47" s="24"/>
      <c r="H47" s="25"/>
      <c r="I47" s="5"/>
      <c r="J47" s="5"/>
    </row>
    <row r="48" spans="1:21" ht="15.75" customHeight="1" x14ac:dyDescent="0.25">
      <c r="A48" s="30"/>
      <c r="B48" s="31" t="s">
        <v>69</v>
      </c>
      <c r="C48" s="31"/>
      <c r="D48" s="31" t="s">
        <v>70</v>
      </c>
      <c r="E48" s="31"/>
      <c r="F48" s="31"/>
      <c r="G48" s="31"/>
      <c r="H48" s="29">
        <v>600</v>
      </c>
      <c r="I48" s="5"/>
      <c r="J48" s="5"/>
    </row>
    <row r="49" spans="1:21" ht="15.75" customHeight="1" x14ac:dyDescent="0.25">
      <c r="A49" s="30"/>
      <c r="B49" s="31"/>
      <c r="C49" s="31"/>
      <c r="D49" s="31"/>
      <c r="E49" s="31"/>
      <c r="F49" s="31"/>
      <c r="G49" s="31"/>
      <c r="H49" s="29"/>
      <c r="I49" s="5"/>
      <c r="J49" s="5"/>
    </row>
    <row r="50" spans="1:21" ht="15.75" customHeight="1" x14ac:dyDescent="0.25">
      <c r="A50" s="30"/>
      <c r="B50" s="31"/>
      <c r="C50" s="31"/>
      <c r="D50" s="31"/>
      <c r="E50" s="31"/>
      <c r="F50" s="31"/>
      <c r="G50" s="31"/>
      <c r="H50" s="29"/>
      <c r="I50" s="5"/>
      <c r="J50" s="5"/>
    </row>
    <row r="51" spans="1:21" ht="15.75" customHeight="1" x14ac:dyDescent="0.25">
      <c r="A51" s="53" t="s">
        <v>61</v>
      </c>
      <c r="B51" s="54"/>
      <c r="C51" s="55"/>
      <c r="D51" s="54"/>
      <c r="E51" s="55"/>
      <c r="F51" s="55"/>
      <c r="G51" s="55"/>
      <c r="H51" s="56"/>
      <c r="I51" s="70">
        <f>H53+H54</f>
        <v>1650</v>
      </c>
      <c r="J51" s="5" t="s">
        <v>82</v>
      </c>
    </row>
    <row r="52" spans="1:21" ht="15.75" customHeight="1" x14ac:dyDescent="0.25">
      <c r="A52" s="57" t="s">
        <v>62</v>
      </c>
      <c r="B52" s="58"/>
      <c r="C52" s="59"/>
      <c r="D52" s="60"/>
      <c r="E52" s="59"/>
      <c r="F52" s="59"/>
      <c r="G52" s="59"/>
      <c r="H52" s="61"/>
      <c r="I52" s="2"/>
      <c r="J52"/>
      <c r="U52"/>
    </row>
    <row r="53" spans="1:21" ht="15.75" customHeight="1" x14ac:dyDescent="0.25">
      <c r="A53" s="62"/>
      <c r="B53" s="62" t="s">
        <v>71</v>
      </c>
      <c r="C53" s="63"/>
      <c r="D53" s="4" t="s">
        <v>72</v>
      </c>
      <c r="E53" s="63"/>
      <c r="F53" s="63"/>
      <c r="G53" s="63"/>
      <c r="H53" s="2">
        <f>3350-1700</f>
        <v>1650</v>
      </c>
      <c r="I53" s="2"/>
      <c r="J53" s="5"/>
    </row>
    <row r="54" spans="1:21" ht="15.75" customHeight="1" x14ac:dyDescent="0.25">
      <c r="A54" s="62"/>
      <c r="B54" s="62"/>
      <c r="C54" s="64"/>
      <c r="D54" s="4" t="s">
        <v>73</v>
      </c>
      <c r="H54" s="65"/>
      <c r="I54" s="65"/>
      <c r="J54" s="5"/>
    </row>
    <row r="55" spans="1:21" ht="15.75" customHeight="1" x14ac:dyDescent="0.25">
      <c r="A55" s="62"/>
      <c r="B55" s="62"/>
      <c r="C55" s="64"/>
      <c r="D55" s="4" t="s">
        <v>74</v>
      </c>
      <c r="H55" s="65"/>
      <c r="I55" s="65"/>
      <c r="J55" s="5"/>
    </row>
    <row r="56" spans="1:21" ht="15.75" customHeight="1" x14ac:dyDescent="0.25">
      <c r="D56" s="3" t="s">
        <v>75</v>
      </c>
      <c r="I56" s="5"/>
      <c r="J56" s="5"/>
    </row>
    <row r="57" spans="1:21" ht="15.75" customHeight="1" x14ac:dyDescent="0.25">
      <c r="A57" s="53" t="s">
        <v>63</v>
      </c>
      <c r="B57" s="66"/>
      <c r="C57" s="67"/>
      <c r="D57" s="66"/>
      <c r="E57" s="67"/>
      <c r="F57" s="67"/>
      <c r="G57" s="67"/>
      <c r="H57" s="68"/>
      <c r="I57" s="71">
        <f>H59</f>
        <v>310</v>
      </c>
      <c r="J57" s="5"/>
    </row>
    <row r="58" spans="1:21" ht="15.75" customHeight="1" x14ac:dyDescent="0.25">
      <c r="A58" s="57" t="s">
        <v>64</v>
      </c>
      <c r="B58" s="58" t="s">
        <v>65</v>
      </c>
      <c r="C58" s="59"/>
      <c r="D58" s="60"/>
      <c r="E58" s="59"/>
      <c r="F58" s="59"/>
      <c r="G58" s="59"/>
      <c r="H58" s="61"/>
      <c r="I58" s="2"/>
      <c r="J58" s="5"/>
    </row>
    <row r="59" spans="1:21" ht="15.75" customHeight="1" x14ac:dyDescent="0.25">
      <c r="A59" s="62"/>
      <c r="B59" s="62"/>
      <c r="C59" s="63"/>
      <c r="D59" s="62" t="s">
        <v>66</v>
      </c>
      <c r="E59" s="63"/>
      <c r="F59" s="63"/>
      <c r="G59" s="63"/>
      <c r="H59" s="2">
        <v>310</v>
      </c>
      <c r="I59" s="2"/>
      <c r="J59" s="5"/>
    </row>
    <row r="60" spans="1:21" ht="15.75" customHeight="1" x14ac:dyDescent="0.25">
      <c r="A60" s="62"/>
      <c r="B60" s="62"/>
      <c r="C60" s="63"/>
      <c r="D60" s="62" t="s">
        <v>67</v>
      </c>
      <c r="E60" s="63"/>
      <c r="F60" s="63"/>
      <c r="G60" s="63"/>
      <c r="H60" s="2"/>
      <c r="I60" s="2"/>
      <c r="J60" s="5"/>
    </row>
    <row r="61" spans="1:21" ht="15.75" customHeight="1" x14ac:dyDescent="0.25">
      <c r="A61" s="64"/>
      <c r="B61" s="64"/>
      <c r="C61" s="4"/>
      <c r="D61" s="64" t="s">
        <v>68</v>
      </c>
      <c r="H61" s="65"/>
      <c r="I61" s="65"/>
      <c r="J61" s="5"/>
    </row>
    <row r="62" spans="1:21" ht="15.75" customHeight="1" x14ac:dyDescent="0.25">
      <c r="A62" s="64"/>
      <c r="B62" s="64"/>
      <c r="C62" s="4"/>
      <c r="D62" s="64"/>
      <c r="H62" s="65"/>
      <c r="I62" s="65"/>
      <c r="J62" s="5"/>
    </row>
    <row r="63" spans="1:21" ht="15.75" customHeight="1" x14ac:dyDescent="0.25">
      <c r="A63" s="21" t="s">
        <v>76</v>
      </c>
      <c r="B63" s="21"/>
      <c r="C63" s="21"/>
      <c r="D63" s="32"/>
      <c r="E63" s="32"/>
      <c r="F63" s="32"/>
      <c r="G63" s="32"/>
      <c r="H63" s="32"/>
      <c r="I63" s="69">
        <f>H65</f>
        <v>320</v>
      </c>
      <c r="J63" s="5"/>
    </row>
    <row r="64" spans="1:21" ht="15.75" customHeight="1" x14ac:dyDescent="0.25">
      <c r="A64" s="33" t="s">
        <v>77</v>
      </c>
      <c r="B64" s="34"/>
      <c r="C64" s="34"/>
      <c r="D64" s="35"/>
      <c r="E64" s="34"/>
      <c r="F64" s="34"/>
      <c r="G64" s="34"/>
      <c r="H64" s="34"/>
      <c r="I64" s="5"/>
      <c r="J64" s="5"/>
    </row>
    <row r="65" spans="1:21" ht="15.75" customHeight="1" x14ac:dyDescent="0.25">
      <c r="A65" s="1"/>
      <c r="B65" s="1"/>
      <c r="C65" s="1"/>
      <c r="D65" s="74" t="s">
        <v>78</v>
      </c>
      <c r="E65" s="74"/>
      <c r="F65" s="1"/>
      <c r="G65" s="1"/>
      <c r="H65" s="5">
        <f>4*80</f>
        <v>320</v>
      </c>
      <c r="I65" s="5"/>
      <c r="J65" s="5"/>
    </row>
    <row r="66" spans="1:21" ht="15.5" customHeight="1" x14ac:dyDescent="0.25">
      <c r="D66" s="3" t="s">
        <v>79</v>
      </c>
      <c r="I66" s="5"/>
      <c r="J66" s="5"/>
    </row>
    <row r="67" spans="1:21" ht="15.5" customHeight="1" x14ac:dyDescent="0.25">
      <c r="I67" s="5"/>
      <c r="J67" s="5"/>
    </row>
    <row r="68" spans="1:21" ht="15.75" customHeight="1" x14ac:dyDescent="0.25">
      <c r="A68" s="21" t="s">
        <v>80</v>
      </c>
      <c r="B68" s="22"/>
      <c r="C68" s="22"/>
      <c r="D68" s="22"/>
      <c r="E68" s="22"/>
      <c r="F68" s="22"/>
      <c r="G68" s="22"/>
      <c r="H68" s="23"/>
      <c r="I68" s="69">
        <f>H70</f>
        <v>320</v>
      </c>
      <c r="J68" s="5"/>
    </row>
    <row r="69" spans="1:21" ht="15.75" customHeight="1" x14ac:dyDescent="0.25">
      <c r="A69" s="28" t="s">
        <v>81</v>
      </c>
      <c r="B69" s="24"/>
      <c r="C69" s="24"/>
      <c r="D69" s="28"/>
      <c r="E69" s="24"/>
      <c r="F69" s="24"/>
      <c r="G69" s="24"/>
      <c r="H69" s="25"/>
      <c r="I69" s="5"/>
      <c r="J69" s="5"/>
    </row>
    <row r="70" spans="1:21" ht="15.75" customHeight="1" x14ac:dyDescent="0.25">
      <c r="A70" s="30"/>
      <c r="B70" s="31"/>
      <c r="C70" s="31"/>
      <c r="D70" s="74" t="s">
        <v>78</v>
      </c>
      <c r="E70" s="74"/>
      <c r="F70" s="31"/>
      <c r="G70" s="31"/>
      <c r="H70" s="29">
        <v>320</v>
      </c>
      <c r="I70" s="5"/>
      <c r="J70" s="5"/>
    </row>
    <row r="71" spans="1:21" ht="15.75" customHeight="1" x14ac:dyDescent="0.25">
      <c r="D71" s="3" t="s">
        <v>79</v>
      </c>
      <c r="I71" s="5"/>
      <c r="J71" s="5"/>
    </row>
    <row r="72" spans="1:21" ht="15.75" customHeight="1" x14ac:dyDescent="0.25">
      <c r="I72" s="5"/>
      <c r="J72" s="5"/>
    </row>
    <row r="73" spans="1:21" ht="15.75" customHeight="1" x14ac:dyDescent="0.25">
      <c r="A73" s="36" t="s">
        <v>27</v>
      </c>
      <c r="B73" s="32"/>
      <c r="C73" s="32"/>
      <c r="D73" s="32"/>
      <c r="E73" s="32"/>
      <c r="F73" s="32"/>
      <c r="G73" s="32"/>
      <c r="H73" s="37"/>
      <c r="I73" s="2"/>
      <c r="J73" s="5"/>
    </row>
    <row r="74" spans="1:21" ht="15.75" customHeight="1" x14ac:dyDescent="0.25">
      <c r="A74" s="38" t="s">
        <v>28</v>
      </c>
      <c r="B74" s="33"/>
      <c r="C74" s="34"/>
      <c r="D74" s="39" t="s">
        <v>29</v>
      </c>
      <c r="E74" s="34"/>
      <c r="F74" s="34"/>
      <c r="G74" s="34"/>
      <c r="H74" s="40"/>
      <c r="I74" s="72">
        <f>H75</f>
        <v>1100</v>
      </c>
      <c r="J74" s="5"/>
    </row>
    <row r="75" spans="1:21" ht="15.75" customHeight="1" x14ac:dyDescent="0.25">
      <c r="A75" s="1"/>
      <c r="B75" s="1" t="s">
        <v>30</v>
      </c>
      <c r="C75" s="1"/>
      <c r="D75" s="41" t="s">
        <v>31</v>
      </c>
      <c r="E75" s="1"/>
      <c r="F75" s="1"/>
      <c r="G75" s="1"/>
      <c r="H75" s="2">
        <v>1100</v>
      </c>
      <c r="I75" s="2"/>
      <c r="J75" s="5"/>
    </row>
    <row r="76" spans="1:21" ht="15.75" customHeight="1" x14ac:dyDescent="0.25">
      <c r="A76" s="1"/>
      <c r="B76" s="1"/>
      <c r="C76" s="1"/>
      <c r="D76" s="42" t="s">
        <v>57</v>
      </c>
      <c r="E76" s="1"/>
      <c r="F76" s="1"/>
      <c r="G76" s="1"/>
      <c r="H76" s="43"/>
      <c r="I76" s="2"/>
      <c r="J76" s="5"/>
    </row>
    <row r="77" spans="1:21" ht="15.75" customHeight="1" x14ac:dyDescent="0.25">
      <c r="A77" s="1"/>
      <c r="B77" s="1"/>
      <c r="C77" s="1"/>
      <c r="D77" s="42" t="s">
        <v>58</v>
      </c>
      <c r="E77" s="1"/>
      <c r="F77" s="1"/>
      <c r="G77" s="1"/>
      <c r="H77" s="43"/>
      <c r="I77" s="2"/>
      <c r="J77" s="5"/>
    </row>
    <row r="78" spans="1:21" ht="15.75" customHeight="1" x14ac:dyDescent="0.25">
      <c r="A78" s="36" t="s">
        <v>35</v>
      </c>
      <c r="B78" s="32"/>
      <c r="C78" s="32"/>
      <c r="D78" s="32"/>
      <c r="E78" s="32"/>
      <c r="F78" s="32"/>
      <c r="G78" s="32"/>
      <c r="H78" s="37"/>
      <c r="I78" s="70">
        <v>498</v>
      </c>
      <c r="J78" s="5"/>
    </row>
    <row r="79" spans="1:21" ht="15.75" customHeight="1" x14ac:dyDescent="0.25">
      <c r="A79" s="38" t="s">
        <v>36</v>
      </c>
      <c r="B79" s="33" t="s">
        <v>11</v>
      </c>
      <c r="C79" s="34"/>
      <c r="D79" s="35" t="s">
        <v>37</v>
      </c>
      <c r="E79" s="34"/>
      <c r="F79" s="34"/>
      <c r="G79" s="34"/>
      <c r="H79" s="40"/>
      <c r="I79" s="2"/>
      <c r="J79" s="5"/>
      <c r="U79"/>
    </row>
    <row r="80" spans="1:21" ht="15.75" customHeight="1" x14ac:dyDescent="0.25">
      <c r="A80" s="1"/>
      <c r="B80" s="1" t="s">
        <v>59</v>
      </c>
      <c r="C80" s="1"/>
      <c r="D80" s="1" t="s">
        <v>60</v>
      </c>
      <c r="E80" s="1"/>
      <c r="F80" s="1"/>
      <c r="G80" s="1"/>
      <c r="H80" s="2">
        <v>498</v>
      </c>
      <c r="I80" s="2"/>
      <c r="J80"/>
    </row>
    <row r="81" spans="9:10" ht="15.75" customHeight="1" x14ac:dyDescent="0.25">
      <c r="I81" s="5"/>
      <c r="J81" s="5"/>
    </row>
    <row r="82" spans="9:10" ht="15.75" customHeight="1" x14ac:dyDescent="0.25">
      <c r="I82" s="5"/>
      <c r="J82" s="5"/>
    </row>
    <row r="83" spans="9:10" ht="15.75" customHeight="1" x14ac:dyDescent="0.25">
      <c r="I83" s="5"/>
      <c r="J83" s="5"/>
    </row>
    <row r="84" spans="9:10" ht="15.75" customHeight="1" x14ac:dyDescent="0.25">
      <c r="I84" s="5"/>
      <c r="J84" s="5"/>
    </row>
    <row r="85" spans="9:10" ht="15.75" customHeight="1" x14ac:dyDescent="0.25">
      <c r="I85" s="5"/>
      <c r="J85" s="5"/>
    </row>
    <row r="86" spans="9:10" ht="15.75" customHeight="1" x14ac:dyDescent="0.25">
      <c r="I86" s="5"/>
      <c r="J86" s="5"/>
    </row>
    <row r="87" spans="9:10" ht="15.75" customHeight="1" x14ac:dyDescent="0.25">
      <c r="I87" s="5"/>
      <c r="J87" s="5"/>
    </row>
    <row r="88" spans="9:10" ht="15.75" customHeight="1" x14ac:dyDescent="0.25">
      <c r="I88" s="5"/>
      <c r="J88" s="5"/>
    </row>
    <row r="89" spans="9:10" ht="15.75" customHeight="1" x14ac:dyDescent="0.25">
      <c r="I89" s="5"/>
      <c r="J89" s="5"/>
    </row>
    <row r="90" spans="9:10" ht="15.75" customHeight="1" x14ac:dyDescent="0.25">
      <c r="I90" s="5"/>
      <c r="J90" s="5"/>
    </row>
    <row r="91" spans="9:10" ht="15.75" customHeight="1" x14ac:dyDescent="0.25">
      <c r="I91" s="5"/>
      <c r="J91" s="5"/>
    </row>
    <row r="92" spans="9:10" ht="15.75" customHeight="1" x14ac:dyDescent="0.25">
      <c r="I92" s="5"/>
      <c r="J92" s="5"/>
    </row>
    <row r="93" spans="9:10" ht="15.75" customHeight="1" x14ac:dyDescent="0.25">
      <c r="I93" s="5"/>
      <c r="J93" s="5"/>
    </row>
    <row r="94" spans="9:10" ht="15.75" customHeight="1" x14ac:dyDescent="0.25">
      <c r="I94" s="5"/>
      <c r="J94" s="5"/>
    </row>
    <row r="95" spans="9:10" ht="15.75" customHeight="1" x14ac:dyDescent="0.25">
      <c r="I95" s="5"/>
      <c r="J95" s="5"/>
    </row>
    <row r="96" spans="9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</sheetData>
  <mergeCells count="4">
    <mergeCell ref="D40:E40"/>
    <mergeCell ref="D44:E44"/>
    <mergeCell ref="D65:E65"/>
    <mergeCell ref="D70:E70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 MARZO 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2026-04-07T11:35:00Z</dcterms:modified>
</cp:coreProperties>
</file>