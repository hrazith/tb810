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liana\Desktop\Giuliana\Torre Balta 810\PLANILLAS 2025\10 - 2025\"/>
    </mc:Choice>
  </mc:AlternateContent>
  <xr:revisionPtr revIDLastSave="0" documentId="13_ncr:1_{A7D0D0D4-43BD-4891-A622-96F71196B967}" xr6:coauthVersionLast="47" xr6:coauthVersionMax="47" xr10:uidLastSave="{00000000-0000-0000-0000-000000000000}"/>
  <bookViews>
    <workbookView xWindow="-108" yWindow="-108" windowWidth="23256" windowHeight="12456" xr2:uid="{A53F12CC-3A1D-433A-9267-D36D3681399C}"/>
  </bookViews>
  <sheets>
    <sheet name="1RA QUINC OCTUBRE 25" sheetId="1" r:id="rId1"/>
    <sheet name="Dep. GJ" sheetId="2" state="hidden" r:id="rId2"/>
    <sheet name="Cta. Temporal 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" i="1" l="1"/>
  <c r="I19" i="1"/>
  <c r="I15" i="1" l="1"/>
  <c r="I10" i="1"/>
  <c r="I4" i="1"/>
  <c r="I45" i="1"/>
  <c r="I26" i="1"/>
  <c r="J9" i="1" l="1"/>
  <c r="J7" i="1"/>
  <c r="J6" i="1"/>
  <c r="J5" i="1"/>
  <c r="G8" i="3" l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I53" i="1" l="1"/>
  <c r="F23" i="2" l="1"/>
  <c r="E23" i="2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I35" i="1"/>
  <c r="I33" i="1" s="1"/>
  <c r="I2" i="1" s="1"/>
  <c r="G6" i="2" l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</calcChain>
</file>

<file path=xl/sharedStrings.xml><?xml version="1.0" encoding="utf-8"?>
<sst xmlns="http://schemas.openxmlformats.org/spreadsheetml/2006/main" count="191" uniqueCount="144">
  <si>
    <t>TOTAL :</t>
  </si>
  <si>
    <t>Julio Iglesias</t>
  </si>
  <si>
    <t>Adelanto de sueldo BCP</t>
  </si>
  <si>
    <t>Jorge Gutierrez</t>
  </si>
  <si>
    <t>Adelanto de sueldo IB 1073059751194</t>
  </si>
  <si>
    <t>Angel Palacios</t>
  </si>
  <si>
    <t>Adelanto de sueldo IB 1073043325411</t>
  </si>
  <si>
    <t>Carlos Sanchez</t>
  </si>
  <si>
    <t>Adelanto de sueldo IB 1073097921648</t>
  </si>
  <si>
    <t>LUZ DEL SUR</t>
  </si>
  <si>
    <t>SEDAPAL</t>
  </si>
  <si>
    <t>Essalud</t>
  </si>
  <si>
    <t>AFP-Prima</t>
  </si>
  <si>
    <t>AFP-Profuturo</t>
  </si>
  <si>
    <t>BCP 002 19319425139402614</t>
  </si>
  <si>
    <t>Servicio de Administracion de Edificio</t>
  </si>
  <si>
    <t>NEGOCIACIONES MADUENO &amp; GARAY EIRL</t>
  </si>
  <si>
    <t>RUC 20601185076</t>
  </si>
  <si>
    <t>Servicio de gas del edificio. Periodo Contingencia</t>
  </si>
  <si>
    <t>SECURITY BONTHER SAC</t>
  </si>
  <si>
    <t>Pelaez Lopez Fernando</t>
  </si>
  <si>
    <t>Recibo</t>
  </si>
  <si>
    <t>Vigilancia interna 24 horas</t>
  </si>
  <si>
    <t xml:space="preserve">TORRE BALTA 810 - MIRAFLORES </t>
  </si>
  <si>
    <t xml:space="preserve">PERSONAL PERMANENTE - QUINCENA </t>
  </si>
  <si>
    <t xml:space="preserve">VENCIMIENTO </t>
  </si>
  <si>
    <t xml:space="preserve">IMPUESTOS </t>
  </si>
  <si>
    <t xml:space="preserve">Impuestos ESSALUD </t>
  </si>
  <si>
    <t xml:space="preserve">Pendientes: </t>
  </si>
  <si>
    <t>Reparación, soldadura de puerta peatonal SS</t>
  </si>
  <si>
    <t xml:space="preserve">Compra de luminarias para reemplazo </t>
  </si>
  <si>
    <t>DNI 47501969</t>
  </si>
  <si>
    <t>GIULIANA JARA PEREZ</t>
  </si>
  <si>
    <t>DNI 47501969 GIULIANA JARA PEREZ</t>
  </si>
  <si>
    <t>UNIDOS ASCENSORES</t>
  </si>
  <si>
    <t>002-193-002515609090-11</t>
  </si>
  <si>
    <t>RUC 20603725761</t>
  </si>
  <si>
    <t xml:space="preserve">Ingresos </t>
  </si>
  <si>
    <t xml:space="preserve">Egresos </t>
  </si>
  <si>
    <t>Saldo</t>
  </si>
  <si>
    <t xml:space="preserve">Giuliana Jara BCP </t>
  </si>
  <si>
    <t xml:space="preserve">Fecha </t>
  </si>
  <si>
    <t xml:space="preserve">Departamento </t>
  </si>
  <si>
    <t xml:space="preserve">Descripción </t>
  </si>
  <si>
    <t>Cuota de mantenimiento julio y agosto 25</t>
  </si>
  <si>
    <t>SUNAT ESSALUD 07/2025</t>
  </si>
  <si>
    <t xml:space="preserve">Adelanto de mantenimiento </t>
  </si>
  <si>
    <t xml:space="preserve">1ra Quincena Agosto - Julio Iglesias </t>
  </si>
  <si>
    <t>1ra Quincena Agosto - Angel Palacios</t>
  </si>
  <si>
    <t xml:space="preserve">1ra Quincena Agosto - Carlos Sanchez </t>
  </si>
  <si>
    <t>1ra Quincena Agosto - Jorge Gutierrez</t>
  </si>
  <si>
    <t>Jorge Paredes</t>
  </si>
  <si>
    <t xml:space="preserve">Gheni Delgado </t>
  </si>
  <si>
    <t xml:space="preserve">Carlos Avila </t>
  </si>
  <si>
    <t xml:space="preserve">Margot Medina </t>
  </si>
  <si>
    <t xml:space="preserve">Laura Herrera </t>
  </si>
  <si>
    <t>204/304</t>
  </si>
  <si>
    <t xml:space="preserve">Carlos Paz </t>
  </si>
  <si>
    <t>Juan Carlos Rengifo</t>
  </si>
  <si>
    <t xml:space="preserve">Angel Aguirre </t>
  </si>
  <si>
    <t xml:space="preserve">Emilio Garreaud </t>
  </si>
  <si>
    <t>Cuota de mantenimiento mayo, junio, julio y agosto</t>
  </si>
  <si>
    <t>Nombre</t>
  </si>
  <si>
    <t>AFP Prima Agosto 25</t>
  </si>
  <si>
    <t>AFP Profuturo Agosto 25</t>
  </si>
  <si>
    <t>Administración 1ra Quincena Agosto 25</t>
  </si>
  <si>
    <t xml:space="preserve">Depósitos a Giuliana Jara cuotas de mantenimiento </t>
  </si>
  <si>
    <t xml:space="preserve">Maria Elena Garreaud </t>
  </si>
  <si>
    <t xml:space="preserve">1er Adelanto Dr. Franco Gastos notariales </t>
  </si>
  <si>
    <t xml:space="preserve">Saldo Anterior </t>
  </si>
  <si>
    <t xml:space="preserve">Gastos notariales </t>
  </si>
  <si>
    <t>ITF</t>
  </si>
  <si>
    <t xml:space="preserve">Compras materiales de limpieza </t>
  </si>
  <si>
    <t xml:space="preserve">Depósitos a cuenta transitoria </t>
  </si>
  <si>
    <t xml:space="preserve">ITF </t>
  </si>
  <si>
    <t>Mantenimiento Setiembre 25</t>
  </si>
  <si>
    <t>AYLLON GRADOS JUNIOR FERNANDO</t>
  </si>
  <si>
    <t>Ingreso de información de pagos al sistema</t>
  </si>
  <si>
    <t>BCP 19377399585096 CCI 00219317739958509614 DNI 75358060</t>
  </si>
  <si>
    <t>Reparación, puerta piso 2</t>
  </si>
  <si>
    <t>Ticket-N° 5495984591</t>
  </si>
  <si>
    <t>Ticket- N° 3495984621</t>
  </si>
  <si>
    <t xml:space="preserve">Abono para pagos de quincena al personal </t>
  </si>
  <si>
    <t xml:space="preserve">Angel </t>
  </si>
  <si>
    <t xml:space="preserve">Julio </t>
  </si>
  <si>
    <t xml:space="preserve">Carlos </t>
  </si>
  <si>
    <t xml:space="preserve">Jorge </t>
  </si>
  <si>
    <t xml:space="preserve">Luis Eder Guimaray Peregrino </t>
  </si>
  <si>
    <t xml:space="preserve">Marquez - </t>
  </si>
  <si>
    <t>Eduardo alfr</t>
  </si>
  <si>
    <t xml:space="preserve">Velit </t>
  </si>
  <si>
    <t xml:space="preserve">Maria Elena </t>
  </si>
  <si>
    <t xml:space="preserve">Carlos Francisco </t>
  </si>
  <si>
    <t xml:space="preserve">Garcia Tejada Camilo </t>
  </si>
  <si>
    <t>delgado vda</t>
  </si>
  <si>
    <t>Santiago Es</t>
  </si>
  <si>
    <t xml:space="preserve">Miriam Flor Marimon Pacheco </t>
  </si>
  <si>
    <t>BBVA 0011-0660-0200053329</t>
  </si>
  <si>
    <t>BBVA</t>
  </si>
  <si>
    <t xml:space="preserve">Carlos Avila Bocanegra </t>
  </si>
  <si>
    <t>Mabel Ramirez Gonzalez</t>
  </si>
  <si>
    <t>mas gas</t>
  </si>
  <si>
    <t xml:space="preserve">Abonos de quincena al personal </t>
  </si>
  <si>
    <t>BBVA 0011-0368-0200512792</t>
  </si>
  <si>
    <t>Apoyo recibos de gas - Julio 25</t>
  </si>
  <si>
    <t>BBVA 0011-0366020080971</t>
  </si>
  <si>
    <t xml:space="preserve">SUNAT </t>
  </si>
  <si>
    <t>Impuestos Agosto 25</t>
  </si>
  <si>
    <t xml:space="preserve">DEPOSITO A CTA. DE GIULIANA JARA BCP PARA REALIZAR LOS PAGOS </t>
  </si>
  <si>
    <t>BCP 193-16256893002</t>
  </si>
  <si>
    <t>BCP 193-2515609-0-90</t>
  </si>
  <si>
    <t>Ingreso de cuenta transitoria para pagos pendientes de quincena Setiembre 25</t>
  </si>
  <si>
    <t xml:space="preserve">Gas Madueño </t>
  </si>
  <si>
    <t xml:space="preserve">04 recibos </t>
  </si>
  <si>
    <t xml:space="preserve">Unidos Ascensores </t>
  </si>
  <si>
    <t xml:space="preserve">Contador </t>
  </si>
  <si>
    <t>Mes de agosto 25</t>
  </si>
  <si>
    <t xml:space="preserve">Junior </t>
  </si>
  <si>
    <t>Inf. Al sistema agosto 25</t>
  </si>
  <si>
    <t>Compra de bolsas 4 paquetes x100c/u</t>
  </si>
  <si>
    <t xml:space="preserve">Delivery de bolsas </t>
  </si>
  <si>
    <t>ORDEN DE PAGO - OCTUBRE 2025 (PRIMERA QUINCENA)</t>
  </si>
  <si>
    <t>Apoyo recibo de gas - Agosto 25</t>
  </si>
  <si>
    <t>Consumo Setiembre 2025 31/08/2025</t>
  </si>
  <si>
    <t>Consumo Setiembre 2025 09/10/2025</t>
  </si>
  <si>
    <t>Consumo Setiembre 2025 30/09/25</t>
  </si>
  <si>
    <t>S106-0015046954</t>
  </si>
  <si>
    <t>Servicio de Agua - Setiembre 2025</t>
  </si>
  <si>
    <t>Periodo  04/09/2025 - 04/10/2025</t>
  </si>
  <si>
    <t>Mes de Setiembre 25</t>
  </si>
  <si>
    <t>Mes Setiembre - 2025</t>
  </si>
  <si>
    <t>B001-00281617</t>
  </si>
  <si>
    <t>07/10/25 - 2 BALON GRANDE CENTRAL</t>
  </si>
  <si>
    <t>B002-00002460</t>
  </si>
  <si>
    <t>13/10/25 - 2 BALON GRANDE CENTRAL</t>
  </si>
  <si>
    <t>1ra quincena de octubre 25</t>
  </si>
  <si>
    <t xml:space="preserve">EB01-2665 </t>
  </si>
  <si>
    <t>Mantenimiento Octubre 25</t>
  </si>
  <si>
    <t xml:space="preserve">Reparación puerta de cochera Victor Fajardo </t>
  </si>
  <si>
    <t xml:space="preserve">Mes de Setiembre 25 07 - 14 - 21 - 28 días </t>
  </si>
  <si>
    <t xml:space="preserve">CIRCULAR PARA COBRANZA MOROSOS, PARA ABONO </t>
  </si>
  <si>
    <t xml:space="preserve">JUNIOR REGULARIZAR LOS EECC </t>
  </si>
  <si>
    <t xml:space="preserve">1 CITA CON EL ABOGADO DE INFO DEL BBVA </t>
  </si>
  <si>
    <t xml:space="preserve">Pagado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</si>
</sst>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4" fontId="2" fillId="2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5" fillId="5" borderId="0" xfId="0" applyFont="1" applyFill="1"/>
    <xf numFmtId="4" fontId="2" fillId="3" borderId="0" xfId="0" applyNumberFormat="1" applyFont="1" applyFill="1" applyAlignment="1">
      <alignment wrapText="1"/>
    </xf>
    <xf numFmtId="4" fontId="2" fillId="0" borderId="0" xfId="0" applyNumberFormat="1" applyFont="1" applyAlignment="1">
      <alignment wrapText="1"/>
    </xf>
    <xf numFmtId="0" fontId="4" fillId="0" borderId="0" xfId="0" applyFont="1" applyAlignment="1">
      <alignment vertical="center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4" fontId="2" fillId="0" borderId="0" xfId="0" applyNumberFormat="1" applyFont="1"/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4" fontId="6" fillId="0" borderId="0" xfId="0" applyNumberFormat="1" applyFont="1" applyAlignment="1">
      <alignment horizontal="center" wrapText="1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center" wrapText="1"/>
    </xf>
    <xf numFmtId="14" fontId="7" fillId="0" borderId="0" xfId="0" applyNumberFormat="1" applyFont="1" applyAlignment="1">
      <alignment horizontal="left" wrapText="1"/>
    </xf>
    <xf numFmtId="0" fontId="7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center"/>
    </xf>
    <xf numFmtId="4" fontId="7" fillId="0" borderId="0" xfId="0" applyNumberFormat="1" applyFont="1"/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4" fontId="7" fillId="6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9" fillId="3" borderId="0" xfId="0" applyFont="1" applyFill="1" applyAlignment="1">
      <alignment vertical="center"/>
    </xf>
    <xf numFmtId="0" fontId="7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4" fillId="0" borderId="0" xfId="0" applyFont="1" applyAlignment="1">
      <alignment horizontal="left" wrapText="1"/>
    </xf>
    <xf numFmtId="17" fontId="0" fillId="0" borderId="0" xfId="0" applyNumberFormat="1"/>
    <xf numFmtId="0" fontId="3" fillId="7" borderId="0" xfId="0" applyFont="1" applyFill="1" applyAlignment="1">
      <alignment vertical="center"/>
    </xf>
    <xf numFmtId="0" fontId="2" fillId="7" borderId="0" xfId="0" applyFont="1" applyFill="1" applyAlignment="1">
      <alignment horizontal="left" wrapText="1"/>
    </xf>
    <xf numFmtId="0" fontId="2" fillId="7" borderId="0" xfId="0" applyFont="1" applyFill="1" applyAlignment="1">
      <alignment horizontal="center" wrapText="1"/>
    </xf>
    <xf numFmtId="0" fontId="4" fillId="7" borderId="0" xfId="0" applyFont="1" applyFill="1" applyAlignment="1">
      <alignment horizontal="left" vertical="center"/>
    </xf>
    <xf numFmtId="4" fontId="2" fillId="7" borderId="0" xfId="0" applyNumberFormat="1" applyFont="1" applyFill="1" applyAlignment="1">
      <alignment horizontal="right" wrapText="1"/>
    </xf>
    <xf numFmtId="4" fontId="2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 wrapText="1"/>
    </xf>
    <xf numFmtId="14" fontId="2" fillId="0" borderId="0" xfId="0" applyNumberFormat="1" applyFont="1" applyAlignment="1">
      <alignment horizontal="center"/>
    </xf>
    <xf numFmtId="17" fontId="7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0" fillId="2" borderId="0" xfId="0" applyFont="1" applyFill="1" applyAlignment="1">
      <alignment wrapText="1"/>
    </xf>
    <xf numFmtId="0" fontId="7" fillId="0" borderId="0" xfId="0" applyFont="1" applyAlignment="1">
      <alignment wrapText="1"/>
    </xf>
    <xf numFmtId="4" fontId="2" fillId="6" borderId="0" xfId="0" applyNumberFormat="1" applyFont="1" applyFill="1" applyAlignment="1">
      <alignment horizontal="center"/>
    </xf>
    <xf numFmtId="4" fontId="2" fillId="6" borderId="0" xfId="0" applyNumberFormat="1" applyFont="1" applyFill="1" applyAlignment="1">
      <alignment horizontal="right" wrapText="1"/>
    </xf>
    <xf numFmtId="4" fontId="11" fillId="6" borderId="0" xfId="0" applyNumberFormat="1" applyFont="1" applyFill="1"/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left" vertical="center"/>
    </xf>
    <xf numFmtId="4" fontId="2" fillId="0" borderId="0" xfId="0" applyNumberFormat="1" applyFont="1" applyFill="1" applyAlignment="1">
      <alignment horizontal="right" wrapText="1"/>
    </xf>
    <xf numFmtId="4" fontId="1" fillId="0" borderId="0" xfId="0" applyNumberFormat="1" applyFont="1" applyFill="1" applyAlignment="1">
      <alignment horizontal="right" wrapText="1"/>
    </xf>
    <xf numFmtId="0" fontId="2" fillId="0" borderId="0" xfId="0" applyFont="1" applyFill="1" applyAlignment="1">
      <alignment horizontal="center"/>
    </xf>
    <xf numFmtId="4" fontId="2" fillId="0" borderId="0" xfId="0" applyNumberFormat="1" applyFont="1" applyAlignment="1">
      <alignment horizontal="center" wrapText="1"/>
    </xf>
    <xf numFmtId="0" fontId="2" fillId="0" borderId="0" xfId="0" applyFont="1" applyAlignment="1"/>
    <xf numFmtId="4" fontId="2" fillId="0" borderId="0" xfId="0" applyNumberFormat="1" applyFont="1" applyAlignment="1"/>
    <xf numFmtId="0" fontId="0" fillId="0" borderId="0" xfId="0" applyAlignment="1"/>
    <xf numFmtId="4" fontId="2" fillId="6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7450824-9C79-B159-1E95-B68518104612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76200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49CC46F-19CB-8BA5-58DD-3E03B820E6ED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76200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BEB318D8-FE1A-2B4A-6825-A87232621A6C}"/>
            </a:ext>
          </a:extLst>
        </xdr:cNvPr>
        <xdr:cNvSpPr>
          <a:spLocks noChangeAspect="1" noChangeArrowheads="1"/>
        </xdr:cNvSpPr>
      </xdr:nvSpPr>
      <xdr:spPr bwMode="auto">
        <a:xfrm>
          <a:off x="1242822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2</xdr:row>
      <xdr:rowOff>76200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114CDE85-26E2-0664-5E1F-9D4BB08DABA5}"/>
            </a:ext>
          </a:extLst>
        </xdr:cNvPr>
        <xdr:cNvSpPr>
          <a:spLocks noChangeAspect="1" noChangeArrowheads="1"/>
        </xdr:cNvSpPr>
      </xdr:nvSpPr>
      <xdr:spPr bwMode="auto">
        <a:xfrm>
          <a:off x="182499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60960</xdr:colOff>
      <xdr:row>2</xdr:row>
      <xdr:rowOff>45720</xdr:rowOff>
    </xdr:from>
    <xdr:to>
      <xdr:col>15</xdr:col>
      <xdr:colOff>30480</xdr:colOff>
      <xdr:row>27</xdr:row>
      <xdr:rowOff>165116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A4172F-0E5E-2FA3-4161-F3AD1B89A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8320" y="502920"/>
          <a:ext cx="3413760" cy="5788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228600</xdr:colOff>
      <xdr:row>2</xdr:row>
      <xdr:rowOff>45720</xdr:rowOff>
    </xdr:from>
    <xdr:to>
      <xdr:col>19</xdr:col>
      <xdr:colOff>228600</xdr:colOff>
      <xdr:row>27</xdr:row>
      <xdr:rowOff>178319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22120C-DAAA-997B-B76A-BC2AF914A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0200" y="502920"/>
          <a:ext cx="3169920" cy="580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335280</xdr:colOff>
      <xdr:row>2</xdr:row>
      <xdr:rowOff>106680</xdr:rowOff>
    </xdr:from>
    <xdr:to>
      <xdr:col>23</xdr:col>
      <xdr:colOff>279400</xdr:colOff>
      <xdr:row>27</xdr:row>
      <xdr:rowOff>153584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16067AB-D699-431E-A9AB-70D3E4DB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6480" y="563880"/>
          <a:ext cx="3093720" cy="5685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342900</xdr:colOff>
      <xdr:row>2</xdr:row>
      <xdr:rowOff>57150</xdr:rowOff>
    </xdr:from>
    <xdr:to>
      <xdr:col>27</xdr:col>
      <xdr:colOff>533400</xdr:colOff>
      <xdr:row>27</xdr:row>
      <xdr:rowOff>91979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C8EEF5-7FA2-BC1B-FABA-1CE4811F9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50" y="514350"/>
          <a:ext cx="3390900" cy="5692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624841</xdr:colOff>
      <xdr:row>52</xdr:row>
      <xdr:rowOff>91440</xdr:rowOff>
    </xdr:from>
    <xdr:to>
      <xdr:col>28</xdr:col>
      <xdr:colOff>133291</xdr:colOff>
      <xdr:row>78</xdr:row>
      <xdr:rowOff>15114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8D15017-CD7A-9DDA-F39E-184B8E076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6281" y="12161520"/>
          <a:ext cx="3470850" cy="5867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213360</xdr:colOff>
      <xdr:row>52</xdr:row>
      <xdr:rowOff>30481</xdr:rowOff>
    </xdr:from>
    <xdr:to>
      <xdr:col>23</xdr:col>
      <xdr:colOff>533400</xdr:colOff>
      <xdr:row>77</xdr:row>
      <xdr:rowOff>218617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639C16D-4349-AEBC-9A47-C28718BA8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94880" y="12100561"/>
          <a:ext cx="3489960" cy="5903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640081</xdr:colOff>
      <xdr:row>52</xdr:row>
      <xdr:rowOff>84400</xdr:rowOff>
    </xdr:from>
    <xdr:to>
      <xdr:col>19</xdr:col>
      <xdr:colOff>137161</xdr:colOff>
      <xdr:row>77</xdr:row>
      <xdr:rowOff>220980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8675B4C-E9A8-B049-161C-077C074AA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1" y="12154480"/>
          <a:ext cx="3459480" cy="5851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335280</xdr:colOff>
      <xdr:row>56</xdr:row>
      <xdr:rowOff>137160</xdr:rowOff>
    </xdr:from>
    <xdr:to>
      <xdr:col>14</xdr:col>
      <xdr:colOff>396842</xdr:colOff>
      <xdr:row>78</xdr:row>
      <xdr:rowOff>46148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D8EC796-A37F-7CCE-F18B-0AFF92558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65920" y="13121640"/>
          <a:ext cx="6950042" cy="4938188"/>
        </a:xfrm>
        <a:prstGeom prst="rect">
          <a:avLst/>
        </a:prstGeom>
      </xdr:spPr>
    </xdr:pic>
    <xdr:clientData/>
  </xdr:twoCellAnchor>
  <xdr:twoCellAnchor editAs="oneCell">
    <xdr:from>
      <xdr:col>11</xdr:col>
      <xdr:colOff>441961</xdr:colOff>
      <xdr:row>28</xdr:row>
      <xdr:rowOff>79412</xdr:rowOff>
    </xdr:from>
    <xdr:to>
      <xdr:col>14</xdr:col>
      <xdr:colOff>289560</xdr:colOff>
      <xdr:row>52</xdr:row>
      <xdr:rowOff>14993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11FF161-C61B-BBE9-FD27-90C631D10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9321" y="6434492"/>
          <a:ext cx="2499359" cy="5421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716280</xdr:colOff>
      <xdr:row>28</xdr:row>
      <xdr:rowOff>91440</xdr:rowOff>
    </xdr:from>
    <xdr:to>
      <xdr:col>18</xdr:col>
      <xdr:colOff>40289</xdr:colOff>
      <xdr:row>52</xdr:row>
      <xdr:rowOff>15240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A5FA852-05FE-4645-6779-D4905CD3C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5400" y="6446520"/>
          <a:ext cx="2493929" cy="541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8240-9AA1-40F5-A424-16DFC2905C04}">
  <sheetPr>
    <pageSetUpPr fitToPage="1"/>
  </sheetPr>
  <dimension ref="A1:AA87"/>
  <sheetViews>
    <sheetView tabSelected="1" zoomScale="50" zoomScaleNormal="50" workbookViewId="0">
      <selection activeCell="I3" sqref="I3"/>
    </sheetView>
  </sheetViews>
  <sheetFormatPr baseColWidth="10" defaultRowHeight="18" x14ac:dyDescent="0.35"/>
  <cols>
    <col min="1" max="1" width="26.5546875" style="41" customWidth="1"/>
    <col min="2" max="2" width="29.5546875" style="41" customWidth="1"/>
    <col min="3" max="3" width="7.77734375" style="5" customWidth="1"/>
    <col min="4" max="4" width="56" style="41" bestFit="1" customWidth="1"/>
    <col min="5" max="6" width="5.109375" style="5" customWidth="1"/>
    <col min="7" max="7" width="8.109375" style="5" customWidth="1"/>
    <col min="8" max="8" width="11.5546875" style="42"/>
    <col min="9" max="9" width="13.5546875" style="42" customWidth="1"/>
    <col min="10" max="10" width="16.88671875" style="80" bestFit="1" customWidth="1"/>
    <col min="11" max="11" width="11.5546875" style="5" customWidth="1"/>
    <col min="12" max="12" width="15.5546875" style="5" customWidth="1"/>
    <col min="13" max="16384" width="11.5546875" style="5"/>
  </cols>
  <sheetData>
    <row r="1" spans="1:25" x14ac:dyDescent="0.35">
      <c r="A1" s="1" t="s">
        <v>23</v>
      </c>
      <c r="B1" s="2"/>
      <c r="C1" s="3"/>
      <c r="D1" s="2"/>
      <c r="E1" s="3"/>
      <c r="F1" s="3"/>
      <c r="G1" s="3"/>
      <c r="H1" s="4"/>
      <c r="I1" s="4"/>
    </row>
    <row r="2" spans="1:25" s="8" customFormat="1" x14ac:dyDescent="0.35">
      <c r="A2" s="1" t="s">
        <v>121</v>
      </c>
      <c r="B2" s="2"/>
      <c r="C2" s="6"/>
      <c r="D2" s="2"/>
      <c r="E2" s="6"/>
      <c r="F2" s="6"/>
      <c r="G2" s="6"/>
      <c r="H2" s="7" t="s">
        <v>0</v>
      </c>
      <c r="I2" s="7">
        <f>SUM(I3:I33)</f>
        <v>12021.77</v>
      </c>
      <c r="J2" s="81" t="s">
        <v>25</v>
      </c>
      <c r="O2"/>
      <c r="S2"/>
      <c r="V2"/>
      <c r="Y2"/>
    </row>
    <row r="3" spans="1:25" s="8" customFormat="1" x14ac:dyDescent="0.35">
      <c r="A3" s="2"/>
      <c r="B3" s="2"/>
      <c r="C3" s="6"/>
      <c r="D3" s="2"/>
      <c r="E3" s="6"/>
      <c r="F3" s="6"/>
      <c r="G3" s="6"/>
      <c r="H3" s="4"/>
      <c r="I3" s="4"/>
      <c r="J3" s="9"/>
      <c r="Q3"/>
      <c r="X3"/>
    </row>
    <row r="4" spans="1:25" s="8" customFormat="1" x14ac:dyDescent="0.35">
      <c r="A4" s="10" t="s">
        <v>24</v>
      </c>
      <c r="B4" s="11"/>
      <c r="C4" s="12"/>
      <c r="D4" s="11"/>
      <c r="E4" s="12"/>
      <c r="F4" s="12"/>
      <c r="G4" s="12"/>
      <c r="H4" s="13"/>
      <c r="I4" s="4">
        <f>SUM(H5:H9)</f>
        <v>2100</v>
      </c>
      <c r="J4" s="9"/>
      <c r="L4"/>
      <c r="T4"/>
    </row>
    <row r="5" spans="1:25" s="8" customFormat="1" x14ac:dyDescent="0.35">
      <c r="A5" s="2"/>
      <c r="B5" s="14" t="s">
        <v>1</v>
      </c>
      <c r="C5" s="6"/>
      <c r="D5" s="14" t="s">
        <v>2</v>
      </c>
      <c r="E5" s="6"/>
      <c r="F5" s="6"/>
      <c r="G5" s="6"/>
      <c r="H5" s="89">
        <v>500</v>
      </c>
      <c r="I5" s="4"/>
      <c r="J5" s="88">
        <f>H5</f>
        <v>500</v>
      </c>
      <c r="K5" s="68" t="s">
        <v>143</v>
      </c>
      <c r="L5"/>
    </row>
    <row r="6" spans="1:25" s="8" customFormat="1" x14ac:dyDescent="0.35">
      <c r="A6" s="2"/>
      <c r="B6" s="15" t="s">
        <v>3</v>
      </c>
      <c r="C6" s="16"/>
      <c r="D6" s="15" t="s">
        <v>4</v>
      </c>
      <c r="E6" s="16"/>
      <c r="F6" s="16"/>
      <c r="G6" s="16"/>
      <c r="H6" s="89">
        <v>500</v>
      </c>
      <c r="I6" s="4"/>
      <c r="J6" s="88">
        <f>H6</f>
        <v>500</v>
      </c>
      <c r="K6" s="68" t="s">
        <v>143</v>
      </c>
    </row>
    <row r="7" spans="1:25" s="8" customFormat="1" x14ac:dyDescent="0.35">
      <c r="A7" s="2"/>
      <c r="B7" s="14" t="s">
        <v>5</v>
      </c>
      <c r="C7" s="6"/>
      <c r="D7" s="14" t="s">
        <v>6</v>
      </c>
      <c r="E7" s="6"/>
      <c r="F7" s="6"/>
      <c r="G7" s="6"/>
      <c r="H7" s="89">
        <v>500</v>
      </c>
      <c r="I7" s="4"/>
      <c r="J7" s="88">
        <f>H7+H8</f>
        <v>600</v>
      </c>
      <c r="K7" s="68" t="s">
        <v>143</v>
      </c>
      <c r="M7"/>
    </row>
    <row r="8" spans="1:25" s="8" customFormat="1" x14ac:dyDescent="0.35">
      <c r="A8" s="2"/>
      <c r="B8" s="14"/>
      <c r="C8" s="6"/>
      <c r="D8" s="14" t="s">
        <v>122</v>
      </c>
      <c r="E8" s="6"/>
      <c r="F8" s="6"/>
      <c r="G8" s="6"/>
      <c r="H8" s="89">
        <v>100</v>
      </c>
      <c r="I8" s="4"/>
      <c r="K8" s="68"/>
      <c r="M8"/>
    </row>
    <row r="9" spans="1:25" s="8" customFormat="1" x14ac:dyDescent="0.35">
      <c r="A9" s="2"/>
      <c r="B9" s="15" t="s">
        <v>7</v>
      </c>
      <c r="C9" s="16"/>
      <c r="D9" s="15" t="s">
        <v>8</v>
      </c>
      <c r="E9" s="16"/>
      <c r="F9" s="16"/>
      <c r="G9" s="16"/>
      <c r="H9" s="89">
        <v>500</v>
      </c>
      <c r="I9" s="4"/>
      <c r="J9" s="88">
        <f>H9</f>
        <v>500</v>
      </c>
      <c r="K9" s="68" t="s">
        <v>143</v>
      </c>
    </row>
    <row r="10" spans="1:25" s="8" customFormat="1" x14ac:dyDescent="0.35">
      <c r="A10" s="10" t="s">
        <v>9</v>
      </c>
      <c r="B10" s="11"/>
      <c r="C10" s="12"/>
      <c r="D10" s="11"/>
      <c r="E10" s="12"/>
      <c r="F10" s="12"/>
      <c r="G10" s="12"/>
      <c r="H10" s="13"/>
      <c r="I10" s="4">
        <f>SUM(H11:H13)</f>
        <v>2166.1</v>
      </c>
      <c r="J10" s="9"/>
    </row>
    <row r="11" spans="1:25" s="8" customFormat="1" x14ac:dyDescent="0.35">
      <c r="A11" s="2"/>
      <c r="B11" s="2">
        <v>1466143</v>
      </c>
      <c r="C11" s="6"/>
      <c r="D11" s="14" t="s">
        <v>123</v>
      </c>
      <c r="E11" s="6"/>
      <c r="F11" s="6"/>
      <c r="G11" s="6"/>
      <c r="H11" s="4">
        <v>1598.8</v>
      </c>
      <c r="I11" s="4"/>
      <c r="J11" s="83">
        <v>45946</v>
      </c>
      <c r="M11"/>
    </row>
    <row r="12" spans="1:25" s="8" customFormat="1" x14ac:dyDescent="0.35">
      <c r="A12" s="2"/>
      <c r="B12" s="2">
        <v>1446699</v>
      </c>
      <c r="C12" s="6"/>
      <c r="D12" s="14" t="s">
        <v>124</v>
      </c>
      <c r="E12" s="6"/>
      <c r="F12" s="6"/>
      <c r="G12" s="6"/>
      <c r="H12" s="4">
        <v>524.1</v>
      </c>
      <c r="I12" s="4"/>
      <c r="J12" s="9">
        <v>45954</v>
      </c>
      <c r="L12"/>
    </row>
    <row r="13" spans="1:25" s="8" customFormat="1" x14ac:dyDescent="0.35">
      <c r="A13" s="2"/>
      <c r="B13" s="2">
        <v>1466144</v>
      </c>
      <c r="C13" s="6"/>
      <c r="D13" s="14" t="s">
        <v>125</v>
      </c>
      <c r="E13" s="6"/>
      <c r="F13" s="6"/>
      <c r="G13" s="6"/>
      <c r="H13" s="4">
        <v>43.2</v>
      </c>
      <c r="I13" s="4"/>
      <c r="J13" s="9">
        <v>45946</v>
      </c>
    </row>
    <row r="14" spans="1:25" s="8" customFormat="1" x14ac:dyDescent="0.35">
      <c r="A14" s="2"/>
      <c r="B14" s="2"/>
      <c r="C14" s="6"/>
      <c r="D14" s="2"/>
      <c r="E14" s="6"/>
      <c r="F14" s="6"/>
      <c r="G14" s="6"/>
      <c r="H14" s="4"/>
      <c r="I14" s="4"/>
      <c r="J14" s="9"/>
    </row>
    <row r="15" spans="1:25" s="8" customFormat="1" x14ac:dyDescent="0.35">
      <c r="A15" s="10" t="s">
        <v>10</v>
      </c>
      <c r="B15" s="11"/>
      <c r="C15" s="12"/>
      <c r="D15" s="11"/>
      <c r="E15" s="12"/>
      <c r="F15" s="12"/>
      <c r="G15" s="12"/>
      <c r="H15" s="13"/>
      <c r="I15" s="4">
        <f>SUM(H16)</f>
        <v>2181.9</v>
      </c>
      <c r="J15" s="9"/>
    </row>
    <row r="16" spans="1:25" s="8" customFormat="1" x14ac:dyDescent="0.35">
      <c r="A16" s="2"/>
      <c r="B16" s="14" t="s">
        <v>126</v>
      </c>
      <c r="C16" s="6"/>
      <c r="D16" s="14" t="s">
        <v>127</v>
      </c>
      <c r="E16" s="6"/>
      <c r="F16" s="6"/>
      <c r="G16" s="6"/>
      <c r="H16" s="4">
        <v>2181.9</v>
      </c>
      <c r="I16" s="4"/>
      <c r="J16" s="9">
        <v>45951</v>
      </c>
    </row>
    <row r="17" spans="1:22" s="8" customFormat="1" x14ac:dyDescent="0.35">
      <c r="A17" s="2"/>
      <c r="B17" s="2">
        <v>5375398</v>
      </c>
      <c r="C17" s="6"/>
      <c r="D17" s="17" t="s">
        <v>128</v>
      </c>
      <c r="E17" s="6"/>
      <c r="F17" s="6"/>
      <c r="G17" s="6"/>
      <c r="H17" s="4"/>
      <c r="I17" s="4"/>
      <c r="J17" s="9"/>
    </row>
    <row r="18" spans="1:22" s="8" customFormat="1" x14ac:dyDescent="0.35">
      <c r="A18" s="2"/>
      <c r="B18" s="2"/>
      <c r="C18" s="6"/>
      <c r="D18" s="2"/>
      <c r="E18" s="6"/>
      <c r="F18" s="6"/>
      <c r="G18" s="6"/>
      <c r="H18" s="4"/>
      <c r="I18" s="4"/>
      <c r="J18" s="9"/>
    </row>
    <row r="19" spans="1:22" s="22" customFormat="1" ht="17.399999999999999" customHeight="1" x14ac:dyDescent="0.3">
      <c r="A19" s="18" t="s">
        <v>26</v>
      </c>
      <c r="B19" s="19"/>
      <c r="C19" s="20"/>
      <c r="D19" s="19"/>
      <c r="E19" s="20"/>
      <c r="F19" s="20"/>
      <c r="G19" s="20"/>
      <c r="H19" s="21"/>
      <c r="I19" s="82">
        <f>SUM(H21:H41)</f>
        <v>2408.77</v>
      </c>
      <c r="J19" s="9"/>
    </row>
    <row r="20" spans="1:22" s="8" customFormat="1" x14ac:dyDescent="0.35">
      <c r="A20" s="25" t="s">
        <v>14</v>
      </c>
      <c r="B20" s="23"/>
      <c r="C20" s="24"/>
      <c r="D20" s="27" t="s">
        <v>33</v>
      </c>
      <c r="E20" s="24"/>
      <c r="F20" s="24"/>
      <c r="G20" s="24"/>
      <c r="H20" s="26"/>
      <c r="I20" s="4"/>
      <c r="J20" s="9"/>
    </row>
    <row r="21" spans="1:22" s="8" customFormat="1" x14ac:dyDescent="0.35">
      <c r="A21" s="2"/>
      <c r="B21" s="2" t="s">
        <v>12</v>
      </c>
      <c r="C21" s="6"/>
      <c r="D21" s="14" t="s">
        <v>130</v>
      </c>
      <c r="E21" s="6"/>
      <c r="F21" s="6"/>
      <c r="G21" s="6"/>
      <c r="H21" s="89">
        <v>257.98</v>
      </c>
      <c r="I21" s="4"/>
      <c r="J21" s="8" t="s">
        <v>143</v>
      </c>
    </row>
    <row r="22" spans="1:22" s="8" customFormat="1" ht="16.2" customHeight="1" x14ac:dyDescent="0.35">
      <c r="A22" s="2"/>
      <c r="B22" s="2"/>
      <c r="C22" s="6"/>
      <c r="D22" s="73" t="s">
        <v>80</v>
      </c>
      <c r="E22" s="6"/>
      <c r="F22" s="6"/>
      <c r="G22" s="6"/>
      <c r="H22" s="4"/>
      <c r="I22" s="4"/>
      <c r="J22" s="9"/>
      <c r="R22"/>
    </row>
    <row r="23" spans="1:22" s="8" customFormat="1" x14ac:dyDescent="0.35">
      <c r="A23" s="2"/>
      <c r="B23" s="14" t="s">
        <v>13</v>
      </c>
      <c r="C23" s="6"/>
      <c r="D23" s="14" t="s">
        <v>130</v>
      </c>
      <c r="E23" s="6"/>
      <c r="F23" s="6"/>
      <c r="G23" s="6"/>
      <c r="H23" s="89">
        <v>283.79000000000002</v>
      </c>
      <c r="I23" s="4"/>
      <c r="J23" s="8" t="s">
        <v>143</v>
      </c>
      <c r="V23"/>
    </row>
    <row r="24" spans="1:22" s="8" customFormat="1" ht="16.2" customHeight="1" x14ac:dyDescent="0.35">
      <c r="A24" s="2"/>
      <c r="B24" s="2"/>
      <c r="C24" s="6"/>
      <c r="D24" s="73" t="s">
        <v>81</v>
      </c>
      <c r="E24" s="6"/>
      <c r="F24" s="6"/>
      <c r="G24" s="6"/>
      <c r="H24" s="4"/>
      <c r="I24" s="4"/>
      <c r="J24" s="9"/>
    </row>
    <row r="25" spans="1:22" s="8" customFormat="1" ht="16.2" customHeight="1" x14ac:dyDescent="0.35">
      <c r="A25" s="2"/>
      <c r="B25" s="2"/>
      <c r="C25" s="6"/>
      <c r="D25" s="73"/>
      <c r="E25" s="6"/>
      <c r="F25" s="6"/>
      <c r="G25" s="6"/>
      <c r="H25" s="4"/>
      <c r="I25" s="4"/>
      <c r="J25" s="9"/>
    </row>
    <row r="26" spans="1:22" s="8" customFormat="1" x14ac:dyDescent="0.35">
      <c r="A26" s="10" t="s">
        <v>16</v>
      </c>
      <c r="B26" s="11"/>
      <c r="C26" s="12"/>
      <c r="D26" s="11"/>
      <c r="E26" s="12"/>
      <c r="F26" s="12"/>
      <c r="G26" s="12"/>
      <c r="H26" s="13"/>
      <c r="I26" s="4">
        <f>SUM(H28:H31)</f>
        <v>840</v>
      </c>
    </row>
    <row r="27" spans="1:22" s="8" customFormat="1" x14ac:dyDescent="0.35">
      <c r="A27" s="25" t="s">
        <v>103</v>
      </c>
      <c r="B27" s="23"/>
      <c r="C27" s="24"/>
      <c r="D27" s="27" t="s">
        <v>17</v>
      </c>
      <c r="E27" s="24"/>
      <c r="F27" s="24"/>
      <c r="G27" s="24"/>
      <c r="H27" s="26"/>
      <c r="I27" s="4"/>
      <c r="J27" s="9"/>
      <c r="M27"/>
    </row>
    <row r="28" spans="1:22" s="8" customFormat="1" x14ac:dyDescent="0.35">
      <c r="A28" s="2"/>
      <c r="B28" s="14" t="s">
        <v>131</v>
      </c>
      <c r="C28" s="6"/>
      <c r="D28" s="14" t="s">
        <v>132</v>
      </c>
      <c r="E28" s="6"/>
      <c r="F28" s="6"/>
      <c r="G28" s="6"/>
      <c r="H28" s="4">
        <v>420</v>
      </c>
      <c r="I28" s="4"/>
      <c r="J28" s="9"/>
    </row>
    <row r="29" spans="1:22" s="8" customFormat="1" x14ac:dyDescent="0.35">
      <c r="A29" s="2"/>
      <c r="B29" s="2"/>
      <c r="C29" s="6"/>
      <c r="D29" s="17" t="s">
        <v>18</v>
      </c>
      <c r="E29" s="6"/>
      <c r="F29" s="6"/>
      <c r="G29" s="6"/>
      <c r="H29" s="4"/>
      <c r="I29" s="4"/>
      <c r="J29" s="9"/>
      <c r="P29"/>
    </row>
    <row r="30" spans="1:22" s="8" customFormat="1" x14ac:dyDescent="0.35">
      <c r="A30" s="2"/>
      <c r="B30" s="2" t="s">
        <v>133</v>
      </c>
      <c r="C30" s="6"/>
      <c r="D30" s="14" t="s">
        <v>134</v>
      </c>
      <c r="E30" s="6"/>
      <c r="F30" s="6"/>
      <c r="G30" s="6"/>
      <c r="H30" s="4">
        <v>420</v>
      </c>
      <c r="I30" s="4"/>
      <c r="J30" s="9"/>
      <c r="Q30"/>
    </row>
    <row r="31" spans="1:22" s="8" customFormat="1" x14ac:dyDescent="0.35">
      <c r="A31" s="2"/>
      <c r="B31" s="2"/>
      <c r="C31" s="6"/>
      <c r="D31" s="17" t="s">
        <v>18</v>
      </c>
      <c r="E31" s="6"/>
      <c r="F31" s="6"/>
      <c r="G31" s="6"/>
      <c r="H31" s="4"/>
      <c r="I31" s="4"/>
      <c r="J31" s="9"/>
    </row>
    <row r="32" spans="1:22" s="8" customFormat="1" x14ac:dyDescent="0.35">
      <c r="A32" s="2"/>
      <c r="B32" s="2"/>
      <c r="C32" s="6"/>
      <c r="D32" s="17"/>
      <c r="E32" s="6"/>
      <c r="F32" s="6"/>
      <c r="G32" s="6"/>
      <c r="H32" s="4"/>
      <c r="I32" s="4"/>
      <c r="J32" s="4"/>
    </row>
    <row r="33" spans="1:12" s="8" customFormat="1" x14ac:dyDescent="0.35">
      <c r="A33" s="75" t="s">
        <v>108</v>
      </c>
      <c r="B33" s="76"/>
      <c r="C33" s="77"/>
      <c r="D33" s="78"/>
      <c r="E33" s="77"/>
      <c r="F33" s="77"/>
      <c r="G33" s="77"/>
      <c r="H33" s="79"/>
      <c r="I33" s="7">
        <f>SUM(I34:I54)</f>
        <v>2325</v>
      </c>
      <c r="J33" s="98"/>
    </row>
    <row r="34" spans="1:12" s="97" customFormat="1" x14ac:dyDescent="0.35">
      <c r="A34" s="91"/>
      <c r="B34" s="92"/>
      <c r="C34" s="93"/>
      <c r="D34" s="94"/>
      <c r="E34" s="93"/>
      <c r="F34" s="93"/>
      <c r="G34" s="93"/>
      <c r="H34" s="95"/>
      <c r="I34" s="96"/>
      <c r="J34" s="95"/>
    </row>
    <row r="35" spans="1:12" x14ac:dyDescent="0.35">
      <c r="A35" s="10" t="s">
        <v>32</v>
      </c>
      <c r="B35" s="11"/>
      <c r="C35" s="12"/>
      <c r="D35" s="11"/>
      <c r="E35" s="12"/>
      <c r="F35" s="12"/>
      <c r="G35" s="12"/>
      <c r="H35" s="13"/>
      <c r="I35" s="89">
        <f>H37</f>
        <v>600</v>
      </c>
      <c r="J35" s="8" t="s">
        <v>143</v>
      </c>
    </row>
    <row r="36" spans="1:12" x14ac:dyDescent="0.35">
      <c r="A36" s="25" t="s">
        <v>105</v>
      </c>
      <c r="B36" s="23"/>
      <c r="C36" s="24"/>
      <c r="D36" s="27" t="s">
        <v>31</v>
      </c>
      <c r="E36" s="24"/>
      <c r="F36" s="24"/>
      <c r="G36" s="24"/>
      <c r="H36" s="26"/>
      <c r="I36" s="4"/>
      <c r="J36" s="4"/>
    </row>
    <row r="37" spans="1:12" x14ac:dyDescent="0.35">
      <c r="A37" s="2"/>
      <c r="B37" s="2"/>
      <c r="C37" s="6"/>
      <c r="D37" s="14" t="s">
        <v>15</v>
      </c>
      <c r="E37" s="6"/>
      <c r="F37" s="6"/>
      <c r="G37" s="6"/>
      <c r="H37" s="89">
        <v>600</v>
      </c>
      <c r="I37" s="4"/>
      <c r="J37" s="4"/>
      <c r="K37" s="9"/>
      <c r="L37"/>
    </row>
    <row r="38" spans="1:12" x14ac:dyDescent="0.35">
      <c r="A38" s="2"/>
      <c r="B38" s="2"/>
      <c r="C38" s="6"/>
      <c r="D38" s="17" t="s">
        <v>135</v>
      </c>
      <c r="E38" s="6"/>
      <c r="F38" s="6"/>
      <c r="G38" s="6"/>
      <c r="H38" s="4"/>
      <c r="I38" s="4"/>
      <c r="J38" s="4"/>
    </row>
    <row r="39" spans="1:12" s="97" customFormat="1" x14ac:dyDescent="0.35">
      <c r="A39" s="91"/>
      <c r="B39" s="92"/>
      <c r="C39" s="93"/>
      <c r="D39" s="94"/>
      <c r="E39" s="93"/>
      <c r="F39" s="93"/>
      <c r="G39" s="93"/>
      <c r="H39" s="95"/>
      <c r="I39" s="96"/>
      <c r="J39" s="95"/>
    </row>
    <row r="40" spans="1:12" s="22" customFormat="1" ht="17.399999999999999" customHeight="1" x14ac:dyDescent="0.35">
      <c r="A40" s="18" t="s">
        <v>26</v>
      </c>
      <c r="B40" s="19"/>
      <c r="C40" s="20"/>
      <c r="D40" s="19"/>
      <c r="E40" s="20"/>
      <c r="F40" s="20"/>
      <c r="G40" s="20"/>
      <c r="H40" s="21"/>
      <c r="I40" s="102">
        <f>H41</f>
        <v>427</v>
      </c>
      <c r="J40" s="8" t="s">
        <v>143</v>
      </c>
    </row>
    <row r="41" spans="1:12" s="8" customFormat="1" x14ac:dyDescent="0.35">
      <c r="A41" s="2"/>
      <c r="B41" s="2" t="s">
        <v>11</v>
      </c>
      <c r="C41" s="6"/>
      <c r="D41" s="2" t="s">
        <v>27</v>
      </c>
      <c r="E41" s="6"/>
      <c r="F41" s="6"/>
      <c r="G41" s="6"/>
      <c r="H41" s="89">
        <v>427</v>
      </c>
      <c r="I41" s="4"/>
    </row>
    <row r="42" spans="1:12" s="8" customFormat="1" x14ac:dyDescent="0.35">
      <c r="A42" s="2"/>
      <c r="B42" s="2"/>
      <c r="C42" s="6"/>
      <c r="D42" s="73" t="s">
        <v>129</v>
      </c>
      <c r="E42" s="6"/>
      <c r="F42" s="6"/>
      <c r="G42" s="6"/>
      <c r="H42" s="4"/>
      <c r="I42" s="4"/>
      <c r="J42" s="9"/>
    </row>
    <row r="43" spans="1:12" s="8" customFormat="1" x14ac:dyDescent="0.35">
      <c r="A43" s="2"/>
      <c r="B43" s="2"/>
      <c r="C43" s="6"/>
      <c r="D43" s="17"/>
      <c r="E43" s="6"/>
      <c r="F43" s="6"/>
      <c r="G43" s="6"/>
      <c r="H43" s="4"/>
      <c r="J43" s="4"/>
    </row>
    <row r="44" spans="1:12" x14ac:dyDescent="0.35">
      <c r="A44" s="30" t="s">
        <v>19</v>
      </c>
      <c r="B44" s="31"/>
      <c r="C44" s="31"/>
      <c r="D44" s="31"/>
      <c r="E44" s="31"/>
      <c r="F44" s="31"/>
      <c r="G44" s="31"/>
      <c r="H44" s="32"/>
      <c r="I44" s="4"/>
      <c r="J44" s="8"/>
      <c r="L44"/>
    </row>
    <row r="45" spans="1:12" x14ac:dyDescent="0.35">
      <c r="A45" s="70" t="s">
        <v>109</v>
      </c>
      <c r="B45" s="34"/>
      <c r="C45" s="35"/>
      <c r="D45" s="36" t="s">
        <v>20</v>
      </c>
      <c r="E45" s="35"/>
      <c r="F45" s="35"/>
      <c r="G45" s="35"/>
      <c r="H45" s="37"/>
      <c r="I45" s="89">
        <f>H46</f>
        <v>640</v>
      </c>
      <c r="J45" s="8" t="s">
        <v>143</v>
      </c>
    </row>
    <row r="46" spans="1:12" x14ac:dyDescent="0.35">
      <c r="A46" s="3"/>
      <c r="B46" s="3" t="s">
        <v>21</v>
      </c>
      <c r="C46" s="3"/>
      <c r="D46" s="28" t="s">
        <v>22</v>
      </c>
      <c r="E46" s="3"/>
      <c r="F46" s="3"/>
      <c r="G46" s="3"/>
      <c r="H46" s="89">
        <v>640</v>
      </c>
      <c r="I46" s="4"/>
      <c r="J46" s="4"/>
    </row>
    <row r="47" spans="1:12" x14ac:dyDescent="0.35">
      <c r="A47" s="3"/>
      <c r="B47" s="3"/>
      <c r="C47" s="3"/>
      <c r="D47" s="39" t="s">
        <v>139</v>
      </c>
      <c r="E47" s="3"/>
      <c r="F47" s="3"/>
      <c r="G47" s="3"/>
      <c r="H47" s="38"/>
      <c r="I47" s="4"/>
      <c r="J47" s="4"/>
    </row>
    <row r="48" spans="1:12" x14ac:dyDescent="0.35">
      <c r="A48" s="2"/>
      <c r="B48" s="85"/>
      <c r="C48" s="85"/>
      <c r="D48" s="17"/>
      <c r="E48" s="6"/>
      <c r="F48" s="6"/>
      <c r="G48" s="6"/>
      <c r="H48" s="4"/>
      <c r="I48" s="4"/>
      <c r="J48" s="4"/>
    </row>
    <row r="49" spans="1:17" x14ac:dyDescent="0.35">
      <c r="A49" s="30" t="s">
        <v>34</v>
      </c>
      <c r="B49" s="31"/>
      <c r="C49" s="31"/>
      <c r="D49" s="31"/>
      <c r="E49" s="31"/>
      <c r="F49" s="31"/>
      <c r="G49" s="31"/>
      <c r="H49" s="32"/>
      <c r="I49" s="89">
        <v>498</v>
      </c>
      <c r="J49" s="8" t="s">
        <v>143</v>
      </c>
      <c r="O49"/>
    </row>
    <row r="50" spans="1:17" x14ac:dyDescent="0.35">
      <c r="A50" s="70" t="s">
        <v>110</v>
      </c>
      <c r="B50" s="34" t="s">
        <v>35</v>
      </c>
      <c r="C50" s="35"/>
      <c r="D50" s="33" t="s">
        <v>36</v>
      </c>
      <c r="E50" s="35"/>
      <c r="F50" s="35"/>
      <c r="G50" s="35"/>
      <c r="H50" s="37"/>
      <c r="I50" s="4"/>
      <c r="J50" s="4"/>
    </row>
    <row r="51" spans="1:17" x14ac:dyDescent="0.35">
      <c r="A51" s="3"/>
      <c r="B51" s="3" t="s">
        <v>136</v>
      </c>
      <c r="C51" s="3"/>
      <c r="D51" s="3" t="s">
        <v>137</v>
      </c>
      <c r="E51" s="3"/>
      <c r="F51" s="3"/>
      <c r="G51" s="3"/>
      <c r="H51" s="89">
        <v>498</v>
      </c>
      <c r="I51" s="4"/>
      <c r="J51" s="4"/>
      <c r="Q51"/>
    </row>
    <row r="52" spans="1:17" x14ac:dyDescent="0.35">
      <c r="A52" s="2"/>
      <c r="B52" s="47"/>
      <c r="C52" s="47"/>
      <c r="D52" s="17"/>
      <c r="E52" s="6"/>
      <c r="F52" s="6"/>
      <c r="G52" s="6"/>
      <c r="H52" s="4"/>
      <c r="I52" s="4"/>
      <c r="J52" s="4"/>
    </row>
    <row r="53" spans="1:17" s="29" customFormat="1" ht="17.399999999999999" customHeight="1" x14ac:dyDescent="0.35">
      <c r="A53" s="86" t="s">
        <v>76</v>
      </c>
      <c r="B53" s="86"/>
      <c r="C53" s="86"/>
      <c r="D53" s="69"/>
      <c r="E53" s="69"/>
      <c r="F53" s="69"/>
      <c r="G53" s="69"/>
      <c r="H53" s="69"/>
      <c r="I53" s="89">
        <f>H55</f>
        <v>160</v>
      </c>
      <c r="J53" s="8" t="s">
        <v>143</v>
      </c>
      <c r="K53" s="9"/>
      <c r="L53" s="9"/>
      <c r="M53" s="41"/>
    </row>
    <row r="54" spans="1:17" s="8" customFormat="1" x14ac:dyDescent="0.35">
      <c r="A54" s="70" t="s">
        <v>78</v>
      </c>
      <c r="B54" s="71"/>
      <c r="C54" s="71"/>
      <c r="D54" s="72"/>
      <c r="E54" s="71"/>
      <c r="F54" s="71"/>
      <c r="G54" s="71"/>
      <c r="H54" s="71"/>
      <c r="I54" s="4"/>
      <c r="J54" s="4"/>
      <c r="L54" s="9"/>
    </row>
    <row r="55" spans="1:17" s="8" customFormat="1" x14ac:dyDescent="0.35">
      <c r="A55" s="50"/>
      <c r="B55" s="84">
        <v>45901</v>
      </c>
      <c r="C55" s="50"/>
      <c r="D55" s="87" t="s">
        <v>77</v>
      </c>
      <c r="E55" s="87"/>
      <c r="F55" s="50"/>
      <c r="G55" s="50"/>
      <c r="H55" s="90">
        <v>160</v>
      </c>
      <c r="I55" s="4"/>
      <c r="J55" s="4"/>
      <c r="L55" s="9"/>
      <c r="M55" s="41"/>
    </row>
    <row r="56" spans="1:17" s="8" customFormat="1" x14ac:dyDescent="0.35">
      <c r="A56" s="2"/>
      <c r="B56" s="2"/>
      <c r="C56" s="6"/>
      <c r="D56" s="17"/>
      <c r="E56" s="6"/>
      <c r="F56" s="6"/>
      <c r="G56" s="6"/>
      <c r="H56" s="4"/>
      <c r="I56" s="4"/>
      <c r="J56" s="9"/>
    </row>
    <row r="57" spans="1:17" s="8" customFormat="1" x14ac:dyDescent="0.35">
      <c r="A57" s="2"/>
      <c r="B57" s="2"/>
      <c r="C57" s="6"/>
      <c r="D57" s="2"/>
      <c r="E57" s="6"/>
      <c r="F57" s="6"/>
      <c r="G57" s="6"/>
      <c r="H57" s="4"/>
      <c r="I57" s="4"/>
      <c r="J57" s="9"/>
    </row>
    <row r="58" spans="1:17" s="8" customFormat="1" x14ac:dyDescent="0.35">
      <c r="A58" s="2"/>
      <c r="B58" s="2"/>
      <c r="C58" s="6"/>
      <c r="D58" s="1" t="s">
        <v>28</v>
      </c>
      <c r="E58" s="6"/>
      <c r="F58" s="6"/>
      <c r="G58" s="6"/>
      <c r="H58" s="4"/>
      <c r="I58" s="4"/>
      <c r="J58" s="9"/>
    </row>
    <row r="59" spans="1:17" s="8" customFormat="1" x14ac:dyDescent="0.35">
      <c r="A59" s="2"/>
      <c r="B59" s="2"/>
      <c r="C59" s="6"/>
      <c r="D59" s="41" t="s">
        <v>29</v>
      </c>
      <c r="E59" s="6"/>
      <c r="F59" s="6"/>
      <c r="G59" s="6"/>
      <c r="H59" s="4"/>
      <c r="I59" s="4"/>
      <c r="J59" s="9"/>
    </row>
    <row r="60" spans="1:17" s="8" customFormat="1" x14ac:dyDescent="0.35">
      <c r="A60" s="2"/>
      <c r="B60" s="2"/>
      <c r="C60" s="6"/>
      <c r="D60" s="41" t="s">
        <v>79</v>
      </c>
      <c r="E60" s="6"/>
      <c r="F60" s="6"/>
      <c r="G60" s="6"/>
      <c r="H60" s="4"/>
      <c r="I60" s="4"/>
      <c r="J60" s="9"/>
    </row>
    <row r="61" spans="1:17" s="8" customFormat="1" x14ac:dyDescent="0.35">
      <c r="A61" s="2"/>
      <c r="B61" s="2"/>
      <c r="C61" s="6"/>
      <c r="D61" s="41" t="s">
        <v>30</v>
      </c>
      <c r="E61" s="6"/>
      <c r="F61" s="6"/>
      <c r="G61" s="6"/>
      <c r="H61" s="4"/>
      <c r="I61" s="4"/>
      <c r="J61" s="9"/>
    </row>
    <row r="62" spans="1:17" x14ac:dyDescent="0.35">
      <c r="A62" s="2"/>
      <c r="B62" s="2"/>
      <c r="C62" s="2"/>
      <c r="D62" s="41" t="s">
        <v>138</v>
      </c>
      <c r="E62" s="6"/>
      <c r="F62" s="6"/>
      <c r="G62" s="40"/>
      <c r="H62" s="4"/>
      <c r="I62" s="4"/>
      <c r="J62" s="9"/>
    </row>
    <row r="63" spans="1:17" x14ac:dyDescent="0.35">
      <c r="A63" s="2"/>
      <c r="B63" s="2"/>
      <c r="C63" s="2"/>
      <c r="E63" s="6"/>
      <c r="F63" s="6"/>
      <c r="G63" s="6"/>
      <c r="H63" s="4"/>
      <c r="I63" s="4"/>
      <c r="J63" s="9"/>
    </row>
    <row r="64" spans="1:17" x14ac:dyDescent="0.35">
      <c r="A64" s="2"/>
      <c r="B64" s="2"/>
      <c r="C64" s="2"/>
      <c r="D64" s="99"/>
      <c r="E64" s="99"/>
      <c r="F64" s="99"/>
      <c r="G64" s="99"/>
      <c r="H64" s="99"/>
      <c r="I64" s="38"/>
      <c r="J64" s="9"/>
    </row>
    <row r="65" spans="1:10" x14ac:dyDescent="0.35">
      <c r="D65" s="99" t="s">
        <v>140</v>
      </c>
      <c r="E65" s="99"/>
      <c r="G65" s="99"/>
      <c r="H65" s="99"/>
      <c r="I65" s="100"/>
      <c r="J65" s="9"/>
    </row>
    <row r="66" spans="1:10" x14ac:dyDescent="0.35">
      <c r="A66" s="43"/>
      <c r="D66" s="99" t="s">
        <v>141</v>
      </c>
      <c r="E66" s="99"/>
      <c r="G66" s="99"/>
      <c r="H66" s="99"/>
      <c r="I66" s="100"/>
      <c r="J66" s="9"/>
    </row>
    <row r="67" spans="1:10" x14ac:dyDescent="0.35">
      <c r="A67" s="44"/>
      <c r="B67" s="45"/>
      <c r="C67" s="46"/>
      <c r="D67" s="99" t="s">
        <v>142</v>
      </c>
      <c r="E67" s="99"/>
      <c r="G67" s="101"/>
      <c r="H67" s="99"/>
      <c r="I67" s="100"/>
      <c r="J67" s="9"/>
    </row>
    <row r="68" spans="1:10" x14ac:dyDescent="0.35">
      <c r="A68" s="44"/>
      <c r="B68" s="45"/>
      <c r="C68" s="46"/>
      <c r="D68" s="99"/>
      <c r="E68" s="99"/>
      <c r="F68" s="99"/>
      <c r="G68" s="99"/>
      <c r="H68" s="100"/>
      <c r="I68" s="100"/>
      <c r="J68" s="9"/>
    </row>
    <row r="69" spans="1:10" x14ac:dyDescent="0.35">
      <c r="A69" s="44"/>
      <c r="B69" s="45"/>
      <c r="C69" s="46"/>
      <c r="D69" s="99"/>
      <c r="E69" s="99"/>
      <c r="F69" s="99"/>
      <c r="G69" s="99"/>
      <c r="H69" s="100"/>
      <c r="I69" s="100"/>
      <c r="J69" s="9"/>
    </row>
    <row r="70" spans="1:10" x14ac:dyDescent="0.35">
      <c r="A70" s="44"/>
      <c r="B70" s="45"/>
      <c r="C70" s="46"/>
      <c r="J70" s="9"/>
    </row>
    <row r="71" spans="1:10" x14ac:dyDescent="0.35">
      <c r="A71" s="44"/>
      <c r="B71" s="45"/>
      <c r="C71" s="46"/>
      <c r="J71" s="9"/>
    </row>
    <row r="72" spans="1:10" x14ac:dyDescent="0.35">
      <c r="A72" s="44"/>
      <c r="B72" s="45"/>
      <c r="C72" s="46"/>
    </row>
    <row r="73" spans="1:10" x14ac:dyDescent="0.35">
      <c r="A73" s="44"/>
      <c r="B73" s="45"/>
      <c r="C73" s="46"/>
    </row>
    <row r="74" spans="1:10" x14ac:dyDescent="0.35">
      <c r="C74" s="46"/>
    </row>
    <row r="75" spans="1:10" x14ac:dyDescent="0.35">
      <c r="C75" s="46"/>
    </row>
    <row r="76" spans="1:10" x14ac:dyDescent="0.35">
      <c r="B76" s="44"/>
      <c r="C76" s="46"/>
    </row>
    <row r="77" spans="1:10" x14ac:dyDescent="0.35">
      <c r="B77" s="44"/>
      <c r="C77" s="46"/>
    </row>
    <row r="87" spans="12:27" x14ac:dyDescent="0.35">
      <c r="L87"/>
      <c r="Q87"/>
      <c r="V87"/>
      <c r="AA87"/>
    </row>
  </sheetData>
  <mergeCells count="3">
    <mergeCell ref="B48:C48"/>
    <mergeCell ref="A53:C53"/>
    <mergeCell ref="D55:E55"/>
  </mergeCells>
  <pageMargins left="0.70866141732283472" right="0.70866141732283472" top="0.74803149606299213" bottom="0.74803149606299213" header="0.31496062992125984" footer="0.31496062992125984"/>
  <pageSetup paperSize="9" scale="2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934C-16E5-4A14-B214-0BF93CD93194}">
  <dimension ref="A1:I68"/>
  <sheetViews>
    <sheetView topLeftCell="A23" zoomScale="70" zoomScaleNormal="70" workbookViewId="0">
      <selection activeCell="G53" sqref="G53"/>
    </sheetView>
  </sheetViews>
  <sheetFormatPr baseColWidth="10" defaultRowHeight="15.6" x14ac:dyDescent="0.3"/>
  <cols>
    <col min="1" max="1" width="13.88671875" style="53" bestFit="1" customWidth="1"/>
    <col min="2" max="2" width="15.109375" style="53" bestFit="1" customWidth="1"/>
    <col min="3" max="3" width="22.21875" style="53" bestFit="1" customWidth="1"/>
    <col min="4" max="4" width="50.33203125" style="53" bestFit="1" customWidth="1"/>
    <col min="5" max="7" width="14.109375" style="63" customWidth="1"/>
    <col min="8" max="16384" width="11.5546875" style="53"/>
  </cols>
  <sheetData>
    <row r="1" spans="1:8" x14ac:dyDescent="0.3">
      <c r="A1" s="48" t="s">
        <v>23</v>
      </c>
      <c r="B1" s="49"/>
      <c r="C1" s="49"/>
      <c r="D1" s="50"/>
      <c r="E1" s="51"/>
    </row>
    <row r="2" spans="1:8" x14ac:dyDescent="0.3">
      <c r="A2" s="48" t="s">
        <v>66</v>
      </c>
      <c r="B2" s="49"/>
      <c r="C2" s="49"/>
      <c r="D2" s="54"/>
      <c r="E2" s="55"/>
    </row>
    <row r="3" spans="1:8" x14ac:dyDescent="0.3">
      <c r="A3" s="49"/>
      <c r="B3" s="49"/>
      <c r="C3" s="49"/>
      <c r="D3" s="54"/>
      <c r="E3" s="51"/>
    </row>
    <row r="4" spans="1:8" x14ac:dyDescent="0.3">
      <c r="A4" s="56" t="s">
        <v>40</v>
      </c>
      <c r="B4" s="57"/>
      <c r="C4" s="57"/>
      <c r="D4" s="58"/>
      <c r="E4" s="51"/>
      <c r="F4" s="51"/>
      <c r="G4" s="51"/>
    </row>
    <row r="5" spans="1:8" s="61" customFormat="1" x14ac:dyDescent="0.3">
      <c r="A5" s="61" t="s">
        <v>41</v>
      </c>
      <c r="B5" s="61" t="s">
        <v>42</v>
      </c>
      <c r="C5" s="61" t="s">
        <v>62</v>
      </c>
      <c r="D5" s="65" t="s">
        <v>43</v>
      </c>
      <c r="E5" s="55" t="s">
        <v>37</v>
      </c>
      <c r="F5" s="55" t="s">
        <v>38</v>
      </c>
      <c r="G5" s="55" t="s">
        <v>39</v>
      </c>
    </row>
    <row r="6" spans="1:8" x14ac:dyDescent="0.3">
      <c r="A6" s="59">
        <v>45890</v>
      </c>
      <c r="B6" s="62">
        <v>1601</v>
      </c>
      <c r="C6" s="60" t="s">
        <v>51</v>
      </c>
      <c r="D6" s="53" t="s">
        <v>44</v>
      </c>
      <c r="E6" s="63">
        <v>960</v>
      </c>
      <c r="G6" s="63">
        <f>E6-F6</f>
        <v>960</v>
      </c>
    </row>
    <row r="7" spans="1:8" x14ac:dyDescent="0.3">
      <c r="A7" s="59">
        <v>45890</v>
      </c>
      <c r="B7" s="62">
        <v>501</v>
      </c>
      <c r="C7" s="60" t="s">
        <v>52</v>
      </c>
      <c r="D7" s="53" t="s">
        <v>46</v>
      </c>
      <c r="E7" s="63">
        <v>500</v>
      </c>
      <c r="G7" s="63">
        <f>G6+E7-F7</f>
        <v>1460</v>
      </c>
    </row>
    <row r="8" spans="1:8" x14ac:dyDescent="0.3">
      <c r="A8" s="59">
        <v>45890</v>
      </c>
      <c r="B8" s="62">
        <v>503</v>
      </c>
      <c r="C8" s="60" t="s">
        <v>53</v>
      </c>
      <c r="D8" s="53" t="s">
        <v>46</v>
      </c>
      <c r="E8" s="63">
        <v>325.89999999999998</v>
      </c>
      <c r="G8" s="63">
        <f>G7+E8-F8</f>
        <v>1785.9</v>
      </c>
    </row>
    <row r="9" spans="1:8" x14ac:dyDescent="0.3">
      <c r="A9" s="59">
        <v>45890</v>
      </c>
      <c r="B9" s="62">
        <v>302</v>
      </c>
      <c r="C9" s="60" t="s">
        <v>54</v>
      </c>
      <c r="D9" s="53" t="s">
        <v>46</v>
      </c>
      <c r="E9" s="63">
        <v>325.89999999999998</v>
      </c>
      <c r="G9" s="63">
        <f>G8+E9-F9</f>
        <v>2111.8000000000002</v>
      </c>
    </row>
    <row r="10" spans="1:8" x14ac:dyDescent="0.3">
      <c r="A10" s="59">
        <v>45890</v>
      </c>
      <c r="B10" s="62">
        <v>1301</v>
      </c>
      <c r="C10" s="60" t="s">
        <v>55</v>
      </c>
      <c r="D10" s="53" t="s">
        <v>46</v>
      </c>
      <c r="E10" s="63">
        <v>325.89999999999998</v>
      </c>
      <c r="G10" s="63">
        <f>G9+E10-F10</f>
        <v>2437.7000000000003</v>
      </c>
    </row>
    <row r="11" spans="1:8" x14ac:dyDescent="0.3">
      <c r="A11" s="59">
        <v>45890</v>
      </c>
      <c r="B11" s="52"/>
      <c r="C11" s="66"/>
      <c r="D11" s="53" t="s">
        <v>45</v>
      </c>
      <c r="F11" s="63">
        <v>427</v>
      </c>
      <c r="G11" s="63">
        <f>G10+E11-F11</f>
        <v>2010.7000000000003</v>
      </c>
    </row>
    <row r="12" spans="1:8" x14ac:dyDescent="0.3">
      <c r="A12" s="59">
        <v>45890</v>
      </c>
      <c r="B12" s="52"/>
      <c r="C12" s="66"/>
      <c r="D12" s="53" t="s">
        <v>47</v>
      </c>
      <c r="F12" s="63">
        <v>500</v>
      </c>
      <c r="G12" s="63">
        <f t="shared" ref="G12:G14" si="0">G11+E12-F12</f>
        <v>1510.7000000000003</v>
      </c>
    </row>
    <row r="13" spans="1:8" x14ac:dyDescent="0.3">
      <c r="A13" s="59">
        <v>45890</v>
      </c>
      <c r="B13" s="52"/>
      <c r="C13" s="66"/>
      <c r="D13" s="53" t="s">
        <v>48</v>
      </c>
      <c r="F13" s="63">
        <v>500</v>
      </c>
      <c r="G13" s="63">
        <f t="shared" si="0"/>
        <v>1010.7000000000003</v>
      </c>
    </row>
    <row r="14" spans="1:8" x14ac:dyDescent="0.3">
      <c r="A14" s="59">
        <v>45890</v>
      </c>
      <c r="B14" s="52"/>
      <c r="C14" s="66"/>
      <c r="D14" s="53" t="s">
        <v>49</v>
      </c>
      <c r="F14" s="63">
        <v>500</v>
      </c>
      <c r="G14" s="63">
        <f t="shared" si="0"/>
        <v>510.70000000000027</v>
      </c>
    </row>
    <row r="15" spans="1:8" x14ac:dyDescent="0.3">
      <c r="A15" s="59">
        <v>45890</v>
      </c>
      <c r="B15" s="52"/>
      <c r="C15" s="66"/>
      <c r="D15" s="53" t="s">
        <v>50</v>
      </c>
      <c r="F15" s="63">
        <v>500</v>
      </c>
      <c r="G15" s="63">
        <f>G14+E15-F15</f>
        <v>10.700000000000273</v>
      </c>
    </row>
    <row r="16" spans="1:8" x14ac:dyDescent="0.3">
      <c r="A16" s="59">
        <v>45890</v>
      </c>
      <c r="B16" s="52" t="s">
        <v>56</v>
      </c>
      <c r="C16" s="66" t="s">
        <v>57</v>
      </c>
      <c r="D16" s="53" t="s">
        <v>46</v>
      </c>
      <c r="E16" s="63">
        <v>300</v>
      </c>
      <c r="G16" s="63">
        <f t="shared" ref="G16:G19" si="1">G15+E16-F16</f>
        <v>310.70000000000027</v>
      </c>
      <c r="H16" s="64"/>
    </row>
    <row r="17" spans="1:9" x14ac:dyDescent="0.3">
      <c r="A17" s="59">
        <v>45890</v>
      </c>
      <c r="B17" s="52">
        <v>1303</v>
      </c>
      <c r="C17" s="66" t="s">
        <v>58</v>
      </c>
      <c r="D17" s="53" t="s">
        <v>46</v>
      </c>
      <c r="E17" s="63">
        <v>500</v>
      </c>
      <c r="G17" s="63">
        <f t="shared" si="1"/>
        <v>810.70000000000027</v>
      </c>
    </row>
    <row r="18" spans="1:9" x14ac:dyDescent="0.3">
      <c r="A18" s="59">
        <v>45890</v>
      </c>
      <c r="B18" s="52">
        <v>1701</v>
      </c>
      <c r="C18" s="66" t="s">
        <v>59</v>
      </c>
      <c r="D18" s="53" t="s">
        <v>61</v>
      </c>
      <c r="E18" s="63">
        <v>2793</v>
      </c>
      <c r="G18" s="63">
        <f t="shared" si="1"/>
        <v>3603.7000000000003</v>
      </c>
    </row>
    <row r="19" spans="1:9" x14ac:dyDescent="0.3">
      <c r="A19" s="59">
        <v>45890</v>
      </c>
      <c r="B19" s="52">
        <v>1202</v>
      </c>
      <c r="C19" s="66" t="s">
        <v>60</v>
      </c>
      <c r="D19" s="53" t="s">
        <v>46</v>
      </c>
      <c r="E19" s="63">
        <v>200</v>
      </c>
      <c r="G19" s="63">
        <f t="shared" si="1"/>
        <v>3803.7000000000003</v>
      </c>
    </row>
    <row r="20" spans="1:9" x14ac:dyDescent="0.3">
      <c r="A20" s="59">
        <v>45891</v>
      </c>
      <c r="B20" s="52"/>
      <c r="C20" s="52"/>
      <c r="D20" s="53" t="s">
        <v>63</v>
      </c>
      <c r="F20" s="63">
        <v>257.98</v>
      </c>
      <c r="G20" s="63">
        <f t="shared" ref="G20:G21" si="2">G19+E20-F20</f>
        <v>3545.7200000000003</v>
      </c>
    </row>
    <row r="21" spans="1:9" x14ac:dyDescent="0.3">
      <c r="A21" s="59">
        <v>45891</v>
      </c>
      <c r="B21" s="52"/>
      <c r="C21" s="52"/>
      <c r="D21" s="53" t="s">
        <v>64</v>
      </c>
      <c r="F21" s="63">
        <v>283.79000000000002</v>
      </c>
      <c r="G21" s="63">
        <f t="shared" si="2"/>
        <v>3261.9300000000003</v>
      </c>
    </row>
    <row r="22" spans="1:9" x14ac:dyDescent="0.3">
      <c r="A22" s="59">
        <v>45891</v>
      </c>
      <c r="B22" s="52"/>
      <c r="C22" s="52"/>
      <c r="D22" s="53" t="s">
        <v>65</v>
      </c>
      <c r="F22" s="63">
        <v>600</v>
      </c>
      <c r="G22" s="67">
        <f>G21+E22-F22</f>
        <v>2661.9300000000003</v>
      </c>
      <c r="H22" s="64"/>
      <c r="I22" s="64"/>
    </row>
    <row r="23" spans="1:9" x14ac:dyDescent="0.3">
      <c r="A23" s="59"/>
      <c r="B23" s="52"/>
      <c r="C23" s="52"/>
      <c r="E23" s="63">
        <f>SUM(E6:E22)</f>
        <v>6230.7000000000007</v>
      </c>
      <c r="F23" s="63">
        <f>SUM(F6:F22)</f>
        <v>3568.77</v>
      </c>
    </row>
    <row r="24" spans="1:9" x14ac:dyDescent="0.3">
      <c r="A24" s="59"/>
      <c r="B24" s="52"/>
      <c r="C24" s="52"/>
    </row>
    <row r="25" spans="1:9" x14ac:dyDescent="0.3">
      <c r="A25" s="59"/>
      <c r="B25" s="52"/>
      <c r="C25" s="52"/>
      <c r="D25" s="53" t="s">
        <v>69</v>
      </c>
      <c r="E25" s="67">
        <v>2661.93</v>
      </c>
      <c r="G25" s="63">
        <f>G23+E25-F25</f>
        <v>2661.93</v>
      </c>
    </row>
    <row r="26" spans="1:9" x14ac:dyDescent="0.3">
      <c r="A26" s="59">
        <v>45902</v>
      </c>
      <c r="B26" s="52">
        <v>1303</v>
      </c>
      <c r="C26" s="66" t="s">
        <v>58</v>
      </c>
      <c r="D26" s="53" t="s">
        <v>70</v>
      </c>
      <c r="E26" s="63">
        <v>200</v>
      </c>
      <c r="G26" s="63">
        <f>G25+E26-F26</f>
        <v>2861.93</v>
      </c>
    </row>
    <row r="27" spans="1:9" x14ac:dyDescent="0.3">
      <c r="A27" s="59">
        <v>45902</v>
      </c>
      <c r="B27" s="62">
        <v>501</v>
      </c>
      <c r="C27" s="60" t="s">
        <v>52</v>
      </c>
      <c r="D27" s="53" t="s">
        <v>70</v>
      </c>
      <c r="E27" s="63">
        <v>150</v>
      </c>
      <c r="G27" s="63">
        <f t="shared" ref="G27:G32" si="3">G26+E27-F27</f>
        <v>3011.93</v>
      </c>
    </row>
    <row r="28" spans="1:9" x14ac:dyDescent="0.3">
      <c r="A28" s="59">
        <v>45902</v>
      </c>
      <c r="B28" s="62">
        <v>503</v>
      </c>
      <c r="C28" s="60" t="s">
        <v>53</v>
      </c>
      <c r="D28" s="53" t="s">
        <v>70</v>
      </c>
      <c r="E28" s="63">
        <v>150</v>
      </c>
      <c r="G28" s="63">
        <f t="shared" si="3"/>
        <v>3161.93</v>
      </c>
    </row>
    <row r="29" spans="1:9" x14ac:dyDescent="0.3">
      <c r="A29" s="59">
        <v>45902</v>
      </c>
      <c r="B29" s="62">
        <v>302</v>
      </c>
      <c r="C29" s="60" t="s">
        <v>54</v>
      </c>
      <c r="D29" s="53" t="s">
        <v>70</v>
      </c>
      <c r="E29" s="63">
        <v>150</v>
      </c>
      <c r="G29" s="63">
        <f t="shared" si="3"/>
        <v>3311.93</v>
      </c>
    </row>
    <row r="30" spans="1:9" x14ac:dyDescent="0.3">
      <c r="A30" s="59">
        <v>45902</v>
      </c>
      <c r="B30" s="52">
        <v>1202</v>
      </c>
      <c r="C30" s="66" t="s">
        <v>60</v>
      </c>
      <c r="D30" s="53" t="s">
        <v>70</v>
      </c>
      <c r="E30" s="63">
        <v>100</v>
      </c>
      <c r="G30" s="63">
        <f t="shared" si="3"/>
        <v>3411.93</v>
      </c>
    </row>
    <row r="31" spans="1:9" x14ac:dyDescent="0.3">
      <c r="A31" s="59">
        <v>45902</v>
      </c>
      <c r="B31" s="52">
        <v>402</v>
      </c>
      <c r="C31" s="53" t="s">
        <v>67</v>
      </c>
      <c r="D31" s="53" t="s">
        <v>70</v>
      </c>
      <c r="E31" s="63">
        <v>150</v>
      </c>
      <c r="G31" s="63">
        <f t="shared" si="3"/>
        <v>3561.93</v>
      </c>
    </row>
    <row r="32" spans="1:9" x14ac:dyDescent="0.3">
      <c r="A32" s="59">
        <v>45903</v>
      </c>
      <c r="B32" s="52">
        <v>1601</v>
      </c>
      <c r="C32" s="60" t="s">
        <v>51</v>
      </c>
      <c r="D32" s="53" t="s">
        <v>70</v>
      </c>
      <c r="E32" s="63">
        <v>100</v>
      </c>
      <c r="G32" s="63">
        <f t="shared" si="3"/>
        <v>3661.93</v>
      </c>
    </row>
    <row r="33" spans="1:7" x14ac:dyDescent="0.3">
      <c r="A33" s="59">
        <v>45903</v>
      </c>
      <c r="D33" s="53" t="s">
        <v>68</v>
      </c>
      <c r="F33" s="63">
        <v>1000</v>
      </c>
      <c r="G33" s="63">
        <f>G32+E33-F33</f>
        <v>2661.93</v>
      </c>
    </row>
    <row r="34" spans="1:7" x14ac:dyDescent="0.3">
      <c r="A34" s="59">
        <v>45903</v>
      </c>
      <c r="D34" s="53" t="s">
        <v>71</v>
      </c>
      <c r="F34" s="63">
        <v>0.05</v>
      </c>
      <c r="G34" s="63">
        <f>G33+E34-F34</f>
        <v>2661.8799999999997</v>
      </c>
    </row>
    <row r="35" spans="1:7" x14ac:dyDescent="0.3">
      <c r="A35" s="59">
        <v>45910</v>
      </c>
      <c r="D35" s="53" t="s">
        <v>72</v>
      </c>
      <c r="F35" s="63">
        <v>394.8</v>
      </c>
      <c r="G35" s="63">
        <f>G34+E35-F35</f>
        <v>2267.0799999999995</v>
      </c>
    </row>
    <row r="36" spans="1:7" x14ac:dyDescent="0.3">
      <c r="A36" s="59">
        <v>45915</v>
      </c>
      <c r="D36" s="53" t="s">
        <v>82</v>
      </c>
      <c r="E36" s="63">
        <v>2000</v>
      </c>
      <c r="G36" s="63">
        <f t="shared" ref="G36:G41" si="4">G35+E36-F36</f>
        <v>4267.08</v>
      </c>
    </row>
    <row r="37" spans="1:7" x14ac:dyDescent="0.3">
      <c r="A37" s="59">
        <v>45915</v>
      </c>
      <c r="D37" s="53" t="s">
        <v>83</v>
      </c>
      <c r="F37" s="63">
        <v>500</v>
      </c>
      <c r="G37" s="63">
        <f t="shared" si="4"/>
        <v>3767.08</v>
      </c>
    </row>
    <row r="38" spans="1:7" x14ac:dyDescent="0.3">
      <c r="A38" s="59">
        <v>45915</v>
      </c>
      <c r="D38" s="53" t="s">
        <v>84</v>
      </c>
      <c r="F38" s="63">
        <v>500</v>
      </c>
      <c r="G38" s="63">
        <f t="shared" si="4"/>
        <v>3267.08</v>
      </c>
    </row>
    <row r="39" spans="1:7" x14ac:dyDescent="0.3">
      <c r="A39" s="59">
        <v>45915</v>
      </c>
      <c r="D39" s="53" t="s">
        <v>85</v>
      </c>
      <c r="F39" s="63">
        <v>500</v>
      </c>
      <c r="G39" s="63">
        <f t="shared" si="4"/>
        <v>2767.08</v>
      </c>
    </row>
    <row r="40" spans="1:7" x14ac:dyDescent="0.3">
      <c r="A40" s="59">
        <v>45915</v>
      </c>
      <c r="D40" s="53" t="s">
        <v>86</v>
      </c>
      <c r="F40" s="63">
        <v>500</v>
      </c>
      <c r="G40" s="63">
        <f t="shared" si="4"/>
        <v>2267.08</v>
      </c>
    </row>
    <row r="41" spans="1:7" x14ac:dyDescent="0.3">
      <c r="A41" s="59">
        <v>45915</v>
      </c>
      <c r="D41" s="53" t="s">
        <v>71</v>
      </c>
      <c r="F41" s="63">
        <v>0.1</v>
      </c>
      <c r="G41" s="63">
        <f t="shared" si="4"/>
        <v>2266.98</v>
      </c>
    </row>
    <row r="42" spans="1:7" x14ac:dyDescent="0.3">
      <c r="A42" s="59">
        <v>45916</v>
      </c>
      <c r="C42" s="53" t="s">
        <v>83</v>
      </c>
      <c r="D42" s="53" t="s">
        <v>104</v>
      </c>
      <c r="F42" s="63">
        <v>100</v>
      </c>
      <c r="G42" s="63">
        <f>G41+E42-F42</f>
        <v>2166.98</v>
      </c>
    </row>
    <row r="43" spans="1:7" x14ac:dyDescent="0.3">
      <c r="A43" s="59">
        <v>45916</v>
      </c>
      <c r="C43" s="53" t="s">
        <v>111</v>
      </c>
      <c r="E43" s="63">
        <v>1978</v>
      </c>
      <c r="G43" s="63">
        <f t="shared" ref="G43:G51" si="5">G42+E43-F43</f>
        <v>4144.9799999999996</v>
      </c>
    </row>
    <row r="44" spans="1:7" x14ac:dyDescent="0.3">
      <c r="A44" s="59">
        <v>45916</v>
      </c>
      <c r="D44" s="53" t="s">
        <v>71</v>
      </c>
      <c r="F44" s="63">
        <v>0.05</v>
      </c>
      <c r="G44" s="63">
        <f t="shared" si="5"/>
        <v>4144.9299999999994</v>
      </c>
    </row>
    <row r="45" spans="1:7" x14ac:dyDescent="0.3">
      <c r="A45" s="59">
        <v>45916</v>
      </c>
      <c r="C45" s="53" t="s">
        <v>106</v>
      </c>
      <c r="D45" s="53" t="s">
        <v>107</v>
      </c>
      <c r="F45" s="63">
        <v>427</v>
      </c>
      <c r="G45" s="63">
        <f t="shared" si="5"/>
        <v>3717.9299999999994</v>
      </c>
    </row>
    <row r="46" spans="1:7" x14ac:dyDescent="0.3">
      <c r="A46" s="59">
        <v>45917</v>
      </c>
      <c r="C46" s="53" t="s">
        <v>112</v>
      </c>
      <c r="D46" s="53" t="s">
        <v>113</v>
      </c>
      <c r="F46" s="63">
        <v>1120</v>
      </c>
      <c r="G46" s="63">
        <f t="shared" si="5"/>
        <v>2597.9299999999994</v>
      </c>
    </row>
    <row r="47" spans="1:7" x14ac:dyDescent="0.3">
      <c r="A47" s="59">
        <v>45917</v>
      </c>
      <c r="C47" s="53" t="s">
        <v>114</v>
      </c>
      <c r="D47" s="53" t="s">
        <v>75</v>
      </c>
      <c r="F47" s="63">
        <v>498</v>
      </c>
      <c r="G47" s="63">
        <f t="shared" si="5"/>
        <v>2099.9299999999994</v>
      </c>
    </row>
    <row r="48" spans="1:7" x14ac:dyDescent="0.3">
      <c r="A48" s="59">
        <v>45917</v>
      </c>
      <c r="D48" s="53" t="s">
        <v>71</v>
      </c>
      <c r="F48" s="63">
        <v>0.05</v>
      </c>
      <c r="G48" s="63">
        <f t="shared" si="5"/>
        <v>2099.8799999999992</v>
      </c>
    </row>
    <row r="49" spans="1:7" x14ac:dyDescent="0.3">
      <c r="A49" s="59">
        <v>45919</v>
      </c>
      <c r="C49" s="53" t="s">
        <v>115</v>
      </c>
      <c r="D49" s="53" t="s">
        <v>116</v>
      </c>
      <c r="F49" s="63">
        <v>200</v>
      </c>
      <c r="G49" s="63">
        <f t="shared" si="5"/>
        <v>1899.8799999999992</v>
      </c>
    </row>
    <row r="50" spans="1:7" x14ac:dyDescent="0.3">
      <c r="A50" s="59">
        <v>45919</v>
      </c>
      <c r="C50" s="53" t="s">
        <v>117</v>
      </c>
      <c r="D50" s="53" t="s">
        <v>118</v>
      </c>
      <c r="F50" s="63">
        <v>160</v>
      </c>
      <c r="G50" s="67">
        <f t="shared" si="5"/>
        <v>1739.8799999999992</v>
      </c>
    </row>
    <row r="51" spans="1:7" x14ac:dyDescent="0.3">
      <c r="A51" s="59"/>
      <c r="D51" s="53" t="s">
        <v>119</v>
      </c>
      <c r="F51" s="63">
        <v>200</v>
      </c>
      <c r="G51" s="67">
        <f t="shared" si="5"/>
        <v>1539.8799999999992</v>
      </c>
    </row>
    <row r="52" spans="1:7" x14ac:dyDescent="0.3">
      <c r="A52" s="59"/>
      <c r="D52" s="53" t="s">
        <v>120</v>
      </c>
      <c r="F52" s="63">
        <v>16</v>
      </c>
      <c r="G52" s="67">
        <f>G51+E52-F52</f>
        <v>1523.8799999999992</v>
      </c>
    </row>
    <row r="53" spans="1:7" x14ac:dyDescent="0.3">
      <c r="A53" s="59"/>
    </row>
    <row r="54" spans="1:7" x14ac:dyDescent="0.3">
      <c r="A54" s="59"/>
    </row>
    <row r="55" spans="1:7" x14ac:dyDescent="0.3">
      <c r="A55" s="59"/>
    </row>
    <row r="56" spans="1:7" x14ac:dyDescent="0.3">
      <c r="A56" s="59"/>
    </row>
    <row r="57" spans="1:7" x14ac:dyDescent="0.3">
      <c r="A57" s="59"/>
    </row>
    <row r="58" spans="1:7" x14ac:dyDescent="0.3">
      <c r="A58" s="59"/>
    </row>
    <row r="59" spans="1:7" x14ac:dyDescent="0.3">
      <c r="A59" s="59"/>
    </row>
    <row r="60" spans="1:7" x14ac:dyDescent="0.3">
      <c r="A60" s="59"/>
    </row>
    <row r="61" spans="1:7" x14ac:dyDescent="0.3">
      <c r="A61" s="59"/>
    </row>
    <row r="62" spans="1:7" x14ac:dyDescent="0.3">
      <c r="A62" s="59"/>
    </row>
    <row r="63" spans="1:7" x14ac:dyDescent="0.3">
      <c r="A63" s="59"/>
    </row>
    <row r="64" spans="1:7" x14ac:dyDescent="0.3">
      <c r="A64" s="59"/>
    </row>
    <row r="65" spans="1:1" x14ac:dyDescent="0.3">
      <c r="A65" s="59"/>
    </row>
    <row r="66" spans="1:1" x14ac:dyDescent="0.3">
      <c r="A66" s="59"/>
    </row>
    <row r="67" spans="1:1" x14ac:dyDescent="0.3">
      <c r="A67" s="59"/>
    </row>
    <row r="68" spans="1:1" x14ac:dyDescent="0.3">
      <c r="A68" s="5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3669-7F62-49B8-8321-01AF24F77D8C}">
  <dimension ref="A1:G120"/>
  <sheetViews>
    <sheetView zoomScale="90" zoomScaleNormal="90" workbookViewId="0">
      <selection activeCell="I23" sqref="I23"/>
    </sheetView>
  </sheetViews>
  <sheetFormatPr baseColWidth="10" defaultRowHeight="14.4" x14ac:dyDescent="0.3"/>
  <cols>
    <col min="2" max="2" width="15.21875" bestFit="1" customWidth="1"/>
    <col min="3" max="3" width="39.44140625" customWidth="1"/>
    <col min="4" max="4" width="40.77734375" bestFit="1" customWidth="1"/>
  </cols>
  <sheetData>
    <row r="1" spans="1:7" ht="15.6" x14ac:dyDescent="0.3">
      <c r="A1" s="48" t="s">
        <v>23</v>
      </c>
      <c r="B1" s="49"/>
      <c r="C1" s="49"/>
      <c r="D1" s="50"/>
      <c r="E1" s="51"/>
      <c r="F1" s="52"/>
      <c r="G1" s="52"/>
    </row>
    <row r="2" spans="1:7" ht="15.6" x14ac:dyDescent="0.3">
      <c r="A2" s="48" t="s">
        <v>73</v>
      </c>
      <c r="B2" s="49"/>
      <c r="C2" s="49"/>
      <c r="D2" s="54"/>
      <c r="E2" s="55"/>
      <c r="F2" s="52"/>
      <c r="G2" s="52"/>
    </row>
    <row r="3" spans="1:7" ht="15.6" x14ac:dyDescent="0.3">
      <c r="A3" s="48" t="s">
        <v>97</v>
      </c>
      <c r="B3" s="49"/>
      <c r="C3" s="49"/>
      <c r="D3" s="54"/>
      <c r="E3" s="51"/>
      <c r="F3" s="52"/>
      <c r="G3" s="52"/>
    </row>
    <row r="4" spans="1:7" ht="15.6" x14ac:dyDescent="0.3">
      <c r="A4" s="48" t="s">
        <v>99</v>
      </c>
      <c r="B4" s="49"/>
      <c r="C4" s="49"/>
      <c r="D4" s="54"/>
      <c r="E4" s="51"/>
      <c r="F4" s="52"/>
      <c r="G4" s="52"/>
    </row>
    <row r="5" spans="1:7" ht="15.6" x14ac:dyDescent="0.3">
      <c r="A5" s="48" t="s">
        <v>100</v>
      </c>
      <c r="B5" s="49"/>
      <c r="C5" s="49"/>
      <c r="D5" s="54"/>
      <c r="E5" s="51"/>
      <c r="F5" s="52"/>
      <c r="G5" s="52"/>
    </row>
    <row r="6" spans="1:7" ht="15.6" x14ac:dyDescent="0.3">
      <c r="A6" s="56" t="s">
        <v>98</v>
      </c>
      <c r="B6" s="57"/>
      <c r="C6" s="57"/>
      <c r="D6" s="58"/>
      <c r="E6" s="51"/>
      <c r="F6" s="51"/>
      <c r="G6" s="51"/>
    </row>
    <row r="7" spans="1:7" ht="15.6" x14ac:dyDescent="0.3">
      <c r="A7" s="61" t="s">
        <v>41</v>
      </c>
      <c r="B7" s="61" t="s">
        <v>42</v>
      </c>
      <c r="C7" s="61" t="s">
        <v>62</v>
      </c>
      <c r="D7" s="65" t="s">
        <v>43</v>
      </c>
      <c r="E7" s="55" t="s">
        <v>37</v>
      </c>
      <c r="F7" s="55" t="s">
        <v>38</v>
      </c>
      <c r="G7" s="55" t="s">
        <v>39</v>
      </c>
    </row>
    <row r="8" spans="1:7" ht="15.6" x14ac:dyDescent="0.3">
      <c r="A8" s="59"/>
      <c r="B8" s="62"/>
      <c r="C8" s="60"/>
      <c r="D8" s="53"/>
      <c r="E8" s="63"/>
      <c r="F8" s="63"/>
      <c r="G8" s="63">
        <f>E8-F8</f>
        <v>0</v>
      </c>
    </row>
    <row r="9" spans="1:7" ht="15.6" x14ac:dyDescent="0.3">
      <c r="A9" s="59">
        <v>45905</v>
      </c>
      <c r="B9" s="62">
        <v>201</v>
      </c>
      <c r="C9" s="60" t="s">
        <v>94</v>
      </c>
      <c r="D9" s="53" t="s">
        <v>101</v>
      </c>
      <c r="E9" s="63">
        <v>456.4</v>
      </c>
      <c r="G9" s="63">
        <f>G8+E9-F9</f>
        <v>456.4</v>
      </c>
    </row>
    <row r="10" spans="1:7" ht="15.6" x14ac:dyDescent="0.3">
      <c r="A10" s="59">
        <v>45905</v>
      </c>
      <c r="B10" s="62"/>
      <c r="C10" s="60" t="s">
        <v>95</v>
      </c>
      <c r="D10" s="53"/>
      <c r="E10" s="63">
        <v>463.9</v>
      </c>
      <c r="G10" s="63">
        <f t="shared" ref="G10:G74" si="0">G9+E10-F10</f>
        <v>920.3</v>
      </c>
    </row>
    <row r="11" spans="1:7" ht="15.6" x14ac:dyDescent="0.3">
      <c r="A11" s="59">
        <v>45905</v>
      </c>
      <c r="B11" s="62">
        <v>303</v>
      </c>
      <c r="C11" s="60" t="s">
        <v>96</v>
      </c>
      <c r="D11" s="53"/>
      <c r="E11" s="63">
        <v>273.89999999999998</v>
      </c>
      <c r="F11" s="63"/>
      <c r="G11" s="63">
        <f t="shared" si="0"/>
        <v>1194.1999999999998</v>
      </c>
    </row>
    <row r="12" spans="1:7" ht="15.6" x14ac:dyDescent="0.3">
      <c r="A12" s="59">
        <v>45908</v>
      </c>
      <c r="B12" s="62">
        <v>1102</v>
      </c>
      <c r="C12" t="s">
        <v>93</v>
      </c>
      <c r="E12" s="63">
        <v>220</v>
      </c>
      <c r="G12" s="63">
        <f t="shared" si="0"/>
        <v>1414.1999999999998</v>
      </c>
    </row>
    <row r="13" spans="1:7" ht="15.6" x14ac:dyDescent="0.3">
      <c r="A13" s="59">
        <v>45908</v>
      </c>
      <c r="B13" s="62">
        <v>701</v>
      </c>
      <c r="D13" s="74">
        <v>45901</v>
      </c>
      <c r="E13" s="63">
        <v>471.7</v>
      </c>
      <c r="G13" s="63">
        <f t="shared" si="0"/>
        <v>1885.8999999999999</v>
      </c>
    </row>
    <row r="14" spans="1:7" ht="15.6" x14ac:dyDescent="0.3">
      <c r="A14" s="59">
        <v>45909</v>
      </c>
      <c r="B14" s="62">
        <v>503</v>
      </c>
      <c r="C14" s="60" t="s">
        <v>53</v>
      </c>
      <c r="E14" s="63">
        <v>436.5</v>
      </c>
      <c r="G14" s="63">
        <f t="shared" si="0"/>
        <v>2322.3999999999996</v>
      </c>
    </row>
    <row r="15" spans="1:7" ht="15.6" x14ac:dyDescent="0.3">
      <c r="A15" s="59">
        <v>45909</v>
      </c>
      <c r="B15" s="62">
        <v>306</v>
      </c>
      <c r="E15" s="63">
        <v>20000</v>
      </c>
      <c r="G15" s="63">
        <f t="shared" si="0"/>
        <v>22322.400000000001</v>
      </c>
    </row>
    <row r="16" spans="1:7" ht="15.6" x14ac:dyDescent="0.3">
      <c r="A16" s="59"/>
      <c r="B16" s="62"/>
      <c r="D16" t="s">
        <v>74</v>
      </c>
      <c r="E16" s="63">
        <v>1</v>
      </c>
      <c r="G16" s="63">
        <f t="shared" si="0"/>
        <v>22323.4</v>
      </c>
    </row>
    <row r="17" spans="1:7" ht="15.6" x14ac:dyDescent="0.3">
      <c r="A17" s="59"/>
      <c r="B17" s="62"/>
      <c r="C17" t="s">
        <v>92</v>
      </c>
      <c r="E17" s="63">
        <v>117.9</v>
      </c>
      <c r="G17" s="63">
        <f t="shared" si="0"/>
        <v>22441.300000000003</v>
      </c>
    </row>
    <row r="18" spans="1:7" ht="15.6" x14ac:dyDescent="0.3">
      <c r="A18" s="59">
        <v>45910</v>
      </c>
      <c r="B18" s="62">
        <v>1101</v>
      </c>
      <c r="E18" s="63">
        <v>380.2</v>
      </c>
      <c r="G18" s="63">
        <f t="shared" si="0"/>
        <v>22821.500000000004</v>
      </c>
    </row>
    <row r="19" spans="1:7" ht="15.6" x14ac:dyDescent="0.3">
      <c r="A19" s="59">
        <v>45910</v>
      </c>
      <c r="B19" s="62"/>
      <c r="C19" t="s">
        <v>87</v>
      </c>
      <c r="E19" s="63">
        <v>473</v>
      </c>
      <c r="G19" s="63">
        <f t="shared" si="0"/>
        <v>23294.500000000004</v>
      </c>
    </row>
    <row r="20" spans="1:7" ht="15.6" x14ac:dyDescent="0.3">
      <c r="A20" s="59">
        <v>45910</v>
      </c>
      <c r="B20" s="62"/>
      <c r="C20" t="s">
        <v>87</v>
      </c>
      <c r="E20" s="63">
        <v>13.8</v>
      </c>
      <c r="G20" s="63">
        <f t="shared" si="0"/>
        <v>23308.300000000003</v>
      </c>
    </row>
    <row r="21" spans="1:7" ht="15.6" x14ac:dyDescent="0.3">
      <c r="A21" s="59">
        <v>45910</v>
      </c>
      <c r="B21" s="62"/>
      <c r="E21" s="63">
        <v>516.6</v>
      </c>
      <c r="G21" s="63">
        <f t="shared" si="0"/>
        <v>23824.9</v>
      </c>
    </row>
    <row r="22" spans="1:7" ht="15.6" x14ac:dyDescent="0.3">
      <c r="A22" s="59">
        <v>45910</v>
      </c>
      <c r="B22" s="62"/>
      <c r="C22" t="s">
        <v>88</v>
      </c>
      <c r="E22" s="63">
        <v>524.20000000000005</v>
      </c>
      <c r="G22" s="63">
        <f t="shared" si="0"/>
        <v>24349.100000000002</v>
      </c>
    </row>
    <row r="23" spans="1:7" ht="15.6" x14ac:dyDescent="0.3">
      <c r="A23" s="59">
        <v>45913</v>
      </c>
      <c r="B23" s="62">
        <v>202</v>
      </c>
      <c r="C23" t="s">
        <v>89</v>
      </c>
      <c r="E23" s="63">
        <v>278.3</v>
      </c>
      <c r="G23" s="63">
        <f t="shared" si="0"/>
        <v>24627.4</v>
      </c>
    </row>
    <row r="24" spans="1:7" ht="15.6" x14ac:dyDescent="0.3">
      <c r="A24" s="59">
        <v>45913</v>
      </c>
      <c r="B24" s="62">
        <v>1702</v>
      </c>
      <c r="C24" t="s">
        <v>90</v>
      </c>
      <c r="D24" s="74">
        <v>45870</v>
      </c>
      <c r="E24" s="63">
        <v>457.8</v>
      </c>
      <c r="G24" s="63">
        <f t="shared" si="0"/>
        <v>25085.200000000001</v>
      </c>
    </row>
    <row r="25" spans="1:7" ht="15.6" x14ac:dyDescent="0.3">
      <c r="A25" s="59">
        <v>45913</v>
      </c>
      <c r="B25" s="62">
        <v>1702</v>
      </c>
      <c r="C25" t="s">
        <v>90</v>
      </c>
      <c r="D25" s="74">
        <v>45901</v>
      </c>
      <c r="E25" s="63">
        <v>449.6</v>
      </c>
      <c r="G25" s="63">
        <f t="shared" si="0"/>
        <v>25534.799999999999</v>
      </c>
    </row>
    <row r="26" spans="1:7" ht="15.6" x14ac:dyDescent="0.3">
      <c r="A26" s="59">
        <v>45914</v>
      </c>
      <c r="B26" s="62">
        <v>402</v>
      </c>
      <c r="C26" t="s">
        <v>91</v>
      </c>
      <c r="E26" s="63">
        <v>225</v>
      </c>
      <c r="G26" s="63">
        <f t="shared" si="0"/>
        <v>25759.8</v>
      </c>
    </row>
    <row r="27" spans="1:7" ht="15.6" x14ac:dyDescent="0.3">
      <c r="A27" s="59">
        <v>45915</v>
      </c>
      <c r="B27" s="62">
        <v>702</v>
      </c>
      <c r="E27" s="63">
        <v>245.9</v>
      </c>
      <c r="G27" s="63">
        <f t="shared" si="0"/>
        <v>26005.7</v>
      </c>
    </row>
    <row r="28" spans="1:7" ht="15.6" x14ac:dyDescent="0.3">
      <c r="A28" s="59">
        <v>45915</v>
      </c>
      <c r="D28" t="s">
        <v>102</v>
      </c>
      <c r="F28">
        <v>2000</v>
      </c>
      <c r="G28" s="63">
        <f t="shared" si="0"/>
        <v>24005.7</v>
      </c>
    </row>
    <row r="29" spans="1:7" ht="15.6" x14ac:dyDescent="0.3">
      <c r="A29" s="59"/>
      <c r="G29" s="63">
        <f t="shared" si="0"/>
        <v>24005.7</v>
      </c>
    </row>
    <row r="30" spans="1:7" ht="15.6" x14ac:dyDescent="0.3">
      <c r="A30" s="59"/>
      <c r="G30" s="63">
        <f t="shared" si="0"/>
        <v>24005.7</v>
      </c>
    </row>
    <row r="31" spans="1:7" ht="15.6" x14ac:dyDescent="0.3">
      <c r="A31" s="59"/>
      <c r="G31" s="63">
        <f t="shared" si="0"/>
        <v>24005.7</v>
      </c>
    </row>
    <row r="32" spans="1:7" ht="15.6" x14ac:dyDescent="0.3">
      <c r="A32" s="59"/>
      <c r="G32" s="63">
        <f t="shared" si="0"/>
        <v>24005.7</v>
      </c>
    </row>
    <row r="33" spans="1:7" ht="15.6" x14ac:dyDescent="0.3">
      <c r="A33" s="59"/>
      <c r="G33" s="63">
        <f t="shared" si="0"/>
        <v>24005.7</v>
      </c>
    </row>
    <row r="34" spans="1:7" ht="15.6" x14ac:dyDescent="0.3">
      <c r="A34" s="59"/>
      <c r="G34" s="63">
        <f t="shared" si="0"/>
        <v>24005.7</v>
      </c>
    </row>
    <row r="35" spans="1:7" ht="15.6" x14ac:dyDescent="0.3">
      <c r="G35" s="63">
        <f t="shared" si="0"/>
        <v>24005.7</v>
      </c>
    </row>
    <row r="36" spans="1:7" ht="15.6" x14ac:dyDescent="0.3">
      <c r="G36" s="63">
        <f t="shared" si="0"/>
        <v>24005.7</v>
      </c>
    </row>
    <row r="37" spans="1:7" ht="15.6" x14ac:dyDescent="0.3">
      <c r="G37" s="63">
        <f t="shared" si="0"/>
        <v>24005.7</v>
      </c>
    </row>
    <row r="38" spans="1:7" ht="15.6" x14ac:dyDescent="0.3">
      <c r="G38" s="63">
        <f t="shared" si="0"/>
        <v>24005.7</v>
      </c>
    </row>
    <row r="39" spans="1:7" ht="15.6" x14ac:dyDescent="0.3">
      <c r="G39" s="63">
        <f t="shared" si="0"/>
        <v>24005.7</v>
      </c>
    </row>
    <row r="40" spans="1:7" ht="15.6" x14ac:dyDescent="0.3">
      <c r="G40" s="63">
        <f t="shared" si="0"/>
        <v>24005.7</v>
      </c>
    </row>
    <row r="41" spans="1:7" ht="15.6" x14ac:dyDescent="0.3">
      <c r="G41" s="63">
        <f t="shared" si="0"/>
        <v>24005.7</v>
      </c>
    </row>
    <row r="42" spans="1:7" ht="15.6" x14ac:dyDescent="0.3">
      <c r="G42" s="63">
        <f t="shared" si="0"/>
        <v>24005.7</v>
      </c>
    </row>
    <row r="43" spans="1:7" ht="15.6" x14ac:dyDescent="0.3">
      <c r="G43" s="63">
        <f t="shared" si="0"/>
        <v>24005.7</v>
      </c>
    </row>
    <row r="44" spans="1:7" ht="15.6" x14ac:dyDescent="0.3">
      <c r="G44" s="63">
        <f t="shared" si="0"/>
        <v>24005.7</v>
      </c>
    </row>
    <row r="45" spans="1:7" ht="15.6" x14ac:dyDescent="0.3">
      <c r="G45" s="63">
        <f t="shared" si="0"/>
        <v>24005.7</v>
      </c>
    </row>
    <row r="46" spans="1:7" ht="15.6" x14ac:dyDescent="0.3">
      <c r="G46" s="63">
        <f t="shared" si="0"/>
        <v>24005.7</v>
      </c>
    </row>
    <row r="47" spans="1:7" ht="15.6" x14ac:dyDescent="0.3">
      <c r="G47" s="63">
        <f t="shared" si="0"/>
        <v>24005.7</v>
      </c>
    </row>
    <row r="48" spans="1:7" ht="15.6" x14ac:dyDescent="0.3">
      <c r="G48" s="63">
        <f t="shared" si="0"/>
        <v>24005.7</v>
      </c>
    </row>
    <row r="49" spans="7:7" ht="15.6" x14ac:dyDescent="0.3">
      <c r="G49" s="63">
        <f t="shared" si="0"/>
        <v>24005.7</v>
      </c>
    </row>
    <row r="50" spans="7:7" ht="15.6" x14ac:dyDescent="0.3">
      <c r="G50" s="63">
        <f t="shared" si="0"/>
        <v>24005.7</v>
      </c>
    </row>
    <row r="51" spans="7:7" ht="15.6" x14ac:dyDescent="0.3">
      <c r="G51" s="63">
        <f t="shared" si="0"/>
        <v>24005.7</v>
      </c>
    </row>
    <row r="52" spans="7:7" ht="15.6" x14ac:dyDescent="0.3">
      <c r="G52" s="63">
        <f t="shared" si="0"/>
        <v>24005.7</v>
      </c>
    </row>
    <row r="53" spans="7:7" ht="15.6" x14ac:dyDescent="0.3">
      <c r="G53" s="63">
        <f t="shared" si="0"/>
        <v>24005.7</v>
      </c>
    </row>
    <row r="54" spans="7:7" ht="15.6" x14ac:dyDescent="0.3">
      <c r="G54" s="63">
        <f t="shared" si="0"/>
        <v>24005.7</v>
      </c>
    </row>
    <row r="55" spans="7:7" ht="15.6" x14ac:dyDescent="0.3">
      <c r="G55" s="63">
        <f t="shared" si="0"/>
        <v>24005.7</v>
      </c>
    </row>
    <row r="56" spans="7:7" ht="15.6" x14ac:dyDescent="0.3">
      <c r="G56" s="63">
        <f t="shared" si="0"/>
        <v>24005.7</v>
      </c>
    </row>
    <row r="57" spans="7:7" ht="15.6" x14ac:dyDescent="0.3">
      <c r="G57" s="63">
        <f t="shared" si="0"/>
        <v>24005.7</v>
      </c>
    </row>
    <row r="58" spans="7:7" ht="15.6" x14ac:dyDescent="0.3">
      <c r="G58" s="63">
        <f t="shared" si="0"/>
        <v>24005.7</v>
      </c>
    </row>
    <row r="59" spans="7:7" ht="15.6" x14ac:dyDescent="0.3">
      <c r="G59" s="63">
        <f t="shared" si="0"/>
        <v>24005.7</v>
      </c>
    </row>
    <row r="60" spans="7:7" ht="15.6" x14ac:dyDescent="0.3">
      <c r="G60" s="63">
        <f t="shared" si="0"/>
        <v>24005.7</v>
      </c>
    </row>
    <row r="61" spans="7:7" ht="15.6" x14ac:dyDescent="0.3">
      <c r="G61" s="63">
        <f t="shared" si="0"/>
        <v>24005.7</v>
      </c>
    </row>
    <row r="62" spans="7:7" ht="15.6" x14ac:dyDescent="0.3">
      <c r="G62" s="63">
        <f t="shared" si="0"/>
        <v>24005.7</v>
      </c>
    </row>
    <row r="63" spans="7:7" ht="15.6" x14ac:dyDescent="0.3">
      <c r="G63" s="63">
        <f t="shared" si="0"/>
        <v>24005.7</v>
      </c>
    </row>
    <row r="64" spans="7:7" ht="15.6" x14ac:dyDescent="0.3">
      <c r="G64" s="63">
        <f t="shared" si="0"/>
        <v>24005.7</v>
      </c>
    </row>
    <row r="65" spans="7:7" ht="15.6" x14ac:dyDescent="0.3">
      <c r="G65" s="63">
        <f t="shared" si="0"/>
        <v>24005.7</v>
      </c>
    </row>
    <row r="66" spans="7:7" ht="15.6" x14ac:dyDescent="0.3">
      <c r="G66" s="63">
        <f t="shared" si="0"/>
        <v>24005.7</v>
      </c>
    </row>
    <row r="67" spans="7:7" ht="15.6" x14ac:dyDescent="0.3">
      <c r="G67" s="63">
        <f t="shared" si="0"/>
        <v>24005.7</v>
      </c>
    </row>
    <row r="68" spans="7:7" ht="15.6" x14ac:dyDescent="0.3">
      <c r="G68" s="63">
        <f t="shared" si="0"/>
        <v>24005.7</v>
      </c>
    </row>
    <row r="69" spans="7:7" ht="15.6" x14ac:dyDescent="0.3">
      <c r="G69" s="63">
        <f t="shared" si="0"/>
        <v>24005.7</v>
      </c>
    </row>
    <row r="70" spans="7:7" ht="15.6" x14ac:dyDescent="0.3">
      <c r="G70" s="63">
        <f t="shared" si="0"/>
        <v>24005.7</v>
      </c>
    </row>
    <row r="71" spans="7:7" ht="15.6" x14ac:dyDescent="0.3">
      <c r="G71" s="63">
        <f t="shared" si="0"/>
        <v>24005.7</v>
      </c>
    </row>
    <row r="72" spans="7:7" ht="15.6" x14ac:dyDescent="0.3">
      <c r="G72" s="63">
        <f t="shared" si="0"/>
        <v>24005.7</v>
      </c>
    </row>
    <row r="73" spans="7:7" ht="15.6" x14ac:dyDescent="0.3">
      <c r="G73" s="63">
        <f t="shared" si="0"/>
        <v>24005.7</v>
      </c>
    </row>
    <row r="74" spans="7:7" ht="15.6" x14ac:dyDescent="0.3">
      <c r="G74" s="63">
        <f t="shared" si="0"/>
        <v>24005.7</v>
      </c>
    </row>
    <row r="75" spans="7:7" ht="15.6" x14ac:dyDescent="0.3">
      <c r="G75" s="63">
        <f t="shared" ref="G75:G120" si="1">G74+E75-F75</f>
        <v>24005.7</v>
      </c>
    </row>
    <row r="76" spans="7:7" ht="15.6" x14ac:dyDescent="0.3">
      <c r="G76" s="63">
        <f t="shared" si="1"/>
        <v>24005.7</v>
      </c>
    </row>
    <row r="77" spans="7:7" ht="15.6" x14ac:dyDescent="0.3">
      <c r="G77" s="63">
        <f t="shared" si="1"/>
        <v>24005.7</v>
      </c>
    </row>
    <row r="78" spans="7:7" ht="15.6" x14ac:dyDescent="0.3">
      <c r="G78" s="63">
        <f t="shared" si="1"/>
        <v>24005.7</v>
      </c>
    </row>
    <row r="79" spans="7:7" ht="15.6" x14ac:dyDescent="0.3">
      <c r="G79" s="63">
        <f t="shared" si="1"/>
        <v>24005.7</v>
      </c>
    </row>
    <row r="80" spans="7:7" ht="15.6" x14ac:dyDescent="0.3">
      <c r="G80" s="63">
        <f t="shared" si="1"/>
        <v>24005.7</v>
      </c>
    </row>
    <row r="81" spans="7:7" ht="15.6" x14ac:dyDescent="0.3">
      <c r="G81" s="63">
        <f t="shared" si="1"/>
        <v>24005.7</v>
      </c>
    </row>
    <row r="82" spans="7:7" ht="15.6" x14ac:dyDescent="0.3">
      <c r="G82" s="63">
        <f t="shared" si="1"/>
        <v>24005.7</v>
      </c>
    </row>
    <row r="83" spans="7:7" ht="15.6" x14ac:dyDescent="0.3">
      <c r="G83" s="63">
        <f t="shared" si="1"/>
        <v>24005.7</v>
      </c>
    </row>
    <row r="84" spans="7:7" ht="15.6" x14ac:dyDescent="0.3">
      <c r="G84" s="63">
        <f t="shared" si="1"/>
        <v>24005.7</v>
      </c>
    </row>
    <row r="85" spans="7:7" ht="15.6" x14ac:dyDescent="0.3">
      <c r="G85" s="63">
        <f t="shared" si="1"/>
        <v>24005.7</v>
      </c>
    </row>
    <row r="86" spans="7:7" ht="15.6" x14ac:dyDescent="0.3">
      <c r="G86" s="63">
        <f t="shared" si="1"/>
        <v>24005.7</v>
      </c>
    </row>
    <row r="87" spans="7:7" ht="15.6" x14ac:dyDescent="0.3">
      <c r="G87" s="63">
        <f t="shared" si="1"/>
        <v>24005.7</v>
      </c>
    </row>
    <row r="88" spans="7:7" ht="15.6" x14ac:dyDescent="0.3">
      <c r="G88" s="63">
        <f t="shared" si="1"/>
        <v>24005.7</v>
      </c>
    </row>
    <row r="89" spans="7:7" ht="15.6" x14ac:dyDescent="0.3">
      <c r="G89" s="63">
        <f t="shared" si="1"/>
        <v>24005.7</v>
      </c>
    </row>
    <row r="90" spans="7:7" ht="15.6" x14ac:dyDescent="0.3">
      <c r="G90" s="63">
        <f t="shared" si="1"/>
        <v>24005.7</v>
      </c>
    </row>
    <row r="91" spans="7:7" ht="15.6" x14ac:dyDescent="0.3">
      <c r="G91" s="63">
        <f t="shared" si="1"/>
        <v>24005.7</v>
      </c>
    </row>
    <row r="92" spans="7:7" ht="15.6" x14ac:dyDescent="0.3">
      <c r="G92" s="63">
        <f t="shared" si="1"/>
        <v>24005.7</v>
      </c>
    </row>
    <row r="93" spans="7:7" ht="15.6" x14ac:dyDescent="0.3">
      <c r="G93" s="63">
        <f t="shared" si="1"/>
        <v>24005.7</v>
      </c>
    </row>
    <row r="94" spans="7:7" ht="15.6" x14ac:dyDescent="0.3">
      <c r="G94" s="63">
        <f t="shared" si="1"/>
        <v>24005.7</v>
      </c>
    </row>
    <row r="95" spans="7:7" ht="15.6" x14ac:dyDescent="0.3">
      <c r="G95" s="63">
        <f t="shared" si="1"/>
        <v>24005.7</v>
      </c>
    </row>
    <row r="96" spans="7:7" ht="15.6" x14ac:dyDescent="0.3">
      <c r="G96" s="63">
        <f t="shared" si="1"/>
        <v>24005.7</v>
      </c>
    </row>
    <row r="97" spans="7:7" ht="15.6" x14ac:dyDescent="0.3">
      <c r="G97" s="63">
        <f t="shared" si="1"/>
        <v>24005.7</v>
      </c>
    </row>
    <row r="98" spans="7:7" ht="15.6" x14ac:dyDescent="0.3">
      <c r="G98" s="63">
        <f t="shared" si="1"/>
        <v>24005.7</v>
      </c>
    </row>
    <row r="99" spans="7:7" ht="15.6" x14ac:dyDescent="0.3">
      <c r="G99" s="63">
        <f t="shared" si="1"/>
        <v>24005.7</v>
      </c>
    </row>
    <row r="100" spans="7:7" ht="15.6" x14ac:dyDescent="0.3">
      <c r="G100" s="63">
        <f t="shared" si="1"/>
        <v>24005.7</v>
      </c>
    </row>
    <row r="101" spans="7:7" ht="15.6" x14ac:dyDescent="0.3">
      <c r="G101" s="63">
        <f t="shared" si="1"/>
        <v>24005.7</v>
      </c>
    </row>
    <row r="102" spans="7:7" ht="15.6" x14ac:dyDescent="0.3">
      <c r="G102" s="63">
        <f t="shared" si="1"/>
        <v>24005.7</v>
      </c>
    </row>
    <row r="103" spans="7:7" ht="15.6" x14ac:dyDescent="0.3">
      <c r="G103" s="63">
        <f t="shared" si="1"/>
        <v>24005.7</v>
      </c>
    </row>
    <row r="104" spans="7:7" ht="15.6" x14ac:dyDescent="0.3">
      <c r="G104" s="63">
        <f t="shared" si="1"/>
        <v>24005.7</v>
      </c>
    </row>
    <row r="105" spans="7:7" ht="15.6" x14ac:dyDescent="0.3">
      <c r="G105" s="63">
        <f t="shared" si="1"/>
        <v>24005.7</v>
      </c>
    </row>
    <row r="106" spans="7:7" ht="15.6" x14ac:dyDescent="0.3">
      <c r="G106" s="63">
        <f t="shared" si="1"/>
        <v>24005.7</v>
      </c>
    </row>
    <row r="107" spans="7:7" ht="15.6" x14ac:dyDescent="0.3">
      <c r="G107" s="63">
        <f t="shared" si="1"/>
        <v>24005.7</v>
      </c>
    </row>
    <row r="108" spans="7:7" ht="15.6" x14ac:dyDescent="0.3">
      <c r="G108" s="63">
        <f t="shared" si="1"/>
        <v>24005.7</v>
      </c>
    </row>
    <row r="109" spans="7:7" ht="15.6" x14ac:dyDescent="0.3">
      <c r="G109" s="63">
        <f t="shared" si="1"/>
        <v>24005.7</v>
      </c>
    </row>
    <row r="110" spans="7:7" ht="15.6" x14ac:dyDescent="0.3">
      <c r="G110" s="63">
        <f t="shared" si="1"/>
        <v>24005.7</v>
      </c>
    </row>
    <row r="111" spans="7:7" ht="15.6" x14ac:dyDescent="0.3">
      <c r="G111" s="63">
        <f t="shared" si="1"/>
        <v>24005.7</v>
      </c>
    </row>
    <row r="112" spans="7:7" ht="15.6" x14ac:dyDescent="0.3">
      <c r="G112" s="63">
        <f t="shared" si="1"/>
        <v>24005.7</v>
      </c>
    </row>
    <row r="113" spans="7:7" ht="15.6" x14ac:dyDescent="0.3">
      <c r="G113" s="63">
        <f t="shared" si="1"/>
        <v>24005.7</v>
      </c>
    </row>
    <row r="114" spans="7:7" ht="15.6" x14ac:dyDescent="0.3">
      <c r="G114" s="63">
        <f t="shared" si="1"/>
        <v>24005.7</v>
      </c>
    </row>
    <row r="115" spans="7:7" ht="15.6" x14ac:dyDescent="0.3">
      <c r="G115" s="63">
        <f t="shared" si="1"/>
        <v>24005.7</v>
      </c>
    </row>
    <row r="116" spans="7:7" ht="15.6" x14ac:dyDescent="0.3">
      <c r="G116" s="63">
        <f t="shared" si="1"/>
        <v>24005.7</v>
      </c>
    </row>
    <row r="117" spans="7:7" ht="15.6" x14ac:dyDescent="0.3">
      <c r="G117" s="63">
        <f t="shared" si="1"/>
        <v>24005.7</v>
      </c>
    </row>
    <row r="118" spans="7:7" ht="15.6" x14ac:dyDescent="0.3">
      <c r="G118" s="63">
        <f t="shared" si="1"/>
        <v>24005.7</v>
      </c>
    </row>
    <row r="119" spans="7:7" ht="15.6" x14ac:dyDescent="0.3">
      <c r="G119" s="63">
        <f t="shared" si="1"/>
        <v>24005.7</v>
      </c>
    </row>
    <row r="120" spans="7:7" ht="15.6" x14ac:dyDescent="0.3">
      <c r="G120" s="63">
        <f t="shared" si="1"/>
        <v>24005.7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1RA QUINC OCTUBRE 25</vt:lpstr>
      <vt:lpstr>Dep. GJ</vt:lpstr>
      <vt:lpstr>Cta. Temporal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Jara Pérez</dc:creator>
  <cp:lastModifiedBy>Giuliana Jara Pérez</cp:lastModifiedBy>
  <cp:lastPrinted>2025-09-11T22:27:46Z</cp:lastPrinted>
  <dcterms:created xsi:type="dcterms:W3CDTF">2024-12-13T10:12:22Z</dcterms:created>
  <dcterms:modified xsi:type="dcterms:W3CDTF">2025-10-31T18:46:49Z</dcterms:modified>
</cp:coreProperties>
</file>