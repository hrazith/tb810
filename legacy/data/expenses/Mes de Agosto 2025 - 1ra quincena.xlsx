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liana\Desktop\Giuliana\Torre Balta 810\PLANILLAS 2025\08 - 2025\1ra quincena Agosto 25\"/>
    </mc:Choice>
  </mc:AlternateContent>
  <xr:revisionPtr revIDLastSave="0" documentId="13_ncr:1_{6D587859-B064-4AC5-800B-E1A9F41E7751}" xr6:coauthVersionLast="47" xr6:coauthVersionMax="47" xr10:uidLastSave="{00000000-0000-0000-0000-000000000000}"/>
  <bookViews>
    <workbookView xWindow="-108" yWindow="-108" windowWidth="23256" windowHeight="12456" xr2:uid="{A53F12CC-3A1D-433A-9267-D36D3681399C}"/>
  </bookViews>
  <sheets>
    <sheet name="1RA QUINC AGOSTO 25" sheetId="1" r:id="rId1"/>
    <sheet name="Dep. GJ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1" i="1" l="1"/>
  <c r="I43" i="1"/>
  <c r="I39" i="1"/>
  <c r="G22" i="2"/>
  <c r="I27" i="1" l="1"/>
  <c r="G20" i="2"/>
  <c r="G21" i="2" s="1"/>
  <c r="G16" i="2"/>
  <c r="G17" i="2"/>
  <c r="G18" i="2" s="1"/>
  <c r="G19" i="2" s="1"/>
  <c r="G11" i="2"/>
  <c r="G12" i="2" s="1"/>
  <c r="G13" i="2" s="1"/>
  <c r="G14" i="2" s="1"/>
  <c r="G15" i="2" s="1"/>
  <c r="G10" i="2"/>
  <c r="G9" i="2"/>
  <c r="G8" i="2"/>
  <c r="G7" i="2"/>
  <c r="G6" i="2"/>
  <c r="I18" i="1"/>
  <c r="I14" i="1" l="1"/>
  <c r="I9" i="1"/>
  <c r="I4" i="1"/>
  <c r="I34" i="1"/>
  <c r="I2" i="1" l="1"/>
</calcChain>
</file>

<file path=xl/sharedStrings.xml><?xml version="1.0" encoding="utf-8"?>
<sst xmlns="http://schemas.openxmlformats.org/spreadsheetml/2006/main" count="131" uniqueCount="107">
  <si>
    <t>TOTAL :</t>
  </si>
  <si>
    <t>Julio Iglesias</t>
  </si>
  <si>
    <t>Adelanto de sueldo BCP</t>
  </si>
  <si>
    <t>Jorge Gutierrez</t>
  </si>
  <si>
    <t>Adelanto de sueldo IB 1073059751194</t>
  </si>
  <si>
    <t>Angel Palacios</t>
  </si>
  <si>
    <t>Adelanto de sueldo IB 1073043325411</t>
  </si>
  <si>
    <t>Carlos Sanchez</t>
  </si>
  <si>
    <t>Adelanto de sueldo IB 1073097921648</t>
  </si>
  <si>
    <t>LUZ DEL SUR</t>
  </si>
  <si>
    <t>SEDAPAL</t>
  </si>
  <si>
    <t>Essalud</t>
  </si>
  <si>
    <t>AFP-Prima</t>
  </si>
  <si>
    <t>AFP-Profuturo</t>
  </si>
  <si>
    <t>BCP 002 19319425139402614</t>
  </si>
  <si>
    <t>Servicio de Administracion de Edificio</t>
  </si>
  <si>
    <t>NEGOCIACIONES MADUENO &amp; GARAY EIRL</t>
  </si>
  <si>
    <t>INTERBANK 898-3186660040</t>
  </si>
  <si>
    <t>RUC 20601185076</t>
  </si>
  <si>
    <t>Servicio de gas del edificio. Periodo Contingencia</t>
  </si>
  <si>
    <t>SECURITY BONTHER SAC</t>
  </si>
  <si>
    <t>INTB</t>
  </si>
  <si>
    <t>898 3420246848</t>
  </si>
  <si>
    <t>Pelaez Lopez Fernando</t>
  </si>
  <si>
    <t>Recibo</t>
  </si>
  <si>
    <t>Vigilancia interna 24 horas</t>
  </si>
  <si>
    <t>ORDEN DE PAGO - AGOSTO 2025 (PRIMERA QUINCENA)</t>
  </si>
  <si>
    <t xml:space="preserve">TORRE BALTA 810 - MIRAFLORES </t>
  </si>
  <si>
    <t xml:space="preserve">PERSONAL PERMANENTE - QUINCENA </t>
  </si>
  <si>
    <t xml:space="preserve">VENCIMIENTO </t>
  </si>
  <si>
    <t>Consumo Julio 2025 31/07/2025</t>
  </si>
  <si>
    <t>Consumo Julio 2025 07/07/2025</t>
  </si>
  <si>
    <t>Consumo Julio 2025 31/07/25</t>
  </si>
  <si>
    <t>S106-0011705911</t>
  </si>
  <si>
    <t>Servicio de Agua - Julio 2025</t>
  </si>
  <si>
    <t>Periodo  05/07/2025 - 04/08/2025</t>
  </si>
  <si>
    <t xml:space="preserve">IMPUESTOS </t>
  </si>
  <si>
    <t>Mes Julio - 2025</t>
  </si>
  <si>
    <t>Ticket-N° 5491493224</t>
  </si>
  <si>
    <t>Ticket- N° 3491493607</t>
  </si>
  <si>
    <t xml:space="preserve">Impuestos ESSALUD </t>
  </si>
  <si>
    <t>Mes de Julio 25</t>
  </si>
  <si>
    <t xml:space="preserve"> B001-00273994</t>
  </si>
  <si>
    <t>04/08/25 - 2 BALON GRANDE CENTRAL</t>
  </si>
  <si>
    <t>B001-00274400</t>
  </si>
  <si>
    <t>08/08/25 - 2 BALON GRANDE CENTRAL</t>
  </si>
  <si>
    <t xml:space="preserve">Pendientes: </t>
  </si>
  <si>
    <t xml:space="preserve">Mes de Julio 25 - 06 - 13 - 20 - 23 - 27 - 28 - 29 días </t>
  </si>
  <si>
    <t>1ra quincena de agosto 25</t>
  </si>
  <si>
    <t>Reparación, soldadura de puerta peatonal SS</t>
  </si>
  <si>
    <t xml:space="preserve">Compra de materiales de limpieza del mes </t>
  </si>
  <si>
    <t xml:space="preserve">Compra de luminarias para reemplazo </t>
  </si>
  <si>
    <t>DNI 47501969</t>
  </si>
  <si>
    <t>GIULIANA JARA PEREZ</t>
  </si>
  <si>
    <t>DNI 47501969 GIULIANA JARA PEREZ</t>
  </si>
  <si>
    <t>UNIDOS ASCENSORES</t>
  </si>
  <si>
    <t>002-193-002515609090-11</t>
  </si>
  <si>
    <t>RUC 20603725761</t>
  </si>
  <si>
    <t>EB01-2614</t>
  </si>
  <si>
    <t>Mantenimiento Agosto 25</t>
  </si>
  <si>
    <t>B001-00275348</t>
  </si>
  <si>
    <t>15/08/25 - 2 BALON GRANDE CENTRAL</t>
  </si>
  <si>
    <t>Sra. Maria Elena reembolsar a la cuenta</t>
  </si>
  <si>
    <t xml:space="preserve">Sr. Juan Carlos Rengifo reembolsar a la cuenta </t>
  </si>
  <si>
    <t>BCP CCI</t>
  </si>
  <si>
    <t xml:space="preserve">Gastos: </t>
  </si>
  <si>
    <t xml:space="preserve">SUNARP - Copia Literal </t>
  </si>
  <si>
    <t>SUNARP - Copia Literal (Completo)</t>
  </si>
  <si>
    <t xml:space="preserve">Depositar a: </t>
  </si>
  <si>
    <t xml:space="preserve">DEVOLUCIÓN </t>
  </si>
  <si>
    <t>Juan Carlos Rengifo Dpto. 1303</t>
  </si>
  <si>
    <t>Pago por error a cuenta del edificio</t>
  </si>
  <si>
    <t xml:space="preserve">Ingresos </t>
  </si>
  <si>
    <t xml:space="preserve">Egresos </t>
  </si>
  <si>
    <t>Saldo</t>
  </si>
  <si>
    <t xml:space="preserve">Giuliana Jara BCP </t>
  </si>
  <si>
    <t xml:space="preserve">Fecha </t>
  </si>
  <si>
    <t xml:space="preserve">Departamento </t>
  </si>
  <si>
    <t xml:space="preserve">Descripción </t>
  </si>
  <si>
    <t>Cuota de mantenimiento julio y agosto 25</t>
  </si>
  <si>
    <t>SUNAT ESSALUD 07/2025</t>
  </si>
  <si>
    <t xml:space="preserve">Pagado </t>
  </si>
  <si>
    <t xml:space="preserve">Adelanto de mantenimiento </t>
  </si>
  <si>
    <t xml:space="preserve">1ra Quincena Agosto - Julio Iglesias </t>
  </si>
  <si>
    <t>1ra Quincena Agosto - Angel Palacios</t>
  </si>
  <si>
    <t xml:space="preserve">1ra Quincena Agosto - Carlos Sanchez </t>
  </si>
  <si>
    <t>1ra Quincena Agosto - Jorge Gutierrez</t>
  </si>
  <si>
    <t>Jorge Paredes</t>
  </si>
  <si>
    <t xml:space="preserve">Gheni Delgado </t>
  </si>
  <si>
    <t xml:space="preserve">Carlos Avila </t>
  </si>
  <si>
    <t xml:space="preserve">Margot Medina </t>
  </si>
  <si>
    <t xml:space="preserve">Laura Herrera </t>
  </si>
  <si>
    <t>204/304</t>
  </si>
  <si>
    <t xml:space="preserve">Carlos Paz </t>
  </si>
  <si>
    <t>Juan Carlos Rengifo</t>
  </si>
  <si>
    <t xml:space="preserve">Angel Aguirre </t>
  </si>
  <si>
    <t xml:space="preserve">Emilio Garreaud </t>
  </si>
  <si>
    <t>Cuota de mantenimiento mayo, junio, julio y agosto</t>
  </si>
  <si>
    <t>Nombre</t>
  </si>
  <si>
    <t>AFP Prima Agosto 25</t>
  </si>
  <si>
    <t>AFP Profuturo Agosto 25</t>
  </si>
  <si>
    <t>Administración 1ra Quincena Agosto 25</t>
  </si>
  <si>
    <t xml:space="preserve">Depósitos a Giuliana Jara cuotas de mantenimiento </t>
  </si>
  <si>
    <t>B001-00276424</t>
  </si>
  <si>
    <t>22/08/25 - 2 BALON GRANDE CENTRAL</t>
  </si>
  <si>
    <t>Pagado</t>
  </si>
  <si>
    <t xml:space="preserve">Depositar a Giuliana Jara para realizar la devolución a los propietarios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</si>
</sst>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wrapText="1"/>
    </xf>
    <xf numFmtId="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wrapText="1"/>
    </xf>
    <xf numFmtId="0" fontId="4" fillId="0" borderId="0" xfId="0" applyFont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4" fontId="2" fillId="2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5" fillId="5" borderId="0" xfId="0" applyFont="1" applyFill="1"/>
    <xf numFmtId="4" fontId="2" fillId="3" borderId="0" xfId="0" applyNumberFormat="1" applyFont="1" applyFill="1" applyAlignment="1">
      <alignment wrapText="1"/>
    </xf>
    <xf numFmtId="4" fontId="2" fillId="0" borderId="0" xfId="0" applyNumberFormat="1" applyFont="1" applyAlignment="1">
      <alignment wrapText="1"/>
    </xf>
    <xf numFmtId="0" fontId="4" fillId="0" borderId="0" xfId="0" applyFont="1" applyAlignment="1">
      <alignment vertical="center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4" fontId="2" fillId="0" borderId="0" xfId="0" applyNumberFormat="1" applyFont="1"/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4" fontId="6" fillId="0" borderId="0" xfId="0" applyNumberFormat="1" applyFont="1" applyAlignment="1">
      <alignment horizontal="center" wrapText="1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center" wrapText="1"/>
    </xf>
    <xf numFmtId="14" fontId="7" fillId="0" borderId="0" xfId="0" applyNumberFormat="1" applyFont="1" applyAlignment="1">
      <alignment horizontal="left" wrapText="1"/>
    </xf>
    <xf numFmtId="0" fontId="7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center"/>
    </xf>
    <xf numFmtId="4" fontId="7" fillId="0" borderId="0" xfId="0" applyNumberFormat="1" applyFont="1"/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4" fontId="7" fillId="6" borderId="0" xfId="0" applyNumberFormat="1" applyFont="1" applyFill="1" applyAlignment="1">
      <alignment horizontal="center"/>
    </xf>
    <xf numFmtId="0" fontId="1" fillId="0" borderId="0" xfId="0" applyFont="1" applyAlignment="1">
      <alignment horizontal="left" wrapText="1"/>
    </xf>
    <xf numFmtId="4" fontId="2" fillId="6" borderId="0" xfId="0" applyNumberFormat="1" applyFont="1" applyFill="1" applyAlignment="1">
      <alignment horizontal="right" wrapText="1"/>
    </xf>
    <xf numFmtId="14" fontId="2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14" fontId="2" fillId="6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4" fontId="2" fillId="0" borderId="0" xfId="0" applyNumberFormat="1" applyFont="1" applyFill="1" applyAlignment="1">
      <alignment horizontal="right" wrapText="1"/>
    </xf>
    <xf numFmtId="0" fontId="2" fillId="0" borderId="0" xfId="0" applyFont="1" applyFill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8240-9AA1-40F5-A424-16DFC2905C04}">
  <sheetPr>
    <pageSetUpPr fitToPage="1"/>
  </sheetPr>
  <dimension ref="A1:M79"/>
  <sheetViews>
    <sheetView tabSelected="1" zoomScale="70" zoomScaleNormal="70" workbookViewId="0">
      <selection activeCell="K64" sqref="K64"/>
    </sheetView>
  </sheetViews>
  <sheetFormatPr baseColWidth="10" defaultRowHeight="18" x14ac:dyDescent="0.35"/>
  <cols>
    <col min="1" max="1" width="18" style="45" customWidth="1"/>
    <col min="2" max="2" width="29.5546875" style="45" customWidth="1"/>
    <col min="3" max="3" width="7.77734375" style="6" customWidth="1"/>
    <col min="4" max="4" width="56" style="45" bestFit="1" customWidth="1"/>
    <col min="5" max="6" width="5.109375" style="6" customWidth="1"/>
    <col min="7" max="7" width="8.109375" style="6" customWidth="1"/>
    <col min="8" max="9" width="11.5546875" style="46"/>
    <col min="10" max="10" width="16.88671875" style="5" bestFit="1" customWidth="1"/>
    <col min="11" max="11" width="11.5546875" style="6" customWidth="1"/>
    <col min="12" max="12" width="15.5546875" style="6" customWidth="1"/>
    <col min="13" max="16384" width="11.5546875" style="6"/>
  </cols>
  <sheetData>
    <row r="1" spans="1:11" x14ac:dyDescent="0.35">
      <c r="A1" s="1" t="s">
        <v>27</v>
      </c>
      <c r="B1" s="2"/>
      <c r="C1" s="3"/>
      <c r="D1" s="2"/>
      <c r="E1" s="3"/>
      <c r="F1" s="3"/>
      <c r="G1" s="3"/>
      <c r="H1" s="4"/>
      <c r="I1" s="4"/>
    </row>
    <row r="2" spans="1:11" s="10" customFormat="1" x14ac:dyDescent="0.35">
      <c r="A2" s="1" t="s">
        <v>26</v>
      </c>
      <c r="B2" s="2"/>
      <c r="C2" s="7"/>
      <c r="D2" s="2"/>
      <c r="E2" s="7"/>
      <c r="F2" s="7"/>
      <c r="G2" s="7"/>
      <c r="H2" s="8" t="s">
        <v>0</v>
      </c>
      <c r="I2" s="8">
        <f>SUM(I3:I58)</f>
        <v>11803</v>
      </c>
      <c r="J2" s="9" t="s">
        <v>29</v>
      </c>
    </row>
    <row r="3" spans="1:11" s="10" customFormat="1" x14ac:dyDescent="0.35">
      <c r="A3" s="2"/>
      <c r="B3" s="2"/>
      <c r="C3" s="7"/>
      <c r="D3" s="2"/>
      <c r="E3" s="7"/>
      <c r="F3" s="7"/>
      <c r="G3" s="7"/>
      <c r="H3" s="4"/>
      <c r="I3" s="4"/>
      <c r="J3" s="11"/>
    </row>
    <row r="4" spans="1:11" s="10" customFormat="1" x14ac:dyDescent="0.35">
      <c r="A4" s="12" t="s">
        <v>28</v>
      </c>
      <c r="B4" s="13"/>
      <c r="C4" s="14"/>
      <c r="D4" s="13"/>
      <c r="E4" s="14"/>
      <c r="F4" s="14"/>
      <c r="G4" s="14"/>
      <c r="H4" s="15"/>
      <c r="I4" s="4">
        <f>SUM(H5:H8)</f>
        <v>2000</v>
      </c>
      <c r="J4" s="11"/>
    </row>
    <row r="5" spans="1:11" s="10" customFormat="1" x14ac:dyDescent="0.35">
      <c r="A5" s="2"/>
      <c r="B5" s="16" t="s">
        <v>1</v>
      </c>
      <c r="C5" s="7"/>
      <c r="D5" s="16" t="s">
        <v>2</v>
      </c>
      <c r="E5" s="7"/>
      <c r="F5" s="7"/>
      <c r="G5" s="7"/>
      <c r="H5" s="73">
        <v>500</v>
      </c>
      <c r="I5" s="4"/>
      <c r="K5" s="74" t="s">
        <v>81</v>
      </c>
    </row>
    <row r="6" spans="1:11" s="10" customFormat="1" x14ac:dyDescent="0.35">
      <c r="A6" s="2"/>
      <c r="B6" s="17" t="s">
        <v>3</v>
      </c>
      <c r="C6" s="18"/>
      <c r="D6" s="17" t="s">
        <v>4</v>
      </c>
      <c r="E6" s="18"/>
      <c r="F6" s="18"/>
      <c r="G6" s="18"/>
      <c r="H6" s="73">
        <v>500</v>
      </c>
      <c r="I6" s="4"/>
      <c r="K6" s="74" t="s">
        <v>81</v>
      </c>
    </row>
    <row r="7" spans="1:11" s="10" customFormat="1" x14ac:dyDescent="0.35">
      <c r="A7" s="2"/>
      <c r="B7" s="16" t="s">
        <v>5</v>
      </c>
      <c r="C7" s="7"/>
      <c r="D7" s="16" t="s">
        <v>6</v>
      </c>
      <c r="E7" s="7"/>
      <c r="F7" s="7"/>
      <c r="G7" s="7"/>
      <c r="H7" s="73">
        <v>500</v>
      </c>
      <c r="I7" s="4"/>
      <c r="K7" s="74" t="s">
        <v>81</v>
      </c>
    </row>
    <row r="8" spans="1:11" s="10" customFormat="1" x14ac:dyDescent="0.35">
      <c r="A8" s="2"/>
      <c r="B8" s="17" t="s">
        <v>7</v>
      </c>
      <c r="C8" s="18"/>
      <c r="D8" s="17" t="s">
        <v>8</v>
      </c>
      <c r="E8" s="18"/>
      <c r="F8" s="18"/>
      <c r="G8" s="18"/>
      <c r="H8" s="73">
        <v>500</v>
      </c>
      <c r="I8" s="4"/>
      <c r="K8" s="74" t="s">
        <v>81</v>
      </c>
    </row>
    <row r="9" spans="1:11" s="10" customFormat="1" x14ac:dyDescent="0.35">
      <c r="A9" s="12" t="s">
        <v>9</v>
      </c>
      <c r="B9" s="13"/>
      <c r="C9" s="14"/>
      <c r="D9" s="13"/>
      <c r="E9" s="14"/>
      <c r="F9" s="14"/>
      <c r="G9" s="14"/>
      <c r="H9" s="15"/>
      <c r="I9" s="4">
        <f>SUM(H10:H12)</f>
        <v>2101.5</v>
      </c>
      <c r="J9" s="11"/>
    </row>
    <row r="10" spans="1:11" s="10" customFormat="1" x14ac:dyDescent="0.35">
      <c r="A10" s="2"/>
      <c r="B10" s="2">
        <v>1466143</v>
      </c>
      <c r="C10" s="7"/>
      <c r="D10" s="16" t="s">
        <v>30</v>
      </c>
      <c r="E10" s="7"/>
      <c r="F10" s="7"/>
      <c r="G10" s="7"/>
      <c r="H10" s="4">
        <v>1598</v>
      </c>
      <c r="I10" s="4"/>
      <c r="J10" s="11">
        <v>45887</v>
      </c>
    </row>
    <row r="11" spans="1:11" s="10" customFormat="1" x14ac:dyDescent="0.35">
      <c r="A11" s="2"/>
      <c r="B11" s="2">
        <v>1446699</v>
      </c>
      <c r="C11" s="7"/>
      <c r="D11" s="16" t="s">
        <v>31</v>
      </c>
      <c r="E11" s="7"/>
      <c r="F11" s="7"/>
      <c r="G11" s="7"/>
      <c r="H11" s="4">
        <v>489.7</v>
      </c>
      <c r="I11" s="4"/>
      <c r="J11" s="11">
        <v>45860</v>
      </c>
    </row>
    <row r="12" spans="1:11" s="10" customFormat="1" x14ac:dyDescent="0.35">
      <c r="A12" s="2"/>
      <c r="B12" s="2">
        <v>1466144</v>
      </c>
      <c r="C12" s="7"/>
      <c r="D12" s="16" t="s">
        <v>32</v>
      </c>
      <c r="E12" s="7"/>
      <c r="F12" s="7"/>
      <c r="G12" s="7"/>
      <c r="H12" s="4">
        <v>13.8</v>
      </c>
      <c r="I12" s="4"/>
      <c r="J12" s="11">
        <v>45887</v>
      </c>
    </row>
    <row r="13" spans="1:11" s="10" customFormat="1" x14ac:dyDescent="0.35">
      <c r="A13" s="2"/>
      <c r="B13" s="2"/>
      <c r="C13" s="7"/>
      <c r="D13" s="2"/>
      <c r="E13" s="7"/>
      <c r="F13" s="7"/>
      <c r="G13" s="7"/>
      <c r="H13" s="4"/>
      <c r="I13" s="4"/>
      <c r="J13" s="11"/>
    </row>
    <row r="14" spans="1:11" s="10" customFormat="1" x14ac:dyDescent="0.35">
      <c r="A14" s="12" t="s">
        <v>10</v>
      </c>
      <c r="B14" s="13"/>
      <c r="C14" s="14"/>
      <c r="D14" s="13"/>
      <c r="E14" s="14"/>
      <c r="F14" s="14"/>
      <c r="G14" s="14"/>
      <c r="H14" s="15"/>
      <c r="I14" s="4">
        <f>SUM(H15)</f>
        <v>2188.6</v>
      </c>
      <c r="J14" s="11"/>
    </row>
    <row r="15" spans="1:11" s="10" customFormat="1" x14ac:dyDescent="0.35">
      <c r="A15" s="2"/>
      <c r="B15" s="16" t="s">
        <v>33</v>
      </c>
      <c r="C15" s="7"/>
      <c r="D15" s="16" t="s">
        <v>34</v>
      </c>
      <c r="E15" s="7"/>
      <c r="F15" s="7"/>
      <c r="G15" s="7"/>
      <c r="H15" s="4">
        <v>2188.6</v>
      </c>
      <c r="I15" s="4"/>
      <c r="J15" s="11">
        <v>45890</v>
      </c>
    </row>
    <row r="16" spans="1:11" s="10" customFormat="1" x14ac:dyDescent="0.35">
      <c r="A16" s="2"/>
      <c r="B16" s="2">
        <v>5375398</v>
      </c>
      <c r="C16" s="7"/>
      <c r="D16" s="19" t="s">
        <v>35</v>
      </c>
      <c r="E16" s="7"/>
      <c r="F16" s="7"/>
      <c r="G16" s="7"/>
      <c r="H16" s="4"/>
      <c r="I16" s="4"/>
      <c r="J16" s="11"/>
    </row>
    <row r="17" spans="1:11" s="10" customFormat="1" x14ac:dyDescent="0.35">
      <c r="A17" s="2"/>
      <c r="B17" s="2"/>
      <c r="C17" s="7"/>
      <c r="D17" s="2"/>
      <c r="E17" s="7"/>
      <c r="F17" s="7"/>
      <c r="G17" s="7"/>
      <c r="H17" s="4"/>
      <c r="I17" s="4"/>
      <c r="J17" s="11"/>
    </row>
    <row r="18" spans="1:11" s="25" customFormat="1" ht="17.399999999999999" customHeight="1" x14ac:dyDescent="0.3">
      <c r="A18" s="20" t="s">
        <v>36</v>
      </c>
      <c r="B18" s="21"/>
      <c r="C18" s="22"/>
      <c r="D18" s="21"/>
      <c r="E18" s="22"/>
      <c r="F18" s="22"/>
      <c r="G18" s="22"/>
      <c r="H18" s="23"/>
      <c r="I18" s="24">
        <f>SUM(H20:H24)</f>
        <v>967.7</v>
      </c>
      <c r="J18" s="11"/>
    </row>
    <row r="19" spans="1:11" s="10" customFormat="1" x14ac:dyDescent="0.35">
      <c r="A19" s="28" t="s">
        <v>14</v>
      </c>
      <c r="B19" s="26"/>
      <c r="C19" s="27"/>
      <c r="D19" s="31" t="s">
        <v>54</v>
      </c>
      <c r="E19" s="27"/>
      <c r="F19" s="27"/>
      <c r="G19" s="27"/>
      <c r="H19" s="29"/>
      <c r="I19" s="4"/>
      <c r="J19" s="11"/>
    </row>
    <row r="20" spans="1:11" s="10" customFormat="1" x14ac:dyDescent="0.35">
      <c r="A20" s="2"/>
      <c r="B20" s="2" t="s">
        <v>12</v>
      </c>
      <c r="C20" s="7"/>
      <c r="D20" s="16" t="s">
        <v>37</v>
      </c>
      <c r="E20" s="7"/>
      <c r="F20" s="7"/>
      <c r="G20" s="7"/>
      <c r="H20" s="73">
        <v>257.47000000000003</v>
      </c>
      <c r="I20" s="4"/>
      <c r="J20" s="11">
        <v>45876</v>
      </c>
      <c r="K20" s="75" t="s">
        <v>81</v>
      </c>
    </row>
    <row r="21" spans="1:11" s="10" customFormat="1" ht="16.2" customHeight="1" x14ac:dyDescent="0.35">
      <c r="A21" s="2"/>
      <c r="B21" s="2"/>
      <c r="C21" s="7"/>
      <c r="D21" s="30" t="s">
        <v>38</v>
      </c>
      <c r="E21" s="7"/>
      <c r="F21" s="7"/>
      <c r="G21" s="7"/>
      <c r="H21" s="4"/>
      <c r="I21" s="4"/>
      <c r="J21" s="11"/>
    </row>
    <row r="22" spans="1:11" s="10" customFormat="1" x14ac:dyDescent="0.35">
      <c r="A22" s="2"/>
      <c r="B22" s="16" t="s">
        <v>13</v>
      </c>
      <c r="C22" s="7"/>
      <c r="D22" s="16" t="s">
        <v>37</v>
      </c>
      <c r="E22" s="7"/>
      <c r="F22" s="7"/>
      <c r="G22" s="7"/>
      <c r="H22" s="73">
        <v>283.23</v>
      </c>
      <c r="I22" s="4"/>
      <c r="J22" s="11">
        <v>45876</v>
      </c>
      <c r="K22" s="75" t="s">
        <v>81</v>
      </c>
    </row>
    <row r="23" spans="1:11" s="10" customFormat="1" ht="16.2" customHeight="1" x14ac:dyDescent="0.35">
      <c r="A23" s="2"/>
      <c r="B23" s="2"/>
      <c r="C23" s="7"/>
      <c r="D23" s="30" t="s">
        <v>39</v>
      </c>
      <c r="E23" s="7"/>
      <c r="F23" s="7"/>
      <c r="G23" s="7"/>
      <c r="H23" s="4"/>
      <c r="I23" s="4"/>
      <c r="J23" s="11"/>
    </row>
    <row r="24" spans="1:11" s="10" customFormat="1" x14ac:dyDescent="0.35">
      <c r="A24" s="2"/>
      <c r="B24" s="2" t="s">
        <v>11</v>
      </c>
      <c r="C24" s="7"/>
      <c r="D24" s="2" t="s">
        <v>40</v>
      </c>
      <c r="E24" s="7"/>
      <c r="F24" s="7"/>
      <c r="G24" s="7"/>
      <c r="H24" s="73">
        <v>427</v>
      </c>
      <c r="I24" s="4"/>
      <c r="J24" s="11">
        <v>45894</v>
      </c>
      <c r="K24" s="75" t="s">
        <v>81</v>
      </c>
    </row>
    <row r="25" spans="1:11" s="10" customFormat="1" x14ac:dyDescent="0.35">
      <c r="A25" s="2"/>
      <c r="B25" s="2"/>
      <c r="C25" s="7"/>
      <c r="D25" s="30" t="s">
        <v>41</v>
      </c>
      <c r="E25" s="7"/>
      <c r="F25" s="7"/>
      <c r="G25" s="7"/>
      <c r="H25" s="4"/>
      <c r="I25" s="4"/>
      <c r="J25" s="11"/>
    </row>
    <row r="26" spans="1:11" s="10" customFormat="1" ht="16.2" customHeight="1" x14ac:dyDescent="0.35">
      <c r="A26" s="2"/>
      <c r="B26" s="2"/>
      <c r="C26" s="7"/>
      <c r="D26" s="30"/>
      <c r="E26" s="7"/>
      <c r="F26" s="7"/>
      <c r="G26" s="7"/>
      <c r="H26" s="4"/>
      <c r="I26" s="4"/>
      <c r="J26" s="11"/>
    </row>
    <row r="27" spans="1:11" s="10" customFormat="1" x14ac:dyDescent="0.35">
      <c r="A27" s="12" t="s">
        <v>16</v>
      </c>
      <c r="B27" s="13"/>
      <c r="C27" s="14"/>
      <c r="D27" s="13"/>
      <c r="E27" s="14"/>
      <c r="F27" s="14"/>
      <c r="G27" s="14"/>
      <c r="H27" s="15"/>
      <c r="I27" s="4">
        <f>SUM(H29:H31)</f>
        <v>840</v>
      </c>
      <c r="J27" s="11"/>
    </row>
    <row r="28" spans="1:11" s="10" customFormat="1" x14ac:dyDescent="0.35">
      <c r="A28" s="28" t="s">
        <v>17</v>
      </c>
      <c r="B28" s="26"/>
      <c r="C28" s="27"/>
      <c r="D28" s="31" t="s">
        <v>18</v>
      </c>
      <c r="E28" s="27"/>
      <c r="F28" s="27"/>
      <c r="G28" s="27"/>
      <c r="H28" s="29"/>
      <c r="I28" s="4"/>
      <c r="J28" s="11"/>
    </row>
    <row r="29" spans="1:11" s="10" customFormat="1" x14ac:dyDescent="0.35">
      <c r="A29" s="2"/>
      <c r="B29" s="16" t="s">
        <v>60</v>
      </c>
      <c r="C29" s="7"/>
      <c r="D29" s="16" t="s">
        <v>61</v>
      </c>
      <c r="E29" s="7"/>
      <c r="F29" s="7"/>
      <c r="G29" s="7"/>
      <c r="H29" s="4">
        <v>420</v>
      </c>
      <c r="I29" s="4"/>
      <c r="J29" s="11"/>
    </row>
    <row r="30" spans="1:11" s="10" customFormat="1" x14ac:dyDescent="0.35">
      <c r="A30" s="2"/>
      <c r="B30" s="2"/>
      <c r="C30" s="7"/>
      <c r="D30" s="19" t="s">
        <v>19</v>
      </c>
      <c r="E30" s="7"/>
      <c r="F30" s="7"/>
      <c r="G30" s="7"/>
      <c r="H30" s="4"/>
      <c r="I30" s="4"/>
      <c r="J30" s="11"/>
    </row>
    <row r="31" spans="1:11" s="10" customFormat="1" x14ac:dyDescent="0.35">
      <c r="A31" s="2"/>
      <c r="B31" s="2" t="s">
        <v>103</v>
      </c>
      <c r="C31" s="7"/>
      <c r="D31" s="16" t="s">
        <v>104</v>
      </c>
      <c r="E31" s="7"/>
      <c r="F31" s="7"/>
      <c r="G31" s="7"/>
      <c r="H31" s="4">
        <v>420</v>
      </c>
      <c r="I31" s="4"/>
      <c r="J31" s="11"/>
    </row>
    <row r="32" spans="1:11" s="10" customFormat="1" x14ac:dyDescent="0.35">
      <c r="A32" s="2"/>
      <c r="B32" s="2"/>
      <c r="C32" s="7"/>
      <c r="D32" s="19" t="s">
        <v>19</v>
      </c>
      <c r="E32" s="7"/>
      <c r="F32" s="7"/>
      <c r="G32" s="7"/>
      <c r="H32" s="4"/>
      <c r="I32" s="4"/>
      <c r="J32" s="11"/>
    </row>
    <row r="33" spans="1:11" s="10" customFormat="1" x14ac:dyDescent="0.35">
      <c r="A33" s="2"/>
      <c r="B33" s="2"/>
      <c r="C33" s="7"/>
      <c r="D33" s="19"/>
      <c r="E33" s="7"/>
      <c r="F33" s="7"/>
      <c r="G33" s="7"/>
      <c r="H33" s="4"/>
      <c r="I33" s="4"/>
      <c r="J33" s="11"/>
    </row>
    <row r="34" spans="1:11" x14ac:dyDescent="0.35">
      <c r="A34" s="34" t="s">
        <v>20</v>
      </c>
      <c r="B34" s="35"/>
      <c r="C34" s="35"/>
      <c r="D34" s="35"/>
      <c r="E34" s="35"/>
      <c r="F34" s="35"/>
      <c r="G34" s="35"/>
      <c r="H34" s="36"/>
      <c r="I34" s="4">
        <f>H36</f>
        <v>1120</v>
      </c>
      <c r="J34" s="11"/>
    </row>
    <row r="35" spans="1:11" x14ac:dyDescent="0.35">
      <c r="A35" s="37" t="s">
        <v>21</v>
      </c>
      <c r="B35" s="38" t="s">
        <v>22</v>
      </c>
      <c r="C35" s="39"/>
      <c r="D35" s="40" t="s">
        <v>23</v>
      </c>
      <c r="E35" s="39"/>
      <c r="F35" s="39"/>
      <c r="G35" s="39"/>
      <c r="H35" s="41"/>
      <c r="I35" s="42"/>
      <c r="J35" s="11"/>
    </row>
    <row r="36" spans="1:11" x14ac:dyDescent="0.35">
      <c r="A36" s="3"/>
      <c r="B36" s="3" t="s">
        <v>24</v>
      </c>
      <c r="C36" s="3"/>
      <c r="D36" s="32" t="s">
        <v>25</v>
      </c>
      <c r="E36" s="3"/>
      <c r="F36" s="3"/>
      <c r="G36" s="3"/>
      <c r="H36" s="4">
        <v>1120</v>
      </c>
      <c r="I36" s="42"/>
      <c r="J36" s="11"/>
    </row>
    <row r="37" spans="1:11" x14ac:dyDescent="0.35">
      <c r="A37" s="3"/>
      <c r="B37" s="3"/>
      <c r="C37" s="3"/>
      <c r="D37" s="43" t="s">
        <v>47</v>
      </c>
      <c r="E37" s="3"/>
      <c r="F37" s="3"/>
      <c r="G37" s="3"/>
      <c r="H37" s="42"/>
      <c r="I37" s="42"/>
      <c r="J37" s="11"/>
    </row>
    <row r="38" spans="1:11" x14ac:dyDescent="0.35">
      <c r="A38" s="3"/>
      <c r="B38" s="3"/>
      <c r="C38" s="3"/>
      <c r="D38" s="43"/>
      <c r="E38" s="3"/>
      <c r="F38" s="3"/>
      <c r="G38" s="3"/>
      <c r="H38" s="42"/>
      <c r="I38" s="42"/>
      <c r="J38" s="11"/>
    </row>
    <row r="39" spans="1:11" x14ac:dyDescent="0.35">
      <c r="A39" s="12" t="s">
        <v>53</v>
      </c>
      <c r="B39" s="13"/>
      <c r="C39" s="14"/>
      <c r="D39" s="13"/>
      <c r="E39" s="14"/>
      <c r="F39" s="14"/>
      <c r="G39" s="14"/>
      <c r="H39" s="15"/>
      <c r="I39" s="4">
        <f>H41</f>
        <v>600</v>
      </c>
      <c r="J39" s="11"/>
    </row>
    <row r="40" spans="1:11" x14ac:dyDescent="0.35">
      <c r="A40" s="28" t="s">
        <v>14</v>
      </c>
      <c r="B40" s="26"/>
      <c r="C40" s="27"/>
      <c r="D40" s="31" t="s">
        <v>52</v>
      </c>
      <c r="E40" s="27"/>
      <c r="F40" s="27"/>
      <c r="G40" s="27"/>
      <c r="H40" s="29"/>
      <c r="I40" s="4"/>
      <c r="J40" s="11"/>
    </row>
    <row r="41" spans="1:11" x14ac:dyDescent="0.35">
      <c r="A41" s="2"/>
      <c r="B41" s="2"/>
      <c r="C41" s="7"/>
      <c r="D41" s="16" t="s">
        <v>15</v>
      </c>
      <c r="E41" s="7"/>
      <c r="F41" s="7"/>
      <c r="G41" s="7"/>
      <c r="H41" s="73">
        <v>600</v>
      </c>
      <c r="I41" s="4"/>
      <c r="J41" s="11"/>
      <c r="K41" s="76" t="s">
        <v>105</v>
      </c>
    </row>
    <row r="42" spans="1:11" x14ac:dyDescent="0.35">
      <c r="A42" s="2"/>
      <c r="B42" s="2"/>
      <c r="C42" s="7"/>
      <c r="D42" s="19" t="s">
        <v>48</v>
      </c>
      <c r="E42" s="7"/>
      <c r="F42" s="7"/>
      <c r="G42" s="7"/>
      <c r="H42" s="4"/>
      <c r="I42" s="4"/>
      <c r="J42" s="11"/>
    </row>
    <row r="43" spans="1:11" x14ac:dyDescent="0.35">
      <c r="A43" s="2"/>
      <c r="B43" s="2"/>
      <c r="C43" s="7"/>
      <c r="D43" s="16" t="s">
        <v>65</v>
      </c>
      <c r="E43" s="7"/>
      <c r="F43" s="7"/>
      <c r="G43" s="7"/>
      <c r="H43" s="4"/>
      <c r="I43" s="4">
        <f>H44+H45</f>
        <v>187.2</v>
      </c>
      <c r="J43" s="11"/>
    </row>
    <row r="44" spans="1:11" x14ac:dyDescent="0.35">
      <c r="A44" s="2"/>
      <c r="B44" s="2"/>
      <c r="C44" s="7"/>
      <c r="D44" s="16" t="s">
        <v>66</v>
      </c>
      <c r="E44" s="7"/>
      <c r="F44" s="7"/>
      <c r="G44" s="7"/>
      <c r="H44" s="4">
        <v>17.100000000000001</v>
      </c>
      <c r="I44" s="4"/>
      <c r="J44" s="11"/>
    </row>
    <row r="45" spans="1:11" x14ac:dyDescent="0.35">
      <c r="A45" s="2"/>
      <c r="B45" s="2"/>
      <c r="C45" s="7"/>
      <c r="D45" s="16" t="s">
        <v>67</v>
      </c>
      <c r="E45" s="7"/>
      <c r="F45" s="7"/>
      <c r="G45" s="7"/>
      <c r="H45" s="4">
        <v>170.1</v>
      </c>
      <c r="I45" s="4"/>
      <c r="J45" s="11"/>
    </row>
    <row r="46" spans="1:11" x14ac:dyDescent="0.35">
      <c r="A46" s="2"/>
      <c r="B46" s="72"/>
      <c r="C46" s="72"/>
      <c r="D46" s="19"/>
      <c r="E46" s="7"/>
      <c r="F46" s="7"/>
      <c r="G46" s="7"/>
      <c r="H46" s="4"/>
      <c r="I46" s="4"/>
      <c r="J46" s="11"/>
    </row>
    <row r="47" spans="1:11" x14ac:dyDescent="0.35">
      <c r="A47" s="34" t="s">
        <v>55</v>
      </c>
      <c r="B47" s="35"/>
      <c r="C47" s="35"/>
      <c r="D47" s="35"/>
      <c r="E47" s="35"/>
      <c r="F47" s="35"/>
      <c r="G47" s="35"/>
      <c r="H47" s="36"/>
      <c r="I47" s="4">
        <v>498</v>
      </c>
      <c r="J47" s="11"/>
    </row>
    <row r="48" spans="1:11" x14ac:dyDescent="0.35">
      <c r="A48" s="37" t="s">
        <v>64</v>
      </c>
      <c r="B48" s="38" t="s">
        <v>56</v>
      </c>
      <c r="C48" s="39"/>
      <c r="D48" s="37" t="s">
        <v>57</v>
      </c>
      <c r="E48" s="39"/>
      <c r="F48" s="39"/>
      <c r="G48" s="39"/>
      <c r="H48" s="41"/>
      <c r="I48" s="42"/>
      <c r="J48" s="11"/>
    </row>
    <row r="49" spans="1:13" x14ac:dyDescent="0.35">
      <c r="A49" s="3"/>
      <c r="B49" s="3" t="s">
        <v>58</v>
      </c>
      <c r="C49" s="3"/>
      <c r="D49" s="3" t="s">
        <v>59</v>
      </c>
      <c r="E49" s="3"/>
      <c r="F49" s="3"/>
      <c r="G49" s="3"/>
      <c r="H49" s="4">
        <v>498</v>
      </c>
      <c r="I49" s="42"/>
      <c r="J49" s="11"/>
    </row>
    <row r="50" spans="1:13" x14ac:dyDescent="0.35">
      <c r="A50" s="2"/>
      <c r="B50" s="51"/>
      <c r="C50" s="51"/>
      <c r="D50" s="19"/>
      <c r="E50" s="7"/>
      <c r="F50" s="7"/>
      <c r="G50" s="7"/>
      <c r="H50" s="4"/>
      <c r="I50" s="4"/>
      <c r="J50" s="11"/>
    </row>
    <row r="51" spans="1:13" x14ac:dyDescent="0.35">
      <c r="A51" s="12" t="s">
        <v>53</v>
      </c>
      <c r="B51" s="13"/>
      <c r="C51" s="14"/>
      <c r="D51" s="13"/>
      <c r="E51" s="35"/>
      <c r="F51" s="35"/>
      <c r="G51" s="35"/>
      <c r="H51" s="36"/>
      <c r="I51" s="4">
        <f>H53+H55+H57+H59</f>
        <v>1300</v>
      </c>
      <c r="J51" s="11"/>
      <c r="K51" s="6" t="s">
        <v>106</v>
      </c>
    </row>
    <row r="52" spans="1:13" x14ac:dyDescent="0.35">
      <c r="A52" s="28" t="s">
        <v>14</v>
      </c>
      <c r="B52" s="26"/>
      <c r="C52" s="27"/>
      <c r="D52" s="31" t="s">
        <v>52</v>
      </c>
      <c r="E52" s="39"/>
      <c r="F52" s="39"/>
      <c r="G52" s="39"/>
      <c r="H52" s="41"/>
      <c r="I52" s="4"/>
      <c r="J52" s="11"/>
    </row>
    <row r="53" spans="1:13" s="10" customFormat="1" x14ac:dyDescent="0.35">
      <c r="A53" s="2"/>
      <c r="B53" s="16" t="s">
        <v>42</v>
      </c>
      <c r="C53" s="7"/>
      <c r="D53" s="16" t="s">
        <v>43</v>
      </c>
      <c r="E53" s="7"/>
      <c r="F53" s="7"/>
      <c r="G53" s="7"/>
      <c r="H53" s="78">
        <v>440</v>
      </c>
      <c r="I53" s="78"/>
      <c r="J53" s="79"/>
      <c r="K53" s="80"/>
      <c r="L53" s="11" t="s">
        <v>68</v>
      </c>
      <c r="M53" s="45" t="s">
        <v>62</v>
      </c>
    </row>
    <row r="54" spans="1:13" s="10" customFormat="1" x14ac:dyDescent="0.35">
      <c r="A54" s="2"/>
      <c r="B54" s="2"/>
      <c r="C54" s="7"/>
      <c r="D54" s="19" t="s">
        <v>19</v>
      </c>
      <c r="E54" s="7"/>
      <c r="F54" s="7"/>
      <c r="G54" s="7"/>
      <c r="H54" s="78"/>
      <c r="I54" s="78"/>
      <c r="J54" s="79"/>
      <c r="K54" s="79"/>
      <c r="L54" s="11"/>
    </row>
    <row r="55" spans="1:13" s="33" customFormat="1" ht="17.399999999999999" customHeight="1" x14ac:dyDescent="0.35">
      <c r="A55" s="32"/>
      <c r="B55" s="16" t="s">
        <v>44</v>
      </c>
      <c r="C55" s="7"/>
      <c r="D55" s="16" t="s">
        <v>45</v>
      </c>
      <c r="E55" s="7"/>
      <c r="F55" s="7"/>
      <c r="G55" s="7"/>
      <c r="H55" s="78">
        <v>420</v>
      </c>
      <c r="I55" s="78"/>
      <c r="J55" s="81"/>
      <c r="K55" s="80"/>
      <c r="L55" s="11" t="s">
        <v>68</v>
      </c>
      <c r="M55" s="45" t="s">
        <v>63</v>
      </c>
    </row>
    <row r="56" spans="1:13" s="10" customFormat="1" x14ac:dyDescent="0.35">
      <c r="A56" s="2"/>
      <c r="B56" s="2"/>
      <c r="C56" s="7"/>
      <c r="D56" s="19" t="s">
        <v>19</v>
      </c>
      <c r="E56" s="7"/>
      <c r="F56" s="7"/>
      <c r="G56" s="7"/>
      <c r="H56" s="78"/>
      <c r="I56" s="78"/>
      <c r="J56" s="79"/>
      <c r="K56" s="79"/>
      <c r="L56" s="11"/>
    </row>
    <row r="57" spans="1:13" s="10" customFormat="1" x14ac:dyDescent="0.35">
      <c r="A57" s="2"/>
      <c r="B57" s="2" t="s">
        <v>69</v>
      </c>
      <c r="C57" s="7"/>
      <c r="D57" s="2" t="s">
        <v>70</v>
      </c>
      <c r="E57" s="7"/>
      <c r="F57" s="7"/>
      <c r="G57" s="7"/>
      <c r="H57" s="4">
        <v>440</v>
      </c>
      <c r="I57" s="4"/>
      <c r="L57" s="11" t="s">
        <v>68</v>
      </c>
      <c r="M57" s="45" t="s">
        <v>63</v>
      </c>
    </row>
    <row r="58" spans="1:13" s="10" customFormat="1" x14ac:dyDescent="0.35">
      <c r="A58" s="2"/>
      <c r="B58" s="2"/>
      <c r="C58" s="7"/>
      <c r="D58" s="19" t="s">
        <v>71</v>
      </c>
      <c r="E58" s="7"/>
      <c r="F58" s="7"/>
      <c r="G58" s="7"/>
      <c r="H58" s="4"/>
      <c r="I58" s="4"/>
      <c r="J58" s="11"/>
    </row>
    <row r="59" spans="1:13" s="10" customFormat="1" x14ac:dyDescent="0.35">
      <c r="A59" s="2"/>
      <c r="B59" s="2"/>
      <c r="C59" s="7"/>
      <c r="D59" s="2"/>
      <c r="E59" s="7"/>
      <c r="F59" s="7"/>
      <c r="G59" s="7"/>
      <c r="H59" s="4"/>
      <c r="I59" s="4"/>
      <c r="J59" s="11"/>
    </row>
    <row r="60" spans="1:13" s="10" customFormat="1" x14ac:dyDescent="0.35">
      <c r="A60" s="2"/>
      <c r="B60" s="2"/>
      <c r="C60" s="7"/>
      <c r="D60" s="2"/>
      <c r="E60" s="7"/>
      <c r="F60" s="7"/>
      <c r="G60" s="7"/>
      <c r="H60" s="4"/>
      <c r="I60" s="4"/>
      <c r="J60" s="11"/>
    </row>
    <row r="61" spans="1:13" s="10" customFormat="1" x14ac:dyDescent="0.35">
      <c r="A61" s="2"/>
      <c r="B61" s="2"/>
      <c r="C61" s="7"/>
      <c r="D61" s="2"/>
      <c r="E61" s="7"/>
      <c r="F61" s="7"/>
      <c r="G61" s="7"/>
      <c r="H61" s="4"/>
      <c r="I61" s="4"/>
      <c r="J61" s="11"/>
    </row>
    <row r="62" spans="1:13" s="10" customFormat="1" x14ac:dyDescent="0.35">
      <c r="A62" s="2"/>
      <c r="B62" s="2"/>
      <c r="C62" s="7"/>
      <c r="D62" s="2"/>
      <c r="E62" s="7"/>
      <c r="F62" s="7"/>
      <c r="G62" s="7"/>
      <c r="H62" s="4"/>
      <c r="I62" s="4"/>
      <c r="J62" s="11"/>
    </row>
    <row r="63" spans="1:13" s="10" customFormat="1" x14ac:dyDescent="0.35">
      <c r="A63" s="2"/>
      <c r="B63" s="2"/>
      <c r="C63" s="7"/>
      <c r="D63" s="19"/>
      <c r="E63" s="7"/>
      <c r="F63" s="7"/>
      <c r="G63" s="7"/>
      <c r="H63" s="4"/>
      <c r="I63" s="4"/>
      <c r="J63" s="11"/>
    </row>
    <row r="64" spans="1:13" x14ac:dyDescent="0.35">
      <c r="A64" s="2"/>
      <c r="B64" s="2"/>
      <c r="C64" s="2"/>
      <c r="D64" s="77" t="s">
        <v>46</v>
      </c>
      <c r="E64" s="7"/>
      <c r="F64" s="7"/>
      <c r="G64" s="44"/>
      <c r="H64" s="4"/>
      <c r="I64" s="4"/>
      <c r="J64" s="11"/>
    </row>
    <row r="65" spans="1:10" x14ac:dyDescent="0.35">
      <c r="A65" s="2"/>
      <c r="B65" s="2"/>
      <c r="C65" s="2"/>
      <c r="D65" s="45" t="s">
        <v>49</v>
      </c>
      <c r="E65" s="7"/>
      <c r="F65" s="7"/>
      <c r="G65" s="7"/>
      <c r="H65" s="4"/>
      <c r="I65" s="4"/>
      <c r="J65" s="11"/>
    </row>
    <row r="66" spans="1:10" x14ac:dyDescent="0.35">
      <c r="A66" s="2"/>
      <c r="B66" s="2"/>
      <c r="C66" s="2"/>
      <c r="D66" s="45" t="s">
        <v>50</v>
      </c>
      <c r="E66" s="7"/>
      <c r="F66" s="7"/>
      <c r="G66" s="44"/>
      <c r="H66" s="4"/>
      <c r="I66" s="4"/>
      <c r="J66" s="11"/>
    </row>
    <row r="67" spans="1:10" x14ac:dyDescent="0.35">
      <c r="D67" s="45" t="s">
        <v>51</v>
      </c>
      <c r="J67" s="11"/>
    </row>
    <row r="68" spans="1:10" x14ac:dyDescent="0.35">
      <c r="A68" s="47"/>
      <c r="J68" s="11"/>
    </row>
    <row r="69" spans="1:10" x14ac:dyDescent="0.35">
      <c r="A69" s="48"/>
      <c r="B69" s="49"/>
      <c r="C69" s="50"/>
      <c r="J69" s="11"/>
    </row>
    <row r="70" spans="1:10" x14ac:dyDescent="0.35">
      <c r="A70" s="48"/>
      <c r="B70" s="49"/>
      <c r="C70" s="50"/>
      <c r="J70" s="11"/>
    </row>
    <row r="71" spans="1:10" x14ac:dyDescent="0.35">
      <c r="A71" s="48"/>
      <c r="B71" s="49"/>
      <c r="C71" s="50"/>
      <c r="J71" s="11"/>
    </row>
    <row r="72" spans="1:10" x14ac:dyDescent="0.35">
      <c r="A72" s="48"/>
      <c r="B72" s="49"/>
      <c r="C72" s="50"/>
      <c r="J72" s="11"/>
    </row>
    <row r="73" spans="1:10" x14ac:dyDescent="0.35">
      <c r="A73" s="48"/>
      <c r="B73" s="49"/>
      <c r="C73" s="50"/>
      <c r="J73" s="11"/>
    </row>
    <row r="74" spans="1:10" x14ac:dyDescent="0.35">
      <c r="A74" s="48"/>
      <c r="B74" s="49"/>
      <c r="C74" s="50"/>
    </row>
    <row r="75" spans="1:10" x14ac:dyDescent="0.35">
      <c r="A75" s="48"/>
      <c r="B75" s="49"/>
      <c r="C75" s="50"/>
    </row>
    <row r="76" spans="1:10" x14ac:dyDescent="0.35">
      <c r="C76" s="50"/>
    </row>
    <row r="77" spans="1:10" x14ac:dyDescent="0.35">
      <c r="C77" s="50"/>
    </row>
    <row r="78" spans="1:10" x14ac:dyDescent="0.35">
      <c r="B78" s="48"/>
      <c r="C78" s="50"/>
    </row>
    <row r="79" spans="1:10" x14ac:dyDescent="0.35">
      <c r="B79" s="48"/>
      <c r="C79" s="50"/>
    </row>
  </sheetData>
  <mergeCells count="1">
    <mergeCell ref="B46:C46"/>
  </mergeCells>
  <pageMargins left="0.70866141732283472" right="0.70866141732283472" top="0.74803149606299213" bottom="0.74803149606299213" header="0.31496062992125984" footer="0.31496062992125984"/>
  <pageSetup paperSize="9" scale="58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934C-16E5-4A14-B214-0BF93CD93194}">
  <dimension ref="A1:I28"/>
  <sheetViews>
    <sheetView zoomScale="90" zoomScaleNormal="90" workbookViewId="0">
      <selection activeCell="D25" sqref="D25"/>
    </sheetView>
  </sheetViews>
  <sheetFormatPr baseColWidth="10" defaultRowHeight="15.6" x14ac:dyDescent="0.3"/>
  <cols>
    <col min="1" max="1" width="13.88671875" style="57" bestFit="1" customWidth="1"/>
    <col min="2" max="2" width="15.109375" style="57" bestFit="1" customWidth="1"/>
    <col min="3" max="3" width="19.21875" style="57" bestFit="1" customWidth="1"/>
    <col min="4" max="4" width="50.33203125" style="57" bestFit="1" customWidth="1"/>
    <col min="5" max="7" width="14.109375" style="56" customWidth="1"/>
    <col min="8" max="16384" width="11.5546875" style="57"/>
  </cols>
  <sheetData>
    <row r="1" spans="1:8" x14ac:dyDescent="0.3">
      <c r="A1" s="52" t="s">
        <v>27</v>
      </c>
      <c r="B1" s="53"/>
      <c r="C1" s="53"/>
      <c r="D1" s="54"/>
      <c r="E1" s="55"/>
    </row>
    <row r="2" spans="1:8" x14ac:dyDescent="0.3">
      <c r="A2" s="52" t="s">
        <v>102</v>
      </c>
      <c r="B2" s="53"/>
      <c r="C2" s="53"/>
      <c r="D2" s="58"/>
      <c r="E2" s="59"/>
    </row>
    <row r="3" spans="1:8" x14ac:dyDescent="0.3">
      <c r="A3" s="53"/>
      <c r="B3" s="53"/>
      <c r="C3" s="53"/>
      <c r="D3" s="58"/>
      <c r="E3" s="55"/>
    </row>
    <row r="4" spans="1:8" x14ac:dyDescent="0.3">
      <c r="A4" s="60" t="s">
        <v>75</v>
      </c>
      <c r="B4" s="61"/>
      <c r="C4" s="61"/>
      <c r="D4" s="62"/>
      <c r="E4" s="55"/>
      <c r="F4" s="55"/>
      <c r="G4" s="55"/>
    </row>
    <row r="5" spans="1:8" s="65" customFormat="1" x14ac:dyDescent="0.3">
      <c r="A5" s="65" t="s">
        <v>76</v>
      </c>
      <c r="B5" s="65" t="s">
        <v>77</v>
      </c>
      <c r="C5" s="65" t="s">
        <v>98</v>
      </c>
      <c r="D5" s="69" t="s">
        <v>78</v>
      </c>
      <c r="E5" s="59" t="s">
        <v>72</v>
      </c>
      <c r="F5" s="59" t="s">
        <v>73</v>
      </c>
      <c r="G5" s="59" t="s">
        <v>74</v>
      </c>
    </row>
    <row r="6" spans="1:8" x14ac:dyDescent="0.3">
      <c r="A6" s="63">
        <v>45890</v>
      </c>
      <c r="B6" s="66">
        <v>1601</v>
      </c>
      <c r="C6" s="64" t="s">
        <v>87</v>
      </c>
      <c r="D6" s="57" t="s">
        <v>79</v>
      </c>
      <c r="E6" s="67">
        <v>960</v>
      </c>
      <c r="F6" s="67"/>
      <c r="G6" s="67">
        <f>E6-F6</f>
        <v>960</v>
      </c>
    </row>
    <row r="7" spans="1:8" x14ac:dyDescent="0.3">
      <c r="A7" s="63">
        <v>45890</v>
      </c>
      <c r="B7" s="66">
        <v>501</v>
      </c>
      <c r="C7" s="64" t="s">
        <v>88</v>
      </c>
      <c r="D7" s="57" t="s">
        <v>82</v>
      </c>
      <c r="E7" s="67">
        <v>500</v>
      </c>
      <c r="F7" s="67"/>
      <c r="G7" s="67">
        <f>G6+E7-F7</f>
        <v>1460</v>
      </c>
    </row>
    <row r="8" spans="1:8" x14ac:dyDescent="0.3">
      <c r="A8" s="63">
        <v>45890</v>
      </c>
      <c r="B8" s="66">
        <v>503</v>
      </c>
      <c r="C8" s="64" t="s">
        <v>89</v>
      </c>
      <c r="D8" s="57" t="s">
        <v>82</v>
      </c>
      <c r="E8" s="67">
        <v>325.89999999999998</v>
      </c>
      <c r="F8" s="67"/>
      <c r="G8" s="67">
        <f>G7+E8-F8</f>
        <v>1785.9</v>
      </c>
    </row>
    <row r="9" spans="1:8" x14ac:dyDescent="0.3">
      <c r="A9" s="63">
        <v>45890</v>
      </c>
      <c r="B9" s="66">
        <v>302</v>
      </c>
      <c r="C9" s="64" t="s">
        <v>90</v>
      </c>
      <c r="D9" s="57" t="s">
        <v>82</v>
      </c>
      <c r="E9" s="67">
        <v>325.89999999999998</v>
      </c>
      <c r="F9" s="67"/>
      <c r="G9" s="67">
        <f>G8+E9-F9</f>
        <v>2111.8000000000002</v>
      </c>
    </row>
    <row r="10" spans="1:8" x14ac:dyDescent="0.3">
      <c r="A10" s="63">
        <v>45890</v>
      </c>
      <c r="B10" s="66">
        <v>1301</v>
      </c>
      <c r="C10" s="64" t="s">
        <v>91</v>
      </c>
      <c r="D10" s="57" t="s">
        <v>82</v>
      </c>
      <c r="E10" s="67">
        <v>325.89999999999998</v>
      </c>
      <c r="F10" s="67"/>
      <c r="G10" s="67">
        <f>G9+E10-F10</f>
        <v>2437.7000000000003</v>
      </c>
    </row>
    <row r="11" spans="1:8" x14ac:dyDescent="0.3">
      <c r="A11" s="63">
        <v>45890</v>
      </c>
      <c r="B11" s="56"/>
      <c r="C11" s="70"/>
      <c r="D11" s="57" t="s">
        <v>80</v>
      </c>
      <c r="E11" s="67"/>
      <c r="F11" s="67">
        <v>427</v>
      </c>
      <c r="G11" s="67">
        <f>G10+E11-F11</f>
        <v>2010.7000000000003</v>
      </c>
    </row>
    <row r="12" spans="1:8" x14ac:dyDescent="0.3">
      <c r="A12" s="63">
        <v>45890</v>
      </c>
      <c r="B12" s="56"/>
      <c r="C12" s="70"/>
      <c r="D12" s="57" t="s">
        <v>83</v>
      </c>
      <c r="E12" s="67"/>
      <c r="F12" s="67">
        <v>500</v>
      </c>
      <c r="G12" s="67">
        <f t="shared" ref="G12:G14" si="0">G11+E12-F12</f>
        <v>1510.7000000000003</v>
      </c>
    </row>
    <row r="13" spans="1:8" x14ac:dyDescent="0.3">
      <c r="A13" s="63">
        <v>45890</v>
      </c>
      <c r="B13" s="56"/>
      <c r="C13" s="70"/>
      <c r="D13" s="57" t="s">
        <v>84</v>
      </c>
      <c r="E13" s="67"/>
      <c r="F13" s="67">
        <v>500</v>
      </c>
      <c r="G13" s="67">
        <f t="shared" si="0"/>
        <v>1010.7000000000003</v>
      </c>
    </row>
    <row r="14" spans="1:8" x14ac:dyDescent="0.3">
      <c r="A14" s="63">
        <v>45890</v>
      </c>
      <c r="B14" s="56"/>
      <c r="C14" s="70"/>
      <c r="D14" s="57" t="s">
        <v>85</v>
      </c>
      <c r="E14" s="67"/>
      <c r="F14" s="67">
        <v>500</v>
      </c>
      <c r="G14" s="67">
        <f t="shared" si="0"/>
        <v>510.70000000000027</v>
      </c>
    </row>
    <row r="15" spans="1:8" x14ac:dyDescent="0.3">
      <c r="A15" s="63">
        <v>45890</v>
      </c>
      <c r="B15" s="56"/>
      <c r="C15" s="70"/>
      <c r="D15" s="57" t="s">
        <v>86</v>
      </c>
      <c r="E15" s="67"/>
      <c r="F15" s="67">
        <v>500</v>
      </c>
      <c r="G15" s="67">
        <f>G14+E15-F15</f>
        <v>10.700000000000273</v>
      </c>
    </row>
    <row r="16" spans="1:8" x14ac:dyDescent="0.3">
      <c r="A16" s="63">
        <v>45890</v>
      </c>
      <c r="B16" s="56" t="s">
        <v>92</v>
      </c>
      <c r="C16" s="70" t="s">
        <v>93</v>
      </c>
      <c r="D16" s="57" t="s">
        <v>82</v>
      </c>
      <c r="E16" s="67">
        <v>300</v>
      </c>
      <c r="F16" s="67"/>
      <c r="G16" s="67">
        <f t="shared" ref="G16:G19" si="1">G15+E16-F16</f>
        <v>310.70000000000027</v>
      </c>
      <c r="H16" s="68"/>
    </row>
    <row r="17" spans="1:9" x14ac:dyDescent="0.3">
      <c r="A17" s="63">
        <v>45890</v>
      </c>
      <c r="B17" s="56">
        <v>1303</v>
      </c>
      <c r="C17" s="70" t="s">
        <v>94</v>
      </c>
      <c r="D17" s="57" t="s">
        <v>82</v>
      </c>
      <c r="E17" s="67">
        <v>500</v>
      </c>
      <c r="F17" s="67"/>
      <c r="G17" s="67">
        <f t="shared" si="1"/>
        <v>810.70000000000027</v>
      </c>
    </row>
    <row r="18" spans="1:9" x14ac:dyDescent="0.3">
      <c r="A18" s="63">
        <v>45890</v>
      </c>
      <c r="B18" s="56">
        <v>1701</v>
      </c>
      <c r="C18" s="70" t="s">
        <v>95</v>
      </c>
      <c r="D18" s="57" t="s">
        <v>97</v>
      </c>
      <c r="E18" s="67">
        <v>2793</v>
      </c>
      <c r="F18" s="67"/>
      <c r="G18" s="67">
        <f t="shared" si="1"/>
        <v>3603.7000000000003</v>
      </c>
    </row>
    <row r="19" spans="1:9" x14ac:dyDescent="0.3">
      <c r="A19" s="63">
        <v>45890</v>
      </c>
      <c r="B19" s="56">
        <v>1202</v>
      </c>
      <c r="C19" s="70" t="s">
        <v>96</v>
      </c>
      <c r="D19" s="57" t="s">
        <v>82</v>
      </c>
      <c r="E19" s="67">
        <v>200</v>
      </c>
      <c r="F19" s="67"/>
      <c r="G19" s="67">
        <f t="shared" si="1"/>
        <v>3803.7000000000003</v>
      </c>
    </row>
    <row r="20" spans="1:9" x14ac:dyDescent="0.3">
      <c r="A20" s="63">
        <v>45891</v>
      </c>
      <c r="B20" s="56"/>
      <c r="C20" s="56"/>
      <c r="D20" s="57" t="s">
        <v>99</v>
      </c>
      <c r="E20" s="67"/>
      <c r="F20" s="67">
        <v>257.98</v>
      </c>
      <c r="G20" s="67">
        <f t="shared" ref="G20:G21" si="2">G19+E20-F20</f>
        <v>3545.7200000000003</v>
      </c>
    </row>
    <row r="21" spans="1:9" x14ac:dyDescent="0.3">
      <c r="A21" s="63">
        <v>45891</v>
      </c>
      <c r="B21" s="56"/>
      <c r="C21" s="56"/>
      <c r="D21" s="57" t="s">
        <v>100</v>
      </c>
      <c r="E21" s="67"/>
      <c r="F21" s="67">
        <v>283.79000000000002</v>
      </c>
      <c r="G21" s="67">
        <f t="shared" si="2"/>
        <v>3261.9300000000003</v>
      </c>
    </row>
    <row r="22" spans="1:9" x14ac:dyDescent="0.3">
      <c r="A22" s="63">
        <v>45891</v>
      </c>
      <c r="B22" s="56"/>
      <c r="C22" s="56"/>
      <c r="D22" s="57" t="s">
        <v>101</v>
      </c>
      <c r="E22" s="67"/>
      <c r="F22" s="67">
        <v>600</v>
      </c>
      <c r="G22" s="71">
        <f>G21+E22-F22</f>
        <v>2661.9300000000003</v>
      </c>
      <c r="H22" s="68"/>
      <c r="I22" s="68"/>
    </row>
    <row r="23" spans="1:9" x14ac:dyDescent="0.3">
      <c r="A23" s="63"/>
      <c r="B23" s="56"/>
      <c r="C23" s="56"/>
      <c r="E23" s="67"/>
      <c r="F23" s="67"/>
      <c r="G23" s="67"/>
    </row>
    <row r="24" spans="1:9" x14ac:dyDescent="0.3">
      <c r="A24" s="63"/>
      <c r="B24" s="56"/>
      <c r="C24" s="56"/>
      <c r="E24" s="67"/>
      <c r="F24" s="67"/>
      <c r="G24" s="67"/>
    </row>
    <row r="25" spans="1:9" x14ac:dyDescent="0.3">
      <c r="A25" s="63"/>
      <c r="B25" s="56"/>
      <c r="C25" s="56"/>
      <c r="E25" s="67"/>
      <c r="F25" s="67"/>
      <c r="G25" s="67"/>
    </row>
    <row r="26" spans="1:9" x14ac:dyDescent="0.3">
      <c r="A26" s="63"/>
      <c r="B26" s="56"/>
      <c r="C26" s="56"/>
      <c r="E26" s="67"/>
      <c r="F26" s="67"/>
      <c r="G26" s="67"/>
    </row>
    <row r="27" spans="1:9" x14ac:dyDescent="0.3">
      <c r="B27" s="56"/>
      <c r="C27" s="56"/>
    </row>
    <row r="28" spans="1:9" x14ac:dyDescent="0.3">
      <c r="B28" s="56"/>
      <c r="C28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1RA QUINC AGOSTO 25</vt:lpstr>
      <vt:lpstr>Dep. 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Giuliana Jara Pérez</cp:lastModifiedBy>
  <cp:lastPrinted>2025-08-14T15:16:44Z</cp:lastPrinted>
  <dcterms:created xsi:type="dcterms:W3CDTF">2024-12-13T10:12:22Z</dcterms:created>
  <dcterms:modified xsi:type="dcterms:W3CDTF">2025-08-29T02:28:23Z</dcterms:modified>
</cp:coreProperties>
</file>