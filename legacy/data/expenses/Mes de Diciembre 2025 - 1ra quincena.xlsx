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5134DFC3-83B8-4343-B047-DAA519BA5751}" xr6:coauthVersionLast="47" xr6:coauthVersionMax="47" xr10:uidLastSave="{00000000-0000-0000-0000-000000000000}"/>
  <bookViews>
    <workbookView xWindow="3680" yWindow="800" windowWidth="27680" windowHeight="28920" xr2:uid="{A53F12CC-3A1D-433A-9267-D36D3681399C}"/>
  </bookViews>
  <sheets>
    <sheet name="1RA QUINC DICIEMBRE 25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44" i="1" l="1"/>
  <c r="I2" i="1"/>
  <c r="L4" i="1" l="1"/>
  <c r="I40" i="1"/>
  <c r="I29" i="1"/>
  <c r="I22" i="1"/>
  <c r="I18" i="1"/>
  <c r="I13" i="1"/>
  <c r="I4" i="1"/>
  <c r="J11" i="1" l="1"/>
  <c r="J9" i="1"/>
  <c r="J7" i="1"/>
  <c r="J5" i="1"/>
  <c r="I51" i="1" l="1"/>
  <c r="I38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<sst xmlns="http://schemas.openxmlformats.org/spreadsheetml/2006/main" count="176" uniqueCount="135">
  <si>
    <t>TOTAL :</t>
  </si>
  <si>
    <t>Julio Iglesias</t>
  </si>
  <si>
    <t>Adelanto de sueldo BCP</t>
  </si>
  <si>
    <t>Jorge Gutierrez</t>
  </si>
  <si>
    <t>Adelanto de sueldo IB 1073059751194</t>
  </si>
  <si>
    <t>Angel Palacios</t>
  </si>
  <si>
    <t>Adelanto de sueldo IB 1073043325411</t>
  </si>
  <si>
    <t>Carlos Sanchez</t>
  </si>
  <si>
    <t>Adelanto de sueldo IB 1073097921648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</si>
  <si>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</si>
  <si>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</si>
  <si>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</si>
  <si>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</si>
  <si>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</si>
  <si>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</si>
  <si>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</si>
  <si>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>NEGOCIACIONES MADUENO &amp; GARAY EIRL</t>
  </si>
  <si>
    <t>RUC 20601185076</t>
  </si>
  <si>
    <t>Servicio de gas del edificio. Periodo Contingencia</t>
  </si>
  <si>
    <t xml:space="preserve">TORRE BALTA 810 - MIRAFLORES </t>
  </si>
  <si>
    <t xml:space="preserve">PERSONAL PERMANENTE - QUINCENA </t>
  </si>
  <si>
    <t xml:space="preserve">VENCIMIENTO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</si>
  <si>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</si>
  <si>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</si>
  <si>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</si>
  <si>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</si>
  <si>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</si>
  <si>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</si>
  <si>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</si>
  <si>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</si>
  <si>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</si>
  <si>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</si>
  <si>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</si>
  <si>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</si>
  <si>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</si>
  <si>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</si>
  <si>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</si>
  <si>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</si>
  <si>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</si>
  <si>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</si>
  <si>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</si>
  <si>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</si>
  <si>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</si>
  <si>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</si>
  <si>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</si>
  <si>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</si>
  <si>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</si>
  <si>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</si>
  <si>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</si>
  <si>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</si>
  <si>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</si>
  <si>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</si>
  <si>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</si>
  <si>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</si>
  <si>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</si>
  <si>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</si>
  <si>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</si>
  <si>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</si>
  <si>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</si>
  <si>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</si>
  <si>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</si>
  <si>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</si>
  <si>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</si>
  <si>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</si>
  <si>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</si>
  <si>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</si>
  <si>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</si>
  <si>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</si>
  <si>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</si>
  <si>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</si>
  <si>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</si>
  <si>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</si>
  <si>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</si>
  <si>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</si>
  <si>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</si>
  <si>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</si>
  <si>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</si>
  <si>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</si>
  <si>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</si>
  <si>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</si>
  <si>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</si>
  <si>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</si>
  <si>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</si>
  <si>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</si>
  <si>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</si>
  <si>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</si>
  <si>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</si>
  <si>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BBVA 0011-0368-0200512792</t>
  </si>
  <si>
    <t>Apoyo recibos de gas - Julio 25</t>
  </si>
  <si>
    <t>BBVA 0011-0366020080971</t>
  </si>
  <si>
    <t xml:space="preserve">SUNAT </t>
  </si>
  <si>
    <t>Impuestos Agosto 25</t>
  </si>
  <si>
    <t xml:space="preserve">DEPOSITO A CTA. DE GIULIANA JARA BCP PARA REALIZAR LOS PAGOS 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</si>
  <si>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</si>
  <si>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</si>
  <si>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</si>
  <si>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</si>
  <si>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</si>
  <si>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</si>
  <si>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</si>
  <si>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</si>
  <si>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</si>
  <si>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</si>
  <si>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>ORDEN DE PAGO - DICIEMBRE 2025 (PRIMERA QUINCENA)</t>
  </si>
  <si>
    <t>Gratificación 15 de diciembre</t>
  </si>
  <si>
    <t>Consumo Noviembre 2025 17/12/2025</t>
  </si>
  <si>
    <t>Consumo Noviembre 2025 10/12/2025</t>
  </si>
  <si>
    <t>Consumo Noviembre 2025 30/11/25</t>
  </si>
  <si>
    <t>S106-0018375802</t>
  </si>
  <si>
    <t>Servicio de Agua - Noviembre 2025</t>
  </si>
  <si>
    <t>Periodo  05/11/2025 - 03/12/2025</t>
  </si>
  <si>
    <t>Mes Noviembre - 2025</t>
  </si>
  <si>
    <t>Ticket-N°  5510096207</t>
  </si>
  <si>
    <t>Ticket- N°  3510096231</t>
  </si>
  <si>
    <t>B002-00002531</t>
  </si>
  <si>
    <t>29/11/25 - 2 BALON GRANDE CENTRAL</t>
  </si>
  <si>
    <t>B002-00002537</t>
  </si>
  <si>
    <t>04/12/25 - 2 BALON GRANDE CENTRAL</t>
  </si>
  <si>
    <t>B002-00002543</t>
  </si>
  <si>
    <t>08/12/25 - 2 BALON GRANDE CENTRAL</t>
  </si>
  <si>
    <t>E001-75</t>
  </si>
  <si>
    <t>1ra quincena de diciembre 25</t>
  </si>
  <si>
    <t xml:space="preserve">Compras varios: </t>
  </si>
  <si>
    <t xml:space="preserve">Almacenes J&amp;SC EIRL Materiales de limpieza </t>
  </si>
  <si>
    <t xml:space="preserve">Goyita Ferreteria Luminarias área común </t>
  </si>
  <si>
    <t xml:space="preserve">Ferretería Claudia Materiales navidad </t>
  </si>
  <si>
    <t>Distribuidora J&amp;D EIRL 03 Paq. Bolsas para cilindros</t>
  </si>
  <si>
    <t xml:space="preserve">Delivery compra de bolsas </t>
  </si>
  <si>
    <t xml:space="preserve">Delivery Dr. Franco San Miguel Acta </t>
  </si>
  <si>
    <t xml:space="preserve">Delivery Dr. Franco San Miguel Otorgamiento de poder </t>
  </si>
  <si>
    <t>Mes de Noviembre 25</t>
  </si>
  <si>
    <t>segunda quincena de noviembre 2025</t>
  </si>
  <si>
    <t>saldo BBVA</t>
  </si>
  <si>
    <t>in the hole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</si>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</sst>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0" fontId="3" fillId="6" borderId="0" xfId="0" applyFont="1" applyFill="1" applyAlignment="1">
      <alignment vertical="center"/>
    </xf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left" vertical="center"/>
    </xf>
    <xf numFmtId="4" fontId="2" fillId="6" borderId="0" xfId="0" applyNumberFormat="1" applyFont="1" applyFill="1" applyAlignment="1">
      <alignment horizontal="right" wrapText="1"/>
    </xf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 applyAlignment="1">
      <alignment horizontal="center" wrapText="1"/>
    </xf>
    <xf numFmtId="4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wrapText="1"/>
    </xf>
    <xf numFmtId="4" fontId="2" fillId="5" borderId="0" xfId="0" applyNumberFormat="1" applyFont="1" applyFill="1" applyAlignment="1">
      <alignment horizontal="right" wrapText="1"/>
    </xf>
    <xf numFmtId="0" fontId="2" fillId="8" borderId="0" xfId="0" applyFont="1" applyFill="1" applyAlignment="1">
      <alignment horizontal="left" wrapText="1"/>
    </xf>
    <xf numFmtId="4" fontId="2" fillId="8" borderId="0" xfId="0" applyNumberFormat="1" applyFont="1" applyFill="1" applyAlignment="1">
      <alignment horizontal="right" wrapText="1"/>
    </xf>
    <xf numFmtId="0" fontId="9" fillId="0" borderId="0" xfId="0" applyFont="1"/>
    <xf numFmtId="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4" fontId="8" fillId="0" borderId="0" xfId="0" applyNumberFormat="1" applyFont="1"/>
    <xf numFmtId="4" fontId="2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49CC46F-19CB-8BA5-58DD-3E03B820E6ED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76200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B318D8-FE1A-2B4A-6825-A87232621A6C}"/>
            </a:ext>
          </a:extLst>
        </xdr:cNvPr>
        <xdr:cNvSpPr>
          <a:spLocks noChangeAspect="1" noChangeArrowheads="1"/>
        </xdr:cNvSpPr>
      </xdr:nvSpPr>
      <xdr:spPr bwMode="auto">
        <a:xfrm>
          <a:off x="1242822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F85"/>
  <sheetViews>
    <sheetView tabSelected="1" zoomScaleNormal="100" workbookViewId="0">
      <selection activeCell="L4" sqref="L4"/>
    </sheetView>
  </sheetViews>
  <sheetFormatPr baseColWidth="10" defaultColWidth="11.5" defaultRowHeight="19" x14ac:dyDescent="0.25"/>
  <cols>
    <col min="1" max="1" width="18.33203125" style="30" customWidth="1"/>
    <col min="2" max="2" width="29.5" style="30" customWidth="1"/>
    <col min="3" max="3" width="7.83203125" style="5" customWidth="1"/>
    <col min="4" max="4" width="56" style="30" bestFit="1" customWidth="1"/>
    <col min="5" max="6" width="5.1640625" style="5" customWidth="1"/>
    <col min="7" max="7" width="8.1640625" style="5" customWidth="1"/>
    <col min="8" max="8" width="11.5" style="31"/>
    <col min="9" max="9" width="13.5" style="31" customWidth="1"/>
    <col min="10" max="10" width="16.83203125" style="64" bestFit="1" customWidth="1"/>
    <col min="11" max="11" width="17.83203125" style="5" customWidth="1"/>
    <col min="12" max="12" width="15.5" style="75" customWidth="1"/>
    <col min="13" max="13" width="11.5" style="5"/>
    <col min="14" max="14" width="14.6640625" style="5" customWidth="1"/>
    <col min="15" max="16384" width="11.5" style="5"/>
  </cols>
  <sheetData>
    <row r="1" spans="1:31" x14ac:dyDescent="0.25">
      <c r="A1" s="1" t="s">
        <v>19</v>
      </c>
      <c r="B1" s="2"/>
      <c r="C1" s="3"/>
      <c r="D1" s="2"/>
      <c r="E1" s="3"/>
      <c r="F1" s="3"/>
      <c r="G1" s="3"/>
      <c r="H1" s="4"/>
      <c r="I1" s="4"/>
      <c r="L1" s="75" t="s">
        <v>133</v>
      </c>
      <c r="N1" s="5" t="s">
        <v>132</v>
      </c>
      <c r="AE1"/>
    </row>
    <row r="2" spans="1:31" s="8" customFormat="1" ht="20" x14ac:dyDescent="0.25">
      <c r="A2" s="1" t="s">
        <v>103</v>
      </c>
      <c r="B2" s="2"/>
      <c r="C2" s="6"/>
      <c r="D2" s="2"/>
      <c r="E2" s="6"/>
      <c r="F2" s="6"/>
      <c r="G2" s="6"/>
      <c r="H2" s="7" t="s">
        <v>0</v>
      </c>
      <c r="I2" s="7">
        <f>SUM(I3:I38)+I55</f>
        <v>18640.379999999997</v>
      </c>
      <c r="J2" s="65" t="s">
        <v>21</v>
      </c>
      <c r="K2"/>
      <c r="L2" s="76">
        <f>SUM(I2-I4-I22-I40-I51)</f>
        <v>7588.7999999999984</v>
      </c>
      <c r="N2" s="8">
        <v>1625</v>
      </c>
      <c r="O2"/>
      <c r="P2"/>
      <c r="S2"/>
      <c r="V2"/>
      <c r="Y2"/>
    </row>
    <row r="3" spans="1:31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L3" s="77"/>
      <c r="Q3"/>
      <c r="R3"/>
      <c r="X3"/>
    </row>
    <row r="4" spans="1:31" s="8" customFormat="1" x14ac:dyDescent="0.25">
      <c r="A4" s="10" t="s">
        <v>20</v>
      </c>
      <c r="B4" s="11"/>
      <c r="C4" s="12"/>
      <c r="D4" s="11"/>
      <c r="E4" s="12"/>
      <c r="F4" s="12"/>
      <c r="G4" s="12"/>
      <c r="H4" s="13"/>
      <c r="I4" s="72">
        <f>SUM(H5:H12)</f>
        <v>8949.14</v>
      </c>
      <c r="J4" s="9"/>
      <c r="K4" s="8" t="s">
        <v>134</v>
      </c>
      <c r="L4" s="80">
        <f>SUM(L2-N2)</f>
        <v>5963.7999999999984</v>
      </c>
      <c r="T4"/>
    </row>
    <row r="5" spans="1:31" s="8" customFormat="1" x14ac:dyDescent="0.25">
      <c r="A5" s="2"/>
      <c r="B5" s="14" t="s">
        <v>1</v>
      </c>
      <c r="C5" s="6"/>
      <c r="D5" s="14" t="s">
        <v>2</v>
      </c>
      <c r="E5" s="6"/>
      <c r="F5" s="6"/>
      <c r="G5" s="6"/>
      <c r="H5" s="4">
        <v>500</v>
      </c>
      <c r="I5" s="4"/>
      <c r="J5" s="69">
        <f>H5+H6</f>
        <v>2113.1999999999998</v>
      </c>
      <c r="K5" s="56"/>
      <c r="L5" s="78"/>
    </row>
    <row r="6" spans="1:31" s="8" customFormat="1" x14ac:dyDescent="0.25">
      <c r="A6" s="2"/>
      <c r="B6" s="14"/>
      <c r="C6" s="6"/>
      <c r="D6" s="14" t="s">
        <v>104</v>
      </c>
      <c r="E6" s="6"/>
      <c r="F6" s="6"/>
      <c r="G6" s="6"/>
      <c r="H6" s="4">
        <v>1613.2</v>
      </c>
      <c r="I6" s="4"/>
      <c r="J6" s="69"/>
      <c r="K6" s="56"/>
      <c r="L6" s="78"/>
    </row>
    <row r="7" spans="1:31" s="8" customFormat="1" x14ac:dyDescent="0.25">
      <c r="A7" s="2"/>
      <c r="B7" s="15" t="s">
        <v>3</v>
      </c>
      <c r="C7" s="16"/>
      <c r="D7" s="15" t="s">
        <v>4</v>
      </c>
      <c r="E7" s="16"/>
      <c r="F7" s="16"/>
      <c r="G7" s="16"/>
      <c r="H7" s="4">
        <v>500</v>
      </c>
      <c r="I7" s="4"/>
      <c r="J7" s="69">
        <f>H7+H8</f>
        <v>2113.1999999999998</v>
      </c>
      <c r="K7" s="56"/>
      <c r="L7" s="77"/>
    </row>
    <row r="8" spans="1:31" s="8" customFormat="1" x14ac:dyDescent="0.25">
      <c r="A8" s="2"/>
      <c r="B8" s="70"/>
      <c r="C8" s="71"/>
      <c r="D8" s="70" t="s">
        <v>104</v>
      </c>
      <c r="E8" s="71"/>
      <c r="F8" s="16"/>
      <c r="G8" s="16"/>
      <c r="H8" s="4">
        <v>1613.2</v>
      </c>
      <c r="I8" s="4"/>
      <c r="J8" s="69"/>
      <c r="K8" s="56"/>
      <c r="L8" s="77"/>
    </row>
    <row r="9" spans="1:31" s="8" customFormat="1" x14ac:dyDescent="0.25">
      <c r="A9" s="2"/>
      <c r="B9" s="14" t="s">
        <v>5</v>
      </c>
      <c r="C9" s="6"/>
      <c r="D9" s="14" t="s">
        <v>6</v>
      </c>
      <c r="E9" s="6"/>
      <c r="F9" s="6"/>
      <c r="G9" s="6"/>
      <c r="H9" s="4">
        <v>500</v>
      </c>
      <c r="I9" s="4"/>
      <c r="J9" s="69">
        <f>H9+H10</f>
        <v>2236.37</v>
      </c>
      <c r="K9" s="56"/>
      <c r="L9" s="77"/>
      <c r="M9"/>
    </row>
    <row r="10" spans="1:31" s="8" customFormat="1" x14ac:dyDescent="0.25">
      <c r="A10" s="2"/>
      <c r="B10" s="14"/>
      <c r="C10" s="6"/>
      <c r="D10" s="14" t="s">
        <v>104</v>
      </c>
      <c r="E10" s="6"/>
      <c r="F10" s="6"/>
      <c r="G10" s="6"/>
      <c r="H10" s="4">
        <v>1736.37</v>
      </c>
      <c r="I10" s="4"/>
      <c r="J10" s="69"/>
      <c r="K10" s="56"/>
      <c r="L10" s="77"/>
      <c r="M10"/>
    </row>
    <row r="11" spans="1:31" s="8" customFormat="1" x14ac:dyDescent="0.25">
      <c r="A11" s="2"/>
      <c r="B11" s="15" t="s">
        <v>7</v>
      </c>
      <c r="C11" s="71"/>
      <c r="D11" s="70" t="s">
        <v>8</v>
      </c>
      <c r="E11" s="16"/>
      <c r="F11" s="16"/>
      <c r="G11" s="16"/>
      <c r="H11" s="4">
        <v>500</v>
      </c>
      <c r="I11" s="4"/>
      <c r="J11" s="69">
        <f>H11+H12</f>
        <v>2486.37</v>
      </c>
      <c r="K11" s="56"/>
      <c r="L11" s="77"/>
    </row>
    <row r="12" spans="1:31" s="8" customFormat="1" x14ac:dyDescent="0.25">
      <c r="A12" s="2"/>
      <c r="B12" s="15"/>
      <c r="C12" s="71"/>
      <c r="D12" s="70" t="s">
        <v>104</v>
      </c>
      <c r="E12" s="16"/>
      <c r="F12" s="16"/>
      <c r="G12" s="16"/>
      <c r="H12" s="4">
        <v>1986.37</v>
      </c>
      <c r="I12" s="4"/>
      <c r="J12" s="69"/>
      <c r="K12" s="56"/>
      <c r="L12" s="77"/>
    </row>
    <row r="13" spans="1:31" s="8" customFormat="1" x14ac:dyDescent="0.25">
      <c r="A13" s="10" t="s">
        <v>9</v>
      </c>
      <c r="B13" s="11"/>
      <c r="C13" s="12"/>
      <c r="D13" s="11"/>
      <c r="E13" s="12"/>
      <c r="F13" s="12"/>
      <c r="G13" s="12"/>
      <c r="H13" s="13"/>
      <c r="I13" s="4">
        <f>SUM(H14:H16)</f>
        <v>1955.6000000000001</v>
      </c>
      <c r="J13" s="9"/>
      <c r="L13" s="77"/>
      <c r="AD13"/>
    </row>
    <row r="14" spans="1:31" s="8" customFormat="1" x14ac:dyDescent="0.25">
      <c r="A14" s="2"/>
      <c r="B14" s="2">
        <v>1466143</v>
      </c>
      <c r="C14" s="6"/>
      <c r="D14" s="14" t="s">
        <v>105</v>
      </c>
      <c r="E14" s="6"/>
      <c r="F14" s="6"/>
      <c r="G14" s="6"/>
      <c r="H14" s="4">
        <v>1479.9</v>
      </c>
      <c r="I14" s="4"/>
      <c r="J14" s="66">
        <v>46008</v>
      </c>
      <c r="L14" s="77"/>
      <c r="M14"/>
    </row>
    <row r="15" spans="1:31" s="8" customFormat="1" x14ac:dyDescent="0.25">
      <c r="A15" s="2"/>
      <c r="B15" s="2">
        <v>1446699</v>
      </c>
      <c r="C15" s="6"/>
      <c r="D15" s="14" t="s">
        <v>106</v>
      </c>
      <c r="E15" s="6"/>
      <c r="F15" s="6"/>
      <c r="G15" s="6"/>
      <c r="H15" s="4">
        <v>458.2</v>
      </c>
      <c r="I15" s="4"/>
      <c r="J15" s="9">
        <v>46017</v>
      </c>
      <c r="L15" s="78"/>
    </row>
    <row r="16" spans="1:31" s="8" customFormat="1" x14ac:dyDescent="0.25">
      <c r="A16" s="2"/>
      <c r="B16" s="2">
        <v>1466144</v>
      </c>
      <c r="C16" s="6"/>
      <c r="D16" s="14" t="s">
        <v>107</v>
      </c>
      <c r="E16" s="6"/>
      <c r="F16" s="6"/>
      <c r="G16" s="6"/>
      <c r="H16" s="4">
        <v>17.5</v>
      </c>
      <c r="I16" s="4"/>
      <c r="J16" s="9">
        <v>46008</v>
      </c>
      <c r="L16" s="77"/>
    </row>
    <row r="17" spans="1:32" s="8" customFormat="1" x14ac:dyDescent="0.25">
      <c r="A17" s="2"/>
      <c r="B17" s="2"/>
      <c r="C17" s="6"/>
      <c r="D17" s="2"/>
      <c r="E17" s="6"/>
      <c r="F17" s="6"/>
      <c r="G17" s="6"/>
      <c r="H17" s="4"/>
      <c r="I17" s="4"/>
      <c r="J17" s="9"/>
      <c r="L17" s="77"/>
    </row>
    <row r="18" spans="1:32" s="8" customFormat="1" x14ac:dyDescent="0.25">
      <c r="A18" s="10" t="s">
        <v>10</v>
      </c>
      <c r="B18" s="11"/>
      <c r="C18" s="12"/>
      <c r="D18" s="11"/>
      <c r="E18" s="12"/>
      <c r="F18" s="12"/>
      <c r="G18" s="12"/>
      <c r="H18" s="13"/>
      <c r="I18" s="4">
        <f>SUM(H19)</f>
        <v>2150.1999999999998</v>
      </c>
      <c r="J18" s="9"/>
      <c r="L18" s="77"/>
    </row>
    <row r="19" spans="1:32" s="8" customFormat="1" x14ac:dyDescent="0.25">
      <c r="A19" s="2"/>
      <c r="B19" s="14" t="s">
        <v>108</v>
      </c>
      <c r="C19" s="6"/>
      <c r="D19" s="14" t="s">
        <v>109</v>
      </c>
      <c r="E19" s="6"/>
      <c r="F19" s="6"/>
      <c r="G19" s="6"/>
      <c r="H19" s="4">
        <v>2150.1999999999998</v>
      </c>
      <c r="I19" s="4"/>
      <c r="J19" s="9">
        <v>46013</v>
      </c>
      <c r="L19" s="77"/>
    </row>
    <row r="20" spans="1:32" s="8" customFormat="1" x14ac:dyDescent="0.25">
      <c r="A20" s="2"/>
      <c r="B20" s="2">
        <v>5375398</v>
      </c>
      <c r="C20" s="6"/>
      <c r="D20" s="17" t="s">
        <v>110</v>
      </c>
      <c r="E20" s="6"/>
      <c r="F20" s="6"/>
      <c r="G20" s="6"/>
      <c r="H20" s="4"/>
      <c r="I20" s="4"/>
      <c r="J20" s="9"/>
      <c r="L20" s="77"/>
    </row>
    <row r="21" spans="1:32" s="8" customFormat="1" x14ac:dyDescent="0.25">
      <c r="A21" s="2"/>
      <c r="B21" s="2"/>
      <c r="C21" s="6"/>
      <c r="D21" s="2"/>
      <c r="E21" s="6"/>
      <c r="F21" s="6"/>
      <c r="G21" s="6"/>
      <c r="H21" s="4"/>
      <c r="I21" s="4"/>
      <c r="J21" s="9"/>
      <c r="L21" s="77"/>
    </row>
    <row r="22" spans="1:32" s="22" customFormat="1" ht="17.5" customHeight="1" x14ac:dyDescent="0.2">
      <c r="A22" s="18" t="s">
        <v>22</v>
      </c>
      <c r="B22" s="19"/>
      <c r="C22" s="20"/>
      <c r="D22" s="19"/>
      <c r="E22" s="20"/>
      <c r="F22" s="20"/>
      <c r="G22" s="20"/>
      <c r="H22" s="21"/>
      <c r="I22" s="81">
        <f>H24+H26</f>
        <v>541.24</v>
      </c>
      <c r="J22" s="9"/>
      <c r="L22" s="79"/>
    </row>
    <row r="23" spans="1:32" s="8" customFormat="1" ht="20" x14ac:dyDescent="0.25">
      <c r="A23" s="25" t="s">
        <v>14</v>
      </c>
      <c r="B23" s="23"/>
      <c r="C23" s="24"/>
      <c r="D23" s="27" t="s">
        <v>26</v>
      </c>
      <c r="E23" s="24"/>
      <c r="F23" s="24"/>
      <c r="G23" s="24"/>
      <c r="H23" s="26"/>
      <c r="I23" s="4"/>
      <c r="J23" s="9"/>
      <c r="L23" s="77"/>
    </row>
    <row r="24" spans="1:32" s="8" customFormat="1" ht="20" x14ac:dyDescent="0.25">
      <c r="A24" s="2"/>
      <c r="B24" s="2" t="s">
        <v>12</v>
      </c>
      <c r="C24" s="6"/>
      <c r="D24" s="14" t="s">
        <v>111</v>
      </c>
      <c r="E24" s="6"/>
      <c r="F24" s="6"/>
      <c r="G24" s="6"/>
      <c r="H24" s="4">
        <v>257.73</v>
      </c>
      <c r="I24" s="4"/>
      <c r="L24" s="77"/>
    </row>
    <row r="25" spans="1:32" s="8" customFormat="1" ht="16.25" customHeight="1" x14ac:dyDescent="0.25">
      <c r="A25" s="2"/>
      <c r="B25" s="2"/>
      <c r="C25" s="6"/>
      <c r="D25" s="57" t="s">
        <v>112</v>
      </c>
      <c r="E25" s="6"/>
      <c r="F25" s="6"/>
      <c r="G25" s="6"/>
      <c r="H25" s="4"/>
      <c r="I25" s="4"/>
      <c r="J25" s="9"/>
      <c r="L25" s="77"/>
      <c r="R25"/>
    </row>
    <row r="26" spans="1:32" s="8" customFormat="1" x14ac:dyDescent="0.25">
      <c r="A26" s="2"/>
      <c r="B26" s="14" t="s">
        <v>13</v>
      </c>
      <c r="C26" s="6"/>
      <c r="D26" s="14" t="s">
        <v>111</v>
      </c>
      <c r="E26" s="6"/>
      <c r="F26" s="6"/>
      <c r="G26" s="6"/>
      <c r="H26" s="4">
        <v>283.51</v>
      </c>
      <c r="I26" s="4"/>
      <c r="L26" s="77"/>
      <c r="V26"/>
    </row>
    <row r="27" spans="1:32" s="8" customFormat="1" ht="16.25" customHeight="1" x14ac:dyDescent="0.25">
      <c r="A27" s="2"/>
      <c r="B27" s="2"/>
      <c r="C27" s="6"/>
      <c r="D27" s="57" t="s">
        <v>113</v>
      </c>
      <c r="E27" s="6"/>
      <c r="F27" s="6"/>
      <c r="G27" s="6"/>
      <c r="H27" s="4"/>
      <c r="I27" s="4"/>
      <c r="J27" s="9"/>
      <c r="L27" s="77"/>
      <c r="AD27"/>
    </row>
    <row r="28" spans="1:32" s="8" customFormat="1" ht="16.25" customHeight="1" x14ac:dyDescent="0.25">
      <c r="A28" s="2"/>
      <c r="B28" s="2"/>
      <c r="C28" s="6"/>
      <c r="D28" s="57"/>
      <c r="E28" s="6"/>
      <c r="F28" s="6"/>
      <c r="G28" s="6"/>
      <c r="H28" s="4"/>
      <c r="I28" s="4"/>
      <c r="J28" s="9"/>
      <c r="L28" s="77"/>
    </row>
    <row r="29" spans="1:32" s="8" customFormat="1" x14ac:dyDescent="0.25">
      <c r="A29" s="10" t="s">
        <v>16</v>
      </c>
      <c r="B29" s="11"/>
      <c r="C29" s="12"/>
      <c r="D29" s="11"/>
      <c r="E29" s="12"/>
      <c r="F29" s="12"/>
      <c r="G29" s="12"/>
      <c r="H29" s="13"/>
      <c r="I29" s="4">
        <f>SUM(H31:H35)</f>
        <v>1200</v>
      </c>
      <c r="L29" s="77"/>
    </row>
    <row r="30" spans="1:32" s="8" customFormat="1" ht="20" x14ac:dyDescent="0.25">
      <c r="A30" s="25" t="s">
        <v>87</v>
      </c>
      <c r="B30" s="23"/>
      <c r="C30" s="24"/>
      <c r="D30" s="27" t="s">
        <v>17</v>
      </c>
      <c r="E30" s="24"/>
      <c r="F30" s="24"/>
      <c r="G30" s="24"/>
      <c r="H30" s="26"/>
      <c r="I30" s="4"/>
      <c r="J30" s="9"/>
      <c r="L30" s="77"/>
      <c r="M30"/>
    </row>
    <row r="31" spans="1:32" s="8" customFormat="1" x14ac:dyDescent="0.25">
      <c r="A31" s="2"/>
      <c r="B31" s="14" t="s">
        <v>114</v>
      </c>
      <c r="C31" s="6"/>
      <c r="D31" s="14" t="s">
        <v>115</v>
      </c>
      <c r="E31" s="6"/>
      <c r="F31" s="6"/>
      <c r="G31" s="6"/>
      <c r="H31" s="4">
        <v>400</v>
      </c>
      <c r="I31" s="4"/>
      <c r="J31" s="9"/>
      <c r="L31" s="77"/>
    </row>
    <row r="32" spans="1:32" s="8" customFormat="1" x14ac:dyDescent="0.25">
      <c r="A32" s="2"/>
      <c r="B32" s="2"/>
      <c r="C32" s="6"/>
      <c r="D32" s="17" t="s">
        <v>18</v>
      </c>
      <c r="E32" s="6"/>
      <c r="F32" s="6"/>
      <c r="G32" s="6"/>
      <c r="H32" s="4"/>
      <c r="I32" s="4"/>
      <c r="J32" s="9"/>
      <c r="L32" s="77"/>
      <c r="P32"/>
      <c r="AF32"/>
    </row>
    <row r="33" spans="1:23" s="8" customFormat="1" ht="20" x14ac:dyDescent="0.25">
      <c r="A33" s="2"/>
      <c r="B33" s="2" t="s">
        <v>116</v>
      </c>
      <c r="C33" s="6"/>
      <c r="D33" s="14" t="s">
        <v>117</v>
      </c>
      <c r="E33" s="6"/>
      <c r="F33" s="6"/>
      <c r="G33" s="6"/>
      <c r="H33" s="4">
        <v>400</v>
      </c>
      <c r="I33" s="4"/>
      <c r="J33" s="9"/>
      <c r="L33" s="77"/>
      <c r="Q33"/>
      <c r="T33"/>
      <c r="W33"/>
    </row>
    <row r="34" spans="1:23" s="8" customFormat="1" x14ac:dyDescent="0.25">
      <c r="A34" s="2"/>
      <c r="B34" s="2"/>
      <c r="C34" s="6"/>
      <c r="D34" s="17" t="s">
        <v>18</v>
      </c>
      <c r="E34" s="6"/>
      <c r="F34" s="6"/>
      <c r="G34" s="6"/>
      <c r="H34" s="4"/>
      <c r="I34" s="4"/>
      <c r="J34" s="9"/>
      <c r="K34"/>
      <c r="L34" s="77"/>
      <c r="P34"/>
    </row>
    <row r="35" spans="1:23" s="8" customFormat="1" ht="20" x14ac:dyDescent="0.25">
      <c r="A35" s="2"/>
      <c r="B35" s="2" t="s">
        <v>118</v>
      </c>
      <c r="C35" s="6"/>
      <c r="D35" s="14" t="s">
        <v>119</v>
      </c>
      <c r="E35" s="6"/>
      <c r="F35" s="6"/>
      <c r="G35" s="6"/>
      <c r="H35" s="4">
        <v>400</v>
      </c>
      <c r="I35" s="4"/>
      <c r="J35" s="9"/>
      <c r="K35"/>
      <c r="L35" s="77"/>
      <c r="P35"/>
    </row>
    <row r="36" spans="1:23" s="8" customFormat="1" x14ac:dyDescent="0.25">
      <c r="A36" s="2"/>
      <c r="B36" s="2"/>
      <c r="C36" s="6"/>
      <c r="D36" s="17" t="s">
        <v>18</v>
      </c>
      <c r="E36" s="6"/>
      <c r="F36" s="6"/>
      <c r="G36" s="6"/>
      <c r="H36" s="4"/>
      <c r="I36" s="4"/>
      <c r="J36" s="9"/>
      <c r="K36"/>
      <c r="L36" s="77"/>
      <c r="P36"/>
    </row>
    <row r="37" spans="1:23" s="8" customFormat="1" x14ac:dyDescent="0.25">
      <c r="A37" s="2"/>
      <c r="B37" s="2"/>
      <c r="C37" s="6"/>
      <c r="D37" s="17"/>
      <c r="E37" s="6"/>
      <c r="F37" s="6"/>
      <c r="G37" s="6"/>
      <c r="H37" s="4"/>
      <c r="I37" s="4"/>
      <c r="J37" s="4"/>
      <c r="L37" s="77"/>
    </row>
    <row r="38" spans="1:23" s="8" customFormat="1" x14ac:dyDescent="0.25">
      <c r="A38" s="59" t="s">
        <v>92</v>
      </c>
      <c r="B38" s="60"/>
      <c r="C38" s="61"/>
      <c r="D38" s="62"/>
      <c r="E38" s="61"/>
      <c r="F38" s="61"/>
      <c r="G38" s="61"/>
      <c r="H38" s="63"/>
      <c r="I38" s="7">
        <f>SUM(I39:I54)</f>
        <v>1561.2</v>
      </c>
      <c r="J38" s="68"/>
      <c r="L38" s="77"/>
    </row>
    <row r="39" spans="1:23" s="8" customFormat="1" x14ac:dyDescent="0.25">
      <c r="A39" s="67"/>
      <c r="B39" s="2"/>
      <c r="C39" s="6"/>
      <c r="D39" s="17"/>
      <c r="E39" s="6"/>
      <c r="F39" s="6"/>
      <c r="G39" s="6"/>
      <c r="H39" s="4"/>
      <c r="I39" s="7"/>
      <c r="J39" s="4"/>
      <c r="L39" s="77"/>
    </row>
    <row r="40" spans="1:23" x14ac:dyDescent="0.25">
      <c r="A40" s="10" t="s">
        <v>25</v>
      </c>
      <c r="B40" s="11"/>
      <c r="C40" s="12"/>
      <c r="D40" s="11"/>
      <c r="E40" s="12"/>
      <c r="F40" s="12"/>
      <c r="G40" s="12"/>
      <c r="H40" s="13"/>
      <c r="I40" s="72">
        <f>H42+H44+H45+H46+H47+H48+H49+H50</f>
        <v>1134.2</v>
      </c>
      <c r="J40" s="8"/>
    </row>
    <row r="41" spans="1:23" ht="20" x14ac:dyDescent="0.25">
      <c r="A41" s="25" t="s">
        <v>89</v>
      </c>
      <c r="B41" s="23"/>
      <c r="C41" s="24"/>
      <c r="D41" s="27" t="s">
        <v>24</v>
      </c>
      <c r="E41" s="24"/>
      <c r="F41" s="24"/>
      <c r="G41" s="24"/>
      <c r="H41" s="26"/>
      <c r="I41" s="4"/>
      <c r="J41" s="4"/>
    </row>
    <row r="42" spans="1:23" ht="20" x14ac:dyDescent="0.25">
      <c r="A42" s="2"/>
      <c r="B42" s="2" t="s">
        <v>120</v>
      </c>
      <c r="C42" s="6"/>
      <c r="D42" s="14" t="s">
        <v>15</v>
      </c>
      <c r="E42" s="6"/>
      <c r="F42" s="6"/>
      <c r="G42" s="6"/>
      <c r="H42" s="4">
        <v>600</v>
      </c>
      <c r="I42" s="4"/>
      <c r="J42" s="4"/>
      <c r="K42" s="9"/>
      <c r="L42" s="78"/>
    </row>
    <row r="43" spans="1:23" x14ac:dyDescent="0.25">
      <c r="A43" s="2"/>
      <c r="B43" s="2"/>
      <c r="C43" s="6"/>
      <c r="D43" s="17" t="s">
        <v>121</v>
      </c>
      <c r="E43" s="6"/>
      <c r="F43" s="6"/>
      <c r="G43" s="6"/>
      <c r="H43" s="4"/>
      <c r="I43" s="4"/>
      <c r="J43" s="4"/>
    </row>
    <row r="44" spans="1:23" ht="20" x14ac:dyDescent="0.25">
      <c r="A44" s="2"/>
      <c r="B44" s="2" t="s">
        <v>122</v>
      </c>
      <c r="C44" s="6"/>
      <c r="D44" s="17" t="s">
        <v>123</v>
      </c>
      <c r="E44" s="6"/>
      <c r="F44" s="6"/>
      <c r="G44" s="6"/>
      <c r="H44" s="4">
        <v>185.1</v>
      </c>
      <c r="I44" s="4"/>
      <c r="J44" s="4">
        <f>SUM(H44:H50)</f>
        <v>534.20000000000005</v>
      </c>
    </row>
    <row r="45" spans="1:23" x14ac:dyDescent="0.25">
      <c r="A45" s="2"/>
      <c r="B45" s="2"/>
      <c r="C45" s="6"/>
      <c r="D45" s="17" t="s">
        <v>124</v>
      </c>
      <c r="E45" s="6"/>
      <c r="F45" s="6"/>
      <c r="G45" s="6"/>
      <c r="H45" s="4">
        <v>99</v>
      </c>
      <c r="I45" s="4"/>
      <c r="J45" s="4"/>
    </row>
    <row r="46" spans="1:23" x14ac:dyDescent="0.25">
      <c r="A46" s="2"/>
      <c r="B46" s="2"/>
      <c r="C46" s="6"/>
      <c r="D46" s="17" t="s">
        <v>125</v>
      </c>
      <c r="E46" s="6"/>
      <c r="F46" s="6"/>
      <c r="G46" s="6"/>
      <c r="H46" s="4">
        <v>43</v>
      </c>
      <c r="I46" s="4"/>
      <c r="J46" s="4"/>
    </row>
    <row r="47" spans="1:23" x14ac:dyDescent="0.25">
      <c r="A47" s="2"/>
      <c r="B47" s="2"/>
      <c r="C47" s="6"/>
      <c r="D47" s="17" t="s">
        <v>126</v>
      </c>
      <c r="E47" s="6"/>
      <c r="F47" s="6"/>
      <c r="G47" s="6"/>
      <c r="H47" s="4">
        <v>165</v>
      </c>
      <c r="I47" s="4"/>
      <c r="J47" s="4"/>
    </row>
    <row r="48" spans="1:23" s="8" customFormat="1" x14ac:dyDescent="0.25">
      <c r="A48" s="67"/>
      <c r="B48" s="2"/>
      <c r="C48" s="6"/>
      <c r="D48" s="17" t="s">
        <v>127</v>
      </c>
      <c r="E48" s="6"/>
      <c r="F48" s="6"/>
      <c r="G48" s="6"/>
      <c r="H48" s="4">
        <v>16</v>
      </c>
      <c r="I48" s="7"/>
      <c r="J48" s="4"/>
      <c r="L48" s="77"/>
    </row>
    <row r="49" spans="1:12" s="8" customFormat="1" x14ac:dyDescent="0.25">
      <c r="A49" s="67"/>
      <c r="B49" s="2"/>
      <c r="C49" s="6"/>
      <c r="D49" s="17" t="s">
        <v>128</v>
      </c>
      <c r="E49" s="6"/>
      <c r="F49" s="6"/>
      <c r="G49" s="6"/>
      <c r="H49" s="4">
        <v>12.4</v>
      </c>
      <c r="I49" s="7"/>
      <c r="J49" s="4"/>
      <c r="L49" s="77"/>
    </row>
    <row r="50" spans="1:12" s="8" customFormat="1" x14ac:dyDescent="0.25">
      <c r="A50" s="67"/>
      <c r="B50" s="2"/>
      <c r="C50" s="6"/>
      <c r="D50" s="17" t="s">
        <v>129</v>
      </c>
      <c r="E50" s="6"/>
      <c r="F50" s="6"/>
      <c r="G50" s="6"/>
      <c r="H50" s="4">
        <v>13.7</v>
      </c>
      <c r="I50" s="7"/>
      <c r="J50" s="4"/>
      <c r="L50" s="77"/>
    </row>
    <row r="51" spans="1:12" s="22" customFormat="1" ht="17.5" customHeight="1" x14ac:dyDescent="0.25">
      <c r="A51" s="18" t="s">
        <v>22</v>
      </c>
      <c r="B51" s="19"/>
      <c r="C51" s="20"/>
      <c r="D51" s="19"/>
      <c r="E51" s="20"/>
      <c r="F51" s="20"/>
      <c r="G51" s="20"/>
      <c r="H51" s="21"/>
      <c r="I51" s="81">
        <f>H52</f>
        <v>427</v>
      </c>
      <c r="J51" s="8"/>
      <c r="L51" s="79"/>
    </row>
    <row r="52" spans="1:12" s="8" customFormat="1" ht="20" x14ac:dyDescent="0.25">
      <c r="A52" s="2"/>
      <c r="B52" s="2" t="s">
        <v>11</v>
      </c>
      <c r="C52" s="6"/>
      <c r="D52" s="2" t="s">
        <v>23</v>
      </c>
      <c r="E52" s="6"/>
      <c r="F52" s="6"/>
      <c r="G52" s="6"/>
      <c r="H52" s="4">
        <v>427</v>
      </c>
      <c r="I52" s="4"/>
      <c r="L52" s="77"/>
    </row>
    <row r="53" spans="1:12" s="8" customFormat="1" ht="20" x14ac:dyDescent="0.25">
      <c r="A53" s="2"/>
      <c r="B53" s="2"/>
      <c r="C53" s="6"/>
      <c r="D53" s="57" t="s">
        <v>130</v>
      </c>
      <c r="E53" s="6"/>
      <c r="F53" s="6"/>
      <c r="G53" s="6"/>
      <c r="H53" s="4"/>
      <c r="I53" s="4"/>
      <c r="J53" s="9"/>
      <c r="L53" s="77"/>
    </row>
    <row r="54" spans="1:12" s="8" customFormat="1" x14ac:dyDescent="0.25">
      <c r="A54" s="2"/>
      <c r="B54" s="2"/>
      <c r="C54" s="6"/>
      <c r="D54" s="17"/>
      <c r="E54" s="6"/>
      <c r="F54" s="6"/>
      <c r="G54" s="6"/>
      <c r="H54" s="4"/>
      <c r="J54" s="4"/>
      <c r="L54" s="77"/>
    </row>
    <row r="55" spans="1:12" s="8" customFormat="1" ht="20" x14ac:dyDescent="0.25">
      <c r="A55" s="2"/>
      <c r="B55" s="2"/>
      <c r="C55" s="6"/>
      <c r="D55" s="73" t="s">
        <v>131</v>
      </c>
      <c r="E55" s="6"/>
      <c r="F55" s="6"/>
      <c r="G55" s="6"/>
      <c r="I55" s="74">
        <v>2283</v>
      </c>
      <c r="J55" s="9"/>
      <c r="L55" s="77"/>
    </row>
    <row r="56" spans="1:12" s="8" customFormat="1" x14ac:dyDescent="0.25">
      <c r="A56" s="2"/>
      <c r="B56" s="2"/>
      <c r="C56" s="6"/>
      <c r="D56" s="2"/>
      <c r="E56" s="6"/>
      <c r="F56" s="6"/>
      <c r="G56" s="6"/>
      <c r="H56" s="4"/>
      <c r="I56" s="4"/>
      <c r="J56" s="9"/>
      <c r="L56" s="77"/>
    </row>
    <row r="57" spans="1:12" s="8" customFormat="1" x14ac:dyDescent="0.25">
      <c r="A57" s="2"/>
      <c r="B57" s="2"/>
      <c r="C57" s="6"/>
      <c r="D57" s="30"/>
      <c r="E57" s="6"/>
      <c r="F57" s="6"/>
      <c r="G57" s="6"/>
      <c r="H57" s="4"/>
      <c r="I57" s="4"/>
      <c r="J57" s="9"/>
      <c r="L57" s="77"/>
    </row>
    <row r="58" spans="1:12" s="8" customFormat="1" x14ac:dyDescent="0.25">
      <c r="A58" s="2"/>
      <c r="B58" s="2"/>
      <c r="C58" s="6"/>
      <c r="D58" s="30"/>
      <c r="E58" s="6"/>
      <c r="F58" s="6"/>
      <c r="G58" s="6"/>
      <c r="H58" s="4"/>
      <c r="I58" s="4"/>
      <c r="J58" s="9"/>
      <c r="L58" s="77"/>
    </row>
    <row r="59" spans="1:12" s="8" customFormat="1" x14ac:dyDescent="0.25">
      <c r="A59" s="2"/>
      <c r="B59" s="2"/>
      <c r="C59" s="6"/>
      <c r="D59" s="30"/>
      <c r="E59" s="6"/>
      <c r="F59" s="6"/>
      <c r="G59" s="6"/>
      <c r="H59" s="4"/>
      <c r="I59" s="4"/>
      <c r="J59" s="9"/>
      <c r="L59" s="77"/>
    </row>
    <row r="60" spans="1:12" x14ac:dyDescent="0.25">
      <c r="A60" s="2"/>
      <c r="B60" s="2"/>
      <c r="C60" s="2"/>
      <c r="E60" s="6"/>
      <c r="F60" s="6"/>
      <c r="G60" s="29"/>
      <c r="H60" s="4"/>
      <c r="I60" s="4"/>
      <c r="J60" s="9"/>
    </row>
    <row r="61" spans="1:12" x14ac:dyDescent="0.25">
      <c r="A61" s="2"/>
      <c r="B61" s="2"/>
      <c r="C61" s="2"/>
      <c r="E61" s="6"/>
      <c r="F61" s="6"/>
      <c r="G61" s="6"/>
      <c r="H61" s="4"/>
      <c r="I61" s="4"/>
      <c r="J61" s="9"/>
    </row>
    <row r="62" spans="1:12" x14ac:dyDescent="0.25">
      <c r="A62" s="2"/>
      <c r="B62" s="2"/>
      <c r="C62" s="2"/>
      <c r="D62" s="5"/>
      <c r="H62" s="5"/>
      <c r="I62" s="28"/>
      <c r="J62" s="9"/>
    </row>
    <row r="63" spans="1:12" x14ac:dyDescent="0.25">
      <c r="D63" s="5"/>
      <c r="H63" s="5"/>
      <c r="I63" s="35"/>
      <c r="J63" s="9"/>
    </row>
    <row r="64" spans="1:12" x14ac:dyDescent="0.25">
      <c r="A64" s="32"/>
      <c r="D64" s="5"/>
      <c r="H64" s="5"/>
      <c r="I64" s="35"/>
      <c r="J64" s="9"/>
    </row>
    <row r="65" spans="1:22" x14ac:dyDescent="0.25">
      <c r="A65" s="33"/>
      <c r="B65" s="34"/>
      <c r="C65" s="35"/>
      <c r="D65" s="5"/>
      <c r="G65"/>
      <c r="H65" s="5"/>
      <c r="I65" s="35"/>
      <c r="J65" s="9"/>
    </row>
    <row r="66" spans="1:22" x14ac:dyDescent="0.25">
      <c r="A66" s="33"/>
      <c r="B66" s="34"/>
      <c r="C66" s="35"/>
      <c r="D66" s="5"/>
      <c r="H66" s="35"/>
      <c r="I66" s="35"/>
      <c r="J66" s="9"/>
    </row>
    <row r="67" spans="1:22" x14ac:dyDescent="0.25">
      <c r="A67" s="33"/>
      <c r="B67" s="34"/>
      <c r="C67" s="35"/>
      <c r="D67" s="5"/>
      <c r="H67" s="35"/>
      <c r="I67" s="35"/>
      <c r="J67" s="9"/>
    </row>
    <row r="68" spans="1:22" x14ac:dyDescent="0.25">
      <c r="A68" s="33"/>
      <c r="B68" s="34"/>
      <c r="C68" s="35"/>
      <c r="J68" s="9"/>
    </row>
    <row r="69" spans="1:22" x14ac:dyDescent="0.25">
      <c r="A69" s="33"/>
      <c r="B69" s="34"/>
      <c r="C69" s="35"/>
      <c r="J69" s="9"/>
      <c r="K69"/>
      <c r="P69"/>
    </row>
    <row r="70" spans="1:22" x14ac:dyDescent="0.25">
      <c r="A70" s="33"/>
      <c r="B70"/>
      <c r="C70" s="35"/>
      <c r="V70"/>
    </row>
    <row r="71" spans="1:22" x14ac:dyDescent="0.25">
      <c r="A71" s="33"/>
      <c r="B71" s="34"/>
      <c r="C71" s="35"/>
    </row>
    <row r="72" spans="1:22" x14ac:dyDescent="0.25">
      <c r="C72" s="35"/>
    </row>
    <row r="73" spans="1:22" x14ac:dyDescent="0.25">
      <c r="C73" s="35"/>
    </row>
    <row r="74" spans="1:22" x14ac:dyDescent="0.25">
      <c r="B74" s="33"/>
      <c r="C74" s="35"/>
    </row>
    <row r="75" spans="1:22" x14ac:dyDescent="0.25">
      <c r="B75" s="33"/>
      <c r="C75" s="35"/>
    </row>
    <row r="85" spans="12:27" x14ac:dyDescent="0.25">
      <c r="L85" s="78"/>
      <c r="Q85"/>
      <c r="V85"/>
      <c r="AA85"/>
    </row>
  </sheetData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41" bestFit="1" customWidth="1"/>
    <col min="2" max="2" width="15.1640625" style="41" bestFit="1" customWidth="1"/>
    <col min="3" max="3" width="22.1640625" style="41" bestFit="1" customWidth="1"/>
    <col min="4" max="4" width="50.33203125" style="41" bestFit="1" customWidth="1"/>
    <col min="5" max="7" width="14.1640625" style="51" customWidth="1"/>
    <col min="8" max="16384" width="11.5" style="41"/>
  </cols>
  <sheetData>
    <row r="1" spans="1:8" x14ac:dyDescent="0.2">
      <c r="A1" s="36" t="s">
        <v>19</v>
      </c>
      <c r="B1" s="37"/>
      <c r="C1" s="37"/>
      <c r="D1" s="38"/>
      <c r="E1" s="39"/>
    </row>
    <row r="2" spans="1:8" x14ac:dyDescent="0.2">
      <c r="A2" s="36" t="s">
        <v>56</v>
      </c>
      <c r="B2" s="37"/>
      <c r="C2" s="37"/>
      <c r="D2" s="42"/>
      <c r="E2" s="43"/>
    </row>
    <row r="3" spans="1:8" x14ac:dyDescent="0.2">
      <c r="A3" s="37"/>
      <c r="B3" s="37"/>
      <c r="C3" s="37"/>
      <c r="D3" s="42"/>
      <c r="E3" s="39"/>
    </row>
    <row r="4" spans="1:8" x14ac:dyDescent="0.2">
      <c r="A4" s="44" t="s">
        <v>30</v>
      </c>
      <c r="B4" s="45"/>
      <c r="C4" s="45"/>
      <c r="D4" s="46"/>
      <c r="E4" s="39"/>
      <c r="F4" s="39"/>
      <c r="G4" s="39"/>
    </row>
    <row r="5" spans="1:8" s="49" customFormat="1" ht="17" x14ac:dyDescent="0.2">
      <c r="A5" s="49" t="s">
        <v>31</v>
      </c>
      <c r="B5" s="49" t="s">
        <v>32</v>
      </c>
      <c r="C5" s="49" t="s">
        <v>52</v>
      </c>
      <c r="D5" s="53" t="s">
        <v>33</v>
      </c>
      <c r="E5" s="43" t="s">
        <v>27</v>
      </c>
      <c r="F5" s="43" t="s">
        <v>28</v>
      </c>
      <c r="G5" s="43" t="s">
        <v>29</v>
      </c>
    </row>
    <row r="6" spans="1:8" x14ac:dyDescent="0.2">
      <c r="A6" s="47">
        <v>45890</v>
      </c>
      <c r="B6" s="50">
        <v>1601</v>
      </c>
      <c r="C6" s="48" t="s">
        <v>41</v>
      </c>
      <c r="D6" s="41" t="s">
        <v>34</v>
      </c>
      <c r="E6" s="51">
        <v>960</v>
      </c>
      <c r="G6" s="51">
        <f>E6-F6</f>
        <v>960</v>
      </c>
    </row>
    <row r="7" spans="1:8" x14ac:dyDescent="0.2">
      <c r="A7" s="47">
        <v>45890</v>
      </c>
      <c r="B7" s="50">
        <v>501</v>
      </c>
      <c r="C7" s="48" t="s">
        <v>42</v>
      </c>
      <c r="D7" s="41" t="s">
        <v>36</v>
      </c>
      <c r="E7" s="51">
        <v>500</v>
      </c>
      <c r="G7" s="51">
        <f>G6+E7-F7</f>
        <v>1460</v>
      </c>
    </row>
    <row r="8" spans="1:8" x14ac:dyDescent="0.2">
      <c r="A8" s="47">
        <v>45890</v>
      </c>
      <c r="B8" s="50">
        <v>503</v>
      </c>
      <c r="C8" s="48" t="s">
        <v>43</v>
      </c>
      <c r="D8" s="41" t="s">
        <v>36</v>
      </c>
      <c r="E8" s="51">
        <v>325.89999999999998</v>
      </c>
      <c r="G8" s="51">
        <f>G7+E8-F8</f>
        <v>1785.9</v>
      </c>
    </row>
    <row r="9" spans="1:8" x14ac:dyDescent="0.2">
      <c r="A9" s="47">
        <v>45890</v>
      </c>
      <c r="B9" s="50">
        <v>302</v>
      </c>
      <c r="C9" s="48" t="s">
        <v>44</v>
      </c>
      <c r="D9" s="41" t="s">
        <v>36</v>
      </c>
      <c r="E9" s="51">
        <v>325.89999999999998</v>
      </c>
      <c r="G9" s="51">
        <f>G8+E9-F9</f>
        <v>2111.8000000000002</v>
      </c>
    </row>
    <row r="10" spans="1:8" x14ac:dyDescent="0.2">
      <c r="A10" s="47">
        <v>45890</v>
      </c>
      <c r="B10" s="50">
        <v>1301</v>
      </c>
      <c r="C10" s="48" t="s">
        <v>45</v>
      </c>
      <c r="D10" s="41" t="s">
        <v>36</v>
      </c>
      <c r="E10" s="51">
        <v>325.89999999999998</v>
      </c>
      <c r="G10" s="51">
        <f>G9+E10-F10</f>
        <v>2437.7000000000003</v>
      </c>
    </row>
    <row r="11" spans="1:8" x14ac:dyDescent="0.2">
      <c r="A11" s="47">
        <v>45890</v>
      </c>
      <c r="B11" s="40"/>
      <c r="C11" s="54"/>
      <c r="D11" s="41" t="s">
        <v>35</v>
      </c>
      <c r="F11" s="51">
        <v>427</v>
      </c>
      <c r="G11" s="51">
        <f>G10+E11-F11</f>
        <v>2010.7000000000003</v>
      </c>
    </row>
    <row r="12" spans="1:8" x14ac:dyDescent="0.2">
      <c r="A12" s="47">
        <v>45890</v>
      </c>
      <c r="B12" s="40"/>
      <c r="C12" s="54"/>
      <c r="D12" s="41" t="s">
        <v>37</v>
      </c>
      <c r="F12" s="51">
        <v>500</v>
      </c>
      <c r="G12" s="51">
        <f t="shared" ref="G12:G14" si="0">G11+E12-F12</f>
        <v>1510.7000000000003</v>
      </c>
    </row>
    <row r="13" spans="1:8" x14ac:dyDescent="0.2">
      <c r="A13" s="47">
        <v>45890</v>
      </c>
      <c r="B13" s="40"/>
      <c r="C13" s="54"/>
      <c r="D13" s="41" t="s">
        <v>38</v>
      </c>
      <c r="F13" s="51">
        <v>500</v>
      </c>
      <c r="G13" s="51">
        <f t="shared" si="0"/>
        <v>1010.7000000000003</v>
      </c>
    </row>
    <row r="14" spans="1:8" x14ac:dyDescent="0.2">
      <c r="A14" s="47">
        <v>45890</v>
      </c>
      <c r="B14" s="40"/>
      <c r="C14" s="54"/>
      <c r="D14" s="41" t="s">
        <v>39</v>
      </c>
      <c r="F14" s="51">
        <v>500</v>
      </c>
      <c r="G14" s="51">
        <f t="shared" si="0"/>
        <v>510.70000000000027</v>
      </c>
    </row>
    <row r="15" spans="1:8" x14ac:dyDescent="0.2">
      <c r="A15" s="47">
        <v>45890</v>
      </c>
      <c r="B15" s="40"/>
      <c r="C15" s="54"/>
      <c r="D15" s="41" t="s">
        <v>40</v>
      </c>
      <c r="F15" s="51">
        <v>500</v>
      </c>
      <c r="G15" s="51">
        <f>G14+E15-F15</f>
        <v>10.700000000000273</v>
      </c>
    </row>
    <row r="16" spans="1:8" x14ac:dyDescent="0.2">
      <c r="A16" s="47">
        <v>45890</v>
      </c>
      <c r="B16" s="40" t="s">
        <v>46</v>
      </c>
      <c r="C16" s="54" t="s">
        <v>47</v>
      </c>
      <c r="D16" s="41" t="s">
        <v>36</v>
      </c>
      <c r="E16" s="51">
        <v>300</v>
      </c>
      <c r="G16" s="51">
        <f t="shared" ref="G16:G19" si="1">G15+E16-F16</f>
        <v>310.70000000000027</v>
      </c>
      <c r="H16" s="52"/>
    </row>
    <row r="17" spans="1:9" x14ac:dyDescent="0.2">
      <c r="A17" s="47">
        <v>45890</v>
      </c>
      <c r="B17" s="40">
        <v>1303</v>
      </c>
      <c r="C17" s="54" t="s">
        <v>48</v>
      </c>
      <c r="D17" s="41" t="s">
        <v>36</v>
      </c>
      <c r="E17" s="51">
        <v>500</v>
      </c>
      <c r="G17" s="51">
        <f t="shared" si="1"/>
        <v>810.70000000000027</v>
      </c>
    </row>
    <row r="18" spans="1:9" x14ac:dyDescent="0.2">
      <c r="A18" s="47">
        <v>45890</v>
      </c>
      <c r="B18" s="40">
        <v>1701</v>
      </c>
      <c r="C18" s="54" t="s">
        <v>49</v>
      </c>
      <c r="D18" s="41" t="s">
        <v>51</v>
      </c>
      <c r="E18" s="51">
        <v>2793</v>
      </c>
      <c r="G18" s="51">
        <f t="shared" si="1"/>
        <v>3603.7000000000003</v>
      </c>
    </row>
    <row r="19" spans="1:9" x14ac:dyDescent="0.2">
      <c r="A19" s="47">
        <v>45890</v>
      </c>
      <c r="B19" s="40">
        <v>1202</v>
      </c>
      <c r="C19" s="54" t="s">
        <v>50</v>
      </c>
      <c r="D19" s="41" t="s">
        <v>36</v>
      </c>
      <c r="E19" s="51">
        <v>200</v>
      </c>
      <c r="G19" s="51">
        <f t="shared" si="1"/>
        <v>3803.7000000000003</v>
      </c>
    </row>
    <row r="20" spans="1:9" x14ac:dyDescent="0.2">
      <c r="A20" s="47">
        <v>45891</v>
      </c>
      <c r="B20" s="40"/>
      <c r="C20" s="40"/>
      <c r="D20" s="41" t="s">
        <v>53</v>
      </c>
      <c r="F20" s="51">
        <v>257.98</v>
      </c>
      <c r="G20" s="51">
        <f t="shared" ref="G20:G21" si="2">G19+E20-F20</f>
        <v>3545.7200000000003</v>
      </c>
    </row>
    <row r="21" spans="1:9" x14ac:dyDescent="0.2">
      <c r="A21" s="47">
        <v>45891</v>
      </c>
      <c r="B21" s="40"/>
      <c r="C21" s="40"/>
      <c r="D21" s="41" t="s">
        <v>54</v>
      </c>
      <c r="F21" s="51">
        <v>283.79000000000002</v>
      </c>
      <c r="G21" s="51">
        <f t="shared" si="2"/>
        <v>3261.9300000000003</v>
      </c>
    </row>
    <row r="22" spans="1:9" x14ac:dyDescent="0.2">
      <c r="A22" s="47">
        <v>45891</v>
      </c>
      <c r="B22" s="40"/>
      <c r="C22" s="40"/>
      <c r="D22" s="41" t="s">
        <v>55</v>
      </c>
      <c r="F22" s="51">
        <v>600</v>
      </c>
      <c r="G22" s="55">
        <f>G21+E22-F22</f>
        <v>2661.9300000000003</v>
      </c>
      <c r="H22" s="52"/>
      <c r="I22" s="52"/>
    </row>
    <row r="23" spans="1:9" x14ac:dyDescent="0.2">
      <c r="A23" s="47"/>
      <c r="B23" s="40"/>
      <c r="C23" s="40"/>
      <c r="E23" s="51">
        <f>SUM(E6:E22)</f>
        <v>6230.7000000000007</v>
      </c>
      <c r="F23" s="51">
        <f>SUM(F6:F22)</f>
        <v>3568.77</v>
      </c>
    </row>
    <row r="24" spans="1:9" x14ac:dyDescent="0.2">
      <c r="A24" s="47"/>
      <c r="B24" s="40"/>
      <c r="C24" s="40"/>
    </row>
    <row r="25" spans="1:9" x14ac:dyDescent="0.2">
      <c r="A25" s="47"/>
      <c r="B25" s="40"/>
      <c r="C25" s="40"/>
      <c r="D25" s="41" t="s">
        <v>59</v>
      </c>
      <c r="E25" s="55">
        <v>2661.93</v>
      </c>
      <c r="G25" s="51">
        <f>G23+E25-F25</f>
        <v>2661.93</v>
      </c>
    </row>
    <row r="26" spans="1:9" x14ac:dyDescent="0.2">
      <c r="A26" s="47">
        <v>45902</v>
      </c>
      <c r="B26" s="40">
        <v>1303</v>
      </c>
      <c r="C26" s="54" t="s">
        <v>48</v>
      </c>
      <c r="D26" s="41" t="s">
        <v>60</v>
      </c>
      <c r="E26" s="51">
        <v>200</v>
      </c>
      <c r="G26" s="51">
        <f>G25+E26-F26</f>
        <v>2861.93</v>
      </c>
    </row>
    <row r="27" spans="1:9" x14ac:dyDescent="0.2">
      <c r="A27" s="47">
        <v>45902</v>
      </c>
      <c r="B27" s="50">
        <v>501</v>
      </c>
      <c r="C27" s="48" t="s">
        <v>42</v>
      </c>
      <c r="D27" s="41" t="s">
        <v>60</v>
      </c>
      <c r="E27" s="51">
        <v>150</v>
      </c>
      <c r="G27" s="51">
        <f t="shared" ref="G27:G32" si="3">G26+E27-F27</f>
        <v>3011.93</v>
      </c>
    </row>
    <row r="28" spans="1:9" x14ac:dyDescent="0.2">
      <c r="A28" s="47">
        <v>45902</v>
      </c>
      <c r="B28" s="50">
        <v>503</v>
      </c>
      <c r="C28" s="48" t="s">
        <v>43</v>
      </c>
      <c r="D28" s="41" t="s">
        <v>60</v>
      </c>
      <c r="E28" s="51">
        <v>150</v>
      </c>
      <c r="G28" s="51">
        <f t="shared" si="3"/>
        <v>3161.93</v>
      </c>
    </row>
    <row r="29" spans="1:9" x14ac:dyDescent="0.2">
      <c r="A29" s="47">
        <v>45902</v>
      </c>
      <c r="B29" s="50">
        <v>302</v>
      </c>
      <c r="C29" s="48" t="s">
        <v>44</v>
      </c>
      <c r="D29" s="41" t="s">
        <v>60</v>
      </c>
      <c r="E29" s="51">
        <v>150</v>
      </c>
      <c r="G29" s="51">
        <f t="shared" si="3"/>
        <v>3311.93</v>
      </c>
    </row>
    <row r="30" spans="1:9" x14ac:dyDescent="0.2">
      <c r="A30" s="47">
        <v>45902</v>
      </c>
      <c r="B30" s="40">
        <v>1202</v>
      </c>
      <c r="C30" s="54" t="s">
        <v>50</v>
      </c>
      <c r="D30" s="41" t="s">
        <v>60</v>
      </c>
      <c r="E30" s="51">
        <v>100</v>
      </c>
      <c r="G30" s="51">
        <f t="shared" si="3"/>
        <v>3411.93</v>
      </c>
    </row>
    <row r="31" spans="1:9" x14ac:dyDescent="0.2">
      <c r="A31" s="47">
        <v>45902</v>
      </c>
      <c r="B31" s="40">
        <v>402</v>
      </c>
      <c r="C31" s="41" t="s">
        <v>57</v>
      </c>
      <c r="D31" s="41" t="s">
        <v>60</v>
      </c>
      <c r="E31" s="51">
        <v>150</v>
      </c>
      <c r="G31" s="51">
        <f t="shared" si="3"/>
        <v>3561.93</v>
      </c>
    </row>
    <row r="32" spans="1:9" x14ac:dyDescent="0.2">
      <c r="A32" s="47">
        <v>45903</v>
      </c>
      <c r="B32" s="40">
        <v>1601</v>
      </c>
      <c r="C32" s="48" t="s">
        <v>41</v>
      </c>
      <c r="D32" s="41" t="s">
        <v>60</v>
      </c>
      <c r="E32" s="51">
        <v>100</v>
      </c>
      <c r="G32" s="51">
        <f t="shared" si="3"/>
        <v>3661.93</v>
      </c>
    </row>
    <row r="33" spans="1:7" x14ac:dyDescent="0.2">
      <c r="A33" s="47">
        <v>45903</v>
      </c>
      <c r="D33" s="41" t="s">
        <v>58</v>
      </c>
      <c r="F33" s="51">
        <v>1000</v>
      </c>
      <c r="G33" s="51">
        <f>G32+E33-F33</f>
        <v>2661.93</v>
      </c>
    </row>
    <row r="34" spans="1:7" x14ac:dyDescent="0.2">
      <c r="A34" s="47">
        <v>45903</v>
      </c>
      <c r="D34" s="41" t="s">
        <v>61</v>
      </c>
      <c r="F34" s="51">
        <v>0.05</v>
      </c>
      <c r="G34" s="51">
        <f>G33+E34-F34</f>
        <v>2661.8799999999997</v>
      </c>
    </row>
    <row r="35" spans="1:7" x14ac:dyDescent="0.2">
      <c r="A35" s="47">
        <v>45910</v>
      </c>
      <c r="D35" s="41" t="s">
        <v>62</v>
      </c>
      <c r="F35" s="51">
        <v>394.8</v>
      </c>
      <c r="G35" s="51">
        <f>G34+E35-F35</f>
        <v>2267.0799999999995</v>
      </c>
    </row>
    <row r="36" spans="1:7" x14ac:dyDescent="0.2">
      <c r="A36" s="47">
        <v>45915</v>
      </c>
      <c r="D36" s="41" t="s">
        <v>66</v>
      </c>
      <c r="E36" s="51">
        <v>2000</v>
      </c>
      <c r="G36" s="51">
        <f t="shared" ref="G36:G41" si="4">G35+E36-F36</f>
        <v>4267.08</v>
      </c>
    </row>
    <row r="37" spans="1:7" x14ac:dyDescent="0.2">
      <c r="A37" s="47">
        <v>45915</v>
      </c>
      <c r="D37" s="41" t="s">
        <v>67</v>
      </c>
      <c r="F37" s="51">
        <v>500</v>
      </c>
      <c r="G37" s="51">
        <f t="shared" si="4"/>
        <v>3767.08</v>
      </c>
    </row>
    <row r="38" spans="1:7" x14ac:dyDescent="0.2">
      <c r="A38" s="47">
        <v>45915</v>
      </c>
      <c r="D38" s="41" t="s">
        <v>68</v>
      </c>
      <c r="F38" s="51">
        <v>500</v>
      </c>
      <c r="G38" s="51">
        <f t="shared" si="4"/>
        <v>3267.08</v>
      </c>
    </row>
    <row r="39" spans="1:7" x14ac:dyDescent="0.2">
      <c r="A39" s="47">
        <v>45915</v>
      </c>
      <c r="D39" s="41" t="s">
        <v>69</v>
      </c>
      <c r="F39" s="51">
        <v>500</v>
      </c>
      <c r="G39" s="51">
        <f t="shared" si="4"/>
        <v>2767.08</v>
      </c>
    </row>
    <row r="40" spans="1:7" x14ac:dyDescent="0.2">
      <c r="A40" s="47">
        <v>45915</v>
      </c>
      <c r="D40" s="41" t="s">
        <v>70</v>
      </c>
      <c r="F40" s="51">
        <v>500</v>
      </c>
      <c r="G40" s="51">
        <f t="shared" si="4"/>
        <v>2267.08</v>
      </c>
    </row>
    <row r="41" spans="1:7" x14ac:dyDescent="0.2">
      <c r="A41" s="47">
        <v>45915</v>
      </c>
      <c r="D41" s="41" t="s">
        <v>61</v>
      </c>
      <c r="F41" s="51">
        <v>0.1</v>
      </c>
      <c r="G41" s="51">
        <f t="shared" si="4"/>
        <v>2266.98</v>
      </c>
    </row>
    <row r="42" spans="1:7" x14ac:dyDescent="0.2">
      <c r="A42" s="47">
        <v>45916</v>
      </c>
      <c r="C42" s="41" t="s">
        <v>67</v>
      </c>
      <c r="D42" s="41" t="s">
        <v>88</v>
      </c>
      <c r="F42" s="51">
        <v>100</v>
      </c>
      <c r="G42" s="51">
        <f>G41+E42-F42</f>
        <v>2166.98</v>
      </c>
    </row>
    <row r="43" spans="1:7" x14ac:dyDescent="0.2">
      <c r="A43" s="47">
        <v>45916</v>
      </c>
      <c r="C43" s="41" t="s">
        <v>93</v>
      </c>
      <c r="E43" s="51">
        <v>1978</v>
      </c>
      <c r="G43" s="51">
        <f t="shared" ref="G43:G51" si="5">G42+E43-F43</f>
        <v>4144.9799999999996</v>
      </c>
    </row>
    <row r="44" spans="1:7" x14ac:dyDescent="0.2">
      <c r="A44" s="47">
        <v>45916</v>
      </c>
      <c r="D44" s="41" t="s">
        <v>61</v>
      </c>
      <c r="F44" s="51">
        <v>0.05</v>
      </c>
      <c r="G44" s="51">
        <f t="shared" si="5"/>
        <v>4144.9299999999994</v>
      </c>
    </row>
    <row r="45" spans="1:7" x14ac:dyDescent="0.2">
      <c r="A45" s="47">
        <v>45916</v>
      </c>
      <c r="C45" s="41" t="s">
        <v>90</v>
      </c>
      <c r="D45" s="41" t="s">
        <v>91</v>
      </c>
      <c r="F45" s="51">
        <v>427</v>
      </c>
      <c r="G45" s="51">
        <f t="shared" si="5"/>
        <v>3717.9299999999994</v>
      </c>
    </row>
    <row r="46" spans="1:7" x14ac:dyDescent="0.2">
      <c r="A46" s="47">
        <v>45917</v>
      </c>
      <c r="C46" s="41" t="s">
        <v>94</v>
      </c>
      <c r="D46" s="41" t="s">
        <v>95</v>
      </c>
      <c r="F46" s="51">
        <v>1120</v>
      </c>
      <c r="G46" s="51">
        <f t="shared" si="5"/>
        <v>2597.9299999999994</v>
      </c>
    </row>
    <row r="47" spans="1:7" x14ac:dyDescent="0.2">
      <c r="A47" s="47">
        <v>45917</v>
      </c>
      <c r="C47" s="41" t="s">
        <v>96</v>
      </c>
      <c r="D47" s="41" t="s">
        <v>65</v>
      </c>
      <c r="F47" s="51">
        <v>498</v>
      </c>
      <c r="G47" s="51">
        <f t="shared" si="5"/>
        <v>2099.9299999999994</v>
      </c>
    </row>
    <row r="48" spans="1:7" x14ac:dyDescent="0.2">
      <c r="A48" s="47">
        <v>45917</v>
      </c>
      <c r="D48" s="41" t="s">
        <v>61</v>
      </c>
      <c r="F48" s="51">
        <v>0.05</v>
      </c>
      <c r="G48" s="51">
        <f t="shared" si="5"/>
        <v>2099.8799999999992</v>
      </c>
    </row>
    <row r="49" spans="1:7" x14ac:dyDescent="0.2">
      <c r="A49" s="47">
        <v>45919</v>
      </c>
      <c r="C49" s="41" t="s">
        <v>97</v>
      </c>
      <c r="D49" s="41" t="s">
        <v>98</v>
      </c>
      <c r="F49" s="51">
        <v>200</v>
      </c>
      <c r="G49" s="51">
        <f t="shared" si="5"/>
        <v>1899.8799999999992</v>
      </c>
    </row>
    <row r="50" spans="1:7" x14ac:dyDescent="0.2">
      <c r="A50" s="47">
        <v>45919</v>
      </c>
      <c r="C50" s="41" t="s">
        <v>99</v>
      </c>
      <c r="D50" s="41" t="s">
        <v>100</v>
      </c>
      <c r="F50" s="51">
        <v>160</v>
      </c>
      <c r="G50" s="55">
        <f t="shared" si="5"/>
        <v>1739.8799999999992</v>
      </c>
    </row>
    <row r="51" spans="1:7" x14ac:dyDescent="0.2">
      <c r="A51" s="47"/>
      <c r="D51" s="41" t="s">
        <v>101</v>
      </c>
      <c r="F51" s="51">
        <v>200</v>
      </c>
      <c r="G51" s="55">
        <f t="shared" si="5"/>
        <v>1539.8799999999992</v>
      </c>
    </row>
    <row r="52" spans="1:7" x14ac:dyDescent="0.2">
      <c r="A52" s="47"/>
      <c r="D52" s="41" t="s">
        <v>102</v>
      </c>
      <c r="F52" s="51">
        <v>16</v>
      </c>
      <c r="G52" s="55">
        <f>G51+E52-F52</f>
        <v>1523.8799999999992</v>
      </c>
    </row>
    <row r="53" spans="1:7" x14ac:dyDescent="0.2">
      <c r="A53" s="47"/>
    </row>
    <row r="54" spans="1:7" x14ac:dyDescent="0.2">
      <c r="A54" s="47"/>
    </row>
    <row r="55" spans="1:7" x14ac:dyDescent="0.2">
      <c r="A55" s="47"/>
    </row>
    <row r="56" spans="1:7" x14ac:dyDescent="0.2">
      <c r="A56" s="47"/>
    </row>
    <row r="57" spans="1:7" x14ac:dyDescent="0.2">
      <c r="A57" s="47"/>
    </row>
    <row r="58" spans="1:7" x14ac:dyDescent="0.2">
      <c r="A58" s="47"/>
    </row>
    <row r="59" spans="1:7" x14ac:dyDescent="0.2">
      <c r="A59" s="47"/>
    </row>
    <row r="60" spans="1:7" x14ac:dyDescent="0.2">
      <c r="A60" s="47"/>
    </row>
    <row r="61" spans="1:7" x14ac:dyDescent="0.2">
      <c r="A61" s="47"/>
    </row>
    <row r="62" spans="1:7" x14ac:dyDescent="0.2">
      <c r="A62" s="47"/>
    </row>
    <row r="63" spans="1:7" x14ac:dyDescent="0.2">
      <c r="A63" s="47"/>
    </row>
    <row r="64" spans="1:7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6" t="s">
        <v>19</v>
      </c>
      <c r="B1" s="37"/>
      <c r="C1" s="37"/>
      <c r="D1" s="38"/>
      <c r="E1" s="39"/>
      <c r="F1" s="40"/>
      <c r="G1" s="40"/>
    </row>
    <row r="2" spans="1:7" ht="16" x14ac:dyDescent="0.2">
      <c r="A2" s="36" t="s">
        <v>63</v>
      </c>
      <c r="B2" s="37"/>
      <c r="C2" s="37"/>
      <c r="D2" s="42"/>
      <c r="E2" s="43"/>
      <c r="F2" s="40"/>
      <c r="G2" s="40"/>
    </row>
    <row r="3" spans="1:7" ht="16" x14ac:dyDescent="0.2">
      <c r="A3" s="36" t="s">
        <v>81</v>
      </c>
      <c r="B3" s="37"/>
      <c r="C3" s="37"/>
      <c r="D3" s="42"/>
      <c r="E3" s="39"/>
      <c r="F3" s="40"/>
      <c r="G3" s="40"/>
    </row>
    <row r="4" spans="1:7" ht="16" x14ac:dyDescent="0.2">
      <c r="A4" s="36" t="s">
        <v>83</v>
      </c>
      <c r="B4" s="37"/>
      <c r="C4" s="37"/>
      <c r="D4" s="42"/>
      <c r="E4" s="39"/>
      <c r="F4" s="40"/>
      <c r="G4" s="40"/>
    </row>
    <row r="5" spans="1:7" ht="16" x14ac:dyDescent="0.2">
      <c r="A5" s="36" t="s">
        <v>84</v>
      </c>
      <c r="B5" s="37"/>
      <c r="C5" s="37"/>
      <c r="D5" s="42"/>
      <c r="E5" s="39"/>
      <c r="F5" s="40"/>
      <c r="G5" s="40"/>
    </row>
    <row r="6" spans="1:7" ht="16" x14ac:dyDescent="0.2">
      <c r="A6" s="44" t="s">
        <v>82</v>
      </c>
      <c r="B6" s="45"/>
      <c r="C6" s="45"/>
      <c r="D6" s="46"/>
      <c r="E6" s="39"/>
      <c r="F6" s="39"/>
      <c r="G6" s="39"/>
    </row>
    <row r="7" spans="1:7" ht="17" x14ac:dyDescent="0.2">
      <c r="A7" s="49" t="s">
        <v>31</v>
      </c>
      <c r="B7" s="49" t="s">
        <v>32</v>
      </c>
      <c r="C7" s="49" t="s">
        <v>52</v>
      </c>
      <c r="D7" s="53" t="s">
        <v>33</v>
      </c>
      <c r="E7" s="43" t="s">
        <v>27</v>
      </c>
      <c r="F7" s="43" t="s">
        <v>28</v>
      </c>
      <c r="G7" s="43" t="s">
        <v>29</v>
      </c>
    </row>
    <row r="8" spans="1:7" ht="16" x14ac:dyDescent="0.2">
      <c r="A8" s="47"/>
      <c r="B8" s="50"/>
      <c r="C8" s="48"/>
      <c r="D8" s="41"/>
      <c r="E8" s="51"/>
      <c r="F8" s="51"/>
      <c r="G8" s="51">
        <f>E8-F8</f>
        <v>0</v>
      </c>
    </row>
    <row r="9" spans="1:7" ht="16" x14ac:dyDescent="0.2">
      <c r="A9" s="47">
        <v>45905</v>
      </c>
      <c r="B9" s="50">
        <v>201</v>
      </c>
      <c r="C9" s="48" t="s">
        <v>78</v>
      </c>
      <c r="D9" s="41" t="s">
        <v>85</v>
      </c>
      <c r="E9" s="51">
        <v>456.4</v>
      </c>
      <c r="G9" s="51">
        <f>G8+E9-F9</f>
        <v>456.4</v>
      </c>
    </row>
    <row r="10" spans="1:7" ht="16" x14ac:dyDescent="0.2">
      <c r="A10" s="47">
        <v>45905</v>
      </c>
      <c r="B10" s="50"/>
      <c r="C10" s="48" t="s">
        <v>79</v>
      </c>
      <c r="D10" s="41"/>
      <c r="E10" s="51">
        <v>463.9</v>
      </c>
      <c r="G10" s="51">
        <f t="shared" ref="G10:G74" si="0">G9+E10-F10</f>
        <v>920.3</v>
      </c>
    </row>
    <row r="11" spans="1:7" ht="16" x14ac:dyDescent="0.2">
      <c r="A11" s="47">
        <v>45905</v>
      </c>
      <c r="B11" s="50">
        <v>303</v>
      </c>
      <c r="C11" s="48" t="s">
        <v>80</v>
      </c>
      <c r="D11" s="41"/>
      <c r="E11" s="51">
        <v>273.89999999999998</v>
      </c>
      <c r="F11" s="51"/>
      <c r="G11" s="51">
        <f t="shared" si="0"/>
        <v>1194.1999999999998</v>
      </c>
    </row>
    <row r="12" spans="1:7" ht="16" x14ac:dyDescent="0.2">
      <c r="A12" s="47">
        <v>45908</v>
      </c>
      <c r="B12" s="50">
        <v>1102</v>
      </c>
      <c r="C12" t="s">
        <v>77</v>
      </c>
      <c r="E12" s="51">
        <v>220</v>
      </c>
      <c r="G12" s="51">
        <f t="shared" si="0"/>
        <v>1414.1999999999998</v>
      </c>
    </row>
    <row r="13" spans="1:7" ht="16" x14ac:dyDescent="0.2">
      <c r="A13" s="47">
        <v>45908</v>
      </c>
      <c r="B13" s="50">
        <v>701</v>
      </c>
      <c r="D13" s="58">
        <v>45901</v>
      </c>
      <c r="E13" s="51">
        <v>471.7</v>
      </c>
      <c r="G13" s="51">
        <f t="shared" si="0"/>
        <v>1885.8999999999999</v>
      </c>
    </row>
    <row r="14" spans="1:7" ht="16" x14ac:dyDescent="0.2">
      <c r="A14" s="47">
        <v>45909</v>
      </c>
      <c r="B14" s="50">
        <v>503</v>
      </c>
      <c r="C14" s="48" t="s">
        <v>43</v>
      </c>
      <c r="E14" s="51">
        <v>436.5</v>
      </c>
      <c r="G14" s="51">
        <f t="shared" si="0"/>
        <v>2322.3999999999996</v>
      </c>
    </row>
    <row r="15" spans="1:7" ht="16" x14ac:dyDescent="0.2">
      <c r="A15" s="47">
        <v>45909</v>
      </c>
      <c r="B15" s="50">
        <v>306</v>
      </c>
      <c r="E15" s="51">
        <v>20000</v>
      </c>
      <c r="G15" s="51">
        <f t="shared" si="0"/>
        <v>22322.400000000001</v>
      </c>
    </row>
    <row r="16" spans="1:7" ht="16" x14ac:dyDescent="0.2">
      <c r="A16" s="47"/>
      <c r="B16" s="50"/>
      <c r="D16" t="s">
        <v>64</v>
      </c>
      <c r="E16" s="51">
        <v>1</v>
      </c>
      <c r="G16" s="51">
        <f t="shared" si="0"/>
        <v>22323.4</v>
      </c>
    </row>
    <row r="17" spans="1:7" ht="16" x14ac:dyDescent="0.2">
      <c r="A17" s="47"/>
      <c r="B17" s="50"/>
      <c r="C17" t="s">
        <v>76</v>
      </c>
      <c r="E17" s="51">
        <v>117.9</v>
      </c>
      <c r="G17" s="51">
        <f t="shared" si="0"/>
        <v>22441.300000000003</v>
      </c>
    </row>
    <row r="18" spans="1:7" ht="16" x14ac:dyDescent="0.2">
      <c r="A18" s="47">
        <v>45910</v>
      </c>
      <c r="B18" s="50">
        <v>1101</v>
      </c>
      <c r="E18" s="51">
        <v>380.2</v>
      </c>
      <c r="G18" s="51">
        <f t="shared" si="0"/>
        <v>22821.500000000004</v>
      </c>
    </row>
    <row r="19" spans="1:7" ht="16" x14ac:dyDescent="0.2">
      <c r="A19" s="47">
        <v>45910</v>
      </c>
      <c r="B19" s="50"/>
      <c r="C19" t="s">
        <v>71</v>
      </c>
      <c r="E19" s="51">
        <v>473</v>
      </c>
      <c r="G19" s="51">
        <f t="shared" si="0"/>
        <v>23294.500000000004</v>
      </c>
    </row>
    <row r="20" spans="1:7" ht="16" x14ac:dyDescent="0.2">
      <c r="A20" s="47">
        <v>45910</v>
      </c>
      <c r="B20" s="50"/>
      <c r="C20" t="s">
        <v>71</v>
      </c>
      <c r="E20" s="51">
        <v>13.8</v>
      </c>
      <c r="G20" s="51">
        <f t="shared" si="0"/>
        <v>23308.300000000003</v>
      </c>
    </row>
    <row r="21" spans="1:7" ht="16" x14ac:dyDescent="0.2">
      <c r="A21" s="47">
        <v>45910</v>
      </c>
      <c r="B21" s="50"/>
      <c r="E21" s="51">
        <v>516.6</v>
      </c>
      <c r="G21" s="51">
        <f t="shared" si="0"/>
        <v>23824.9</v>
      </c>
    </row>
    <row r="22" spans="1:7" ht="16" x14ac:dyDescent="0.2">
      <c r="A22" s="47">
        <v>45910</v>
      </c>
      <c r="B22" s="50"/>
      <c r="C22" t="s">
        <v>72</v>
      </c>
      <c r="E22" s="51">
        <v>524.20000000000005</v>
      </c>
      <c r="G22" s="51">
        <f t="shared" si="0"/>
        <v>24349.100000000002</v>
      </c>
    </row>
    <row r="23" spans="1:7" ht="16" x14ac:dyDescent="0.2">
      <c r="A23" s="47">
        <v>45913</v>
      </c>
      <c r="B23" s="50">
        <v>202</v>
      </c>
      <c r="C23" t="s">
        <v>73</v>
      </c>
      <c r="E23" s="51">
        <v>278.3</v>
      </c>
      <c r="G23" s="51">
        <f t="shared" si="0"/>
        <v>24627.4</v>
      </c>
    </row>
    <row r="24" spans="1:7" ht="16" x14ac:dyDescent="0.2">
      <c r="A24" s="47">
        <v>45913</v>
      </c>
      <c r="B24" s="50">
        <v>1702</v>
      </c>
      <c r="C24" t="s">
        <v>74</v>
      </c>
      <c r="D24" s="58">
        <v>45870</v>
      </c>
      <c r="E24" s="51">
        <v>457.8</v>
      </c>
      <c r="G24" s="51">
        <f t="shared" si="0"/>
        <v>25085.200000000001</v>
      </c>
    </row>
    <row r="25" spans="1:7" ht="16" x14ac:dyDescent="0.2">
      <c r="A25" s="47">
        <v>45913</v>
      </c>
      <c r="B25" s="50">
        <v>1702</v>
      </c>
      <c r="C25" t="s">
        <v>74</v>
      </c>
      <c r="D25" s="58">
        <v>45901</v>
      </c>
      <c r="E25" s="51">
        <v>449.6</v>
      </c>
      <c r="G25" s="51">
        <f t="shared" si="0"/>
        <v>25534.799999999999</v>
      </c>
    </row>
    <row r="26" spans="1:7" ht="16" x14ac:dyDescent="0.2">
      <c r="A26" s="47">
        <v>45914</v>
      </c>
      <c r="B26" s="50">
        <v>402</v>
      </c>
      <c r="C26" t="s">
        <v>75</v>
      </c>
      <c r="E26" s="51">
        <v>225</v>
      </c>
      <c r="G26" s="51">
        <f t="shared" si="0"/>
        <v>25759.8</v>
      </c>
    </row>
    <row r="27" spans="1:7" ht="16" x14ac:dyDescent="0.2">
      <c r="A27" s="47">
        <v>45915</v>
      </c>
      <c r="B27" s="50">
        <v>702</v>
      </c>
      <c r="E27" s="51">
        <v>245.9</v>
      </c>
      <c r="G27" s="51">
        <f t="shared" si="0"/>
        <v>26005.7</v>
      </c>
    </row>
    <row r="28" spans="1:7" ht="16" x14ac:dyDescent="0.2">
      <c r="A28" s="47">
        <v>45915</v>
      </c>
      <c r="D28" t="s">
        <v>86</v>
      </c>
      <c r="F28">
        <v>2000</v>
      </c>
      <c r="G28" s="51">
        <f t="shared" si="0"/>
        <v>24005.7</v>
      </c>
    </row>
    <row r="29" spans="1:7" ht="16" x14ac:dyDescent="0.2">
      <c r="A29" s="47"/>
      <c r="G29" s="51">
        <f t="shared" si="0"/>
        <v>24005.7</v>
      </c>
    </row>
    <row r="30" spans="1:7" ht="16" x14ac:dyDescent="0.2">
      <c r="A30" s="47"/>
      <c r="G30" s="51">
        <f t="shared" si="0"/>
        <v>24005.7</v>
      </c>
    </row>
    <row r="31" spans="1:7" ht="16" x14ac:dyDescent="0.2">
      <c r="A31" s="47"/>
      <c r="G31" s="51">
        <f t="shared" si="0"/>
        <v>24005.7</v>
      </c>
    </row>
    <row r="32" spans="1:7" ht="16" x14ac:dyDescent="0.2">
      <c r="A32" s="47"/>
      <c r="G32" s="51">
        <f t="shared" si="0"/>
        <v>24005.7</v>
      </c>
    </row>
    <row r="33" spans="1:7" ht="16" x14ac:dyDescent="0.2">
      <c r="A33" s="47"/>
      <c r="G33" s="51">
        <f t="shared" si="0"/>
        <v>24005.7</v>
      </c>
    </row>
    <row r="34" spans="1:7" ht="16" x14ac:dyDescent="0.2">
      <c r="A34" s="47"/>
      <c r="G34" s="51">
        <f t="shared" si="0"/>
        <v>24005.7</v>
      </c>
    </row>
    <row r="35" spans="1:7" ht="16" x14ac:dyDescent="0.2">
      <c r="G35" s="51">
        <f t="shared" si="0"/>
        <v>24005.7</v>
      </c>
    </row>
    <row r="36" spans="1:7" ht="16" x14ac:dyDescent="0.2">
      <c r="G36" s="51">
        <f t="shared" si="0"/>
        <v>24005.7</v>
      </c>
    </row>
    <row r="37" spans="1:7" ht="16" x14ac:dyDescent="0.2">
      <c r="G37" s="51">
        <f t="shared" si="0"/>
        <v>24005.7</v>
      </c>
    </row>
    <row r="38" spans="1:7" ht="16" x14ac:dyDescent="0.2">
      <c r="G38" s="51">
        <f t="shared" si="0"/>
        <v>24005.7</v>
      </c>
    </row>
    <row r="39" spans="1:7" ht="16" x14ac:dyDescent="0.2">
      <c r="G39" s="51">
        <f t="shared" si="0"/>
        <v>24005.7</v>
      </c>
    </row>
    <row r="40" spans="1:7" ht="16" x14ac:dyDescent="0.2">
      <c r="G40" s="51">
        <f t="shared" si="0"/>
        <v>24005.7</v>
      </c>
    </row>
    <row r="41" spans="1:7" ht="16" x14ac:dyDescent="0.2">
      <c r="G41" s="51">
        <f t="shared" si="0"/>
        <v>24005.7</v>
      </c>
    </row>
    <row r="42" spans="1:7" ht="16" x14ac:dyDescent="0.2">
      <c r="G42" s="51">
        <f t="shared" si="0"/>
        <v>24005.7</v>
      </c>
    </row>
    <row r="43" spans="1:7" ht="16" x14ac:dyDescent="0.2">
      <c r="G43" s="51">
        <f t="shared" si="0"/>
        <v>24005.7</v>
      </c>
    </row>
    <row r="44" spans="1:7" ht="16" x14ac:dyDescent="0.2">
      <c r="G44" s="51">
        <f t="shared" si="0"/>
        <v>24005.7</v>
      </c>
    </row>
    <row r="45" spans="1:7" ht="16" x14ac:dyDescent="0.2">
      <c r="G45" s="51">
        <f t="shared" si="0"/>
        <v>24005.7</v>
      </c>
    </row>
    <row r="46" spans="1:7" ht="16" x14ac:dyDescent="0.2">
      <c r="G46" s="51">
        <f t="shared" si="0"/>
        <v>24005.7</v>
      </c>
    </row>
    <row r="47" spans="1:7" ht="16" x14ac:dyDescent="0.2">
      <c r="G47" s="51">
        <f t="shared" si="0"/>
        <v>24005.7</v>
      </c>
    </row>
    <row r="48" spans="1:7" ht="16" x14ac:dyDescent="0.2">
      <c r="G48" s="51">
        <f t="shared" si="0"/>
        <v>24005.7</v>
      </c>
    </row>
    <row r="49" spans="7:7" ht="16" x14ac:dyDescent="0.2">
      <c r="G49" s="51">
        <f t="shared" si="0"/>
        <v>24005.7</v>
      </c>
    </row>
    <row r="50" spans="7:7" ht="16" x14ac:dyDescent="0.2">
      <c r="G50" s="51">
        <f t="shared" si="0"/>
        <v>24005.7</v>
      </c>
    </row>
    <row r="51" spans="7:7" ht="16" x14ac:dyDescent="0.2">
      <c r="G51" s="51">
        <f t="shared" si="0"/>
        <v>24005.7</v>
      </c>
    </row>
    <row r="52" spans="7:7" ht="16" x14ac:dyDescent="0.2">
      <c r="G52" s="51">
        <f t="shared" si="0"/>
        <v>24005.7</v>
      </c>
    </row>
    <row r="53" spans="7:7" ht="16" x14ac:dyDescent="0.2">
      <c r="G53" s="51">
        <f t="shared" si="0"/>
        <v>24005.7</v>
      </c>
    </row>
    <row r="54" spans="7:7" ht="16" x14ac:dyDescent="0.2">
      <c r="G54" s="51">
        <f t="shared" si="0"/>
        <v>24005.7</v>
      </c>
    </row>
    <row r="55" spans="7:7" ht="16" x14ac:dyDescent="0.2">
      <c r="G55" s="51">
        <f t="shared" si="0"/>
        <v>24005.7</v>
      </c>
    </row>
    <row r="56" spans="7:7" ht="16" x14ac:dyDescent="0.2">
      <c r="G56" s="51">
        <f t="shared" si="0"/>
        <v>24005.7</v>
      </c>
    </row>
    <row r="57" spans="7:7" ht="16" x14ac:dyDescent="0.2">
      <c r="G57" s="51">
        <f t="shared" si="0"/>
        <v>24005.7</v>
      </c>
    </row>
    <row r="58" spans="7:7" ht="16" x14ac:dyDescent="0.2">
      <c r="G58" s="51">
        <f t="shared" si="0"/>
        <v>24005.7</v>
      </c>
    </row>
    <row r="59" spans="7:7" ht="16" x14ac:dyDescent="0.2">
      <c r="G59" s="51">
        <f t="shared" si="0"/>
        <v>24005.7</v>
      </c>
    </row>
    <row r="60" spans="7:7" ht="16" x14ac:dyDescent="0.2">
      <c r="G60" s="51">
        <f t="shared" si="0"/>
        <v>24005.7</v>
      </c>
    </row>
    <row r="61" spans="7:7" ht="16" x14ac:dyDescent="0.2">
      <c r="G61" s="51">
        <f t="shared" si="0"/>
        <v>24005.7</v>
      </c>
    </row>
    <row r="62" spans="7:7" ht="16" x14ac:dyDescent="0.2">
      <c r="G62" s="51">
        <f t="shared" si="0"/>
        <v>24005.7</v>
      </c>
    </row>
    <row r="63" spans="7:7" ht="16" x14ac:dyDescent="0.2">
      <c r="G63" s="51">
        <f t="shared" si="0"/>
        <v>24005.7</v>
      </c>
    </row>
    <row r="64" spans="7:7" ht="16" x14ac:dyDescent="0.2">
      <c r="G64" s="51">
        <f t="shared" si="0"/>
        <v>24005.7</v>
      </c>
    </row>
    <row r="65" spans="7:7" ht="16" x14ac:dyDescent="0.2">
      <c r="G65" s="51">
        <f t="shared" si="0"/>
        <v>24005.7</v>
      </c>
    </row>
    <row r="66" spans="7:7" ht="16" x14ac:dyDescent="0.2">
      <c r="G66" s="51">
        <f t="shared" si="0"/>
        <v>24005.7</v>
      </c>
    </row>
    <row r="67" spans="7:7" ht="16" x14ac:dyDescent="0.2">
      <c r="G67" s="51">
        <f t="shared" si="0"/>
        <v>24005.7</v>
      </c>
    </row>
    <row r="68" spans="7:7" ht="16" x14ac:dyDescent="0.2">
      <c r="G68" s="51">
        <f t="shared" si="0"/>
        <v>24005.7</v>
      </c>
    </row>
    <row r="69" spans="7:7" ht="16" x14ac:dyDescent="0.2">
      <c r="G69" s="51">
        <f t="shared" si="0"/>
        <v>24005.7</v>
      </c>
    </row>
    <row r="70" spans="7:7" ht="16" x14ac:dyDescent="0.2">
      <c r="G70" s="51">
        <f t="shared" si="0"/>
        <v>24005.7</v>
      </c>
    </row>
    <row r="71" spans="7:7" ht="16" x14ac:dyDescent="0.2">
      <c r="G71" s="51">
        <f t="shared" si="0"/>
        <v>24005.7</v>
      </c>
    </row>
    <row r="72" spans="7:7" ht="16" x14ac:dyDescent="0.2">
      <c r="G72" s="51">
        <f t="shared" si="0"/>
        <v>24005.7</v>
      </c>
    </row>
    <row r="73" spans="7:7" ht="16" x14ac:dyDescent="0.2">
      <c r="G73" s="51">
        <f t="shared" si="0"/>
        <v>24005.7</v>
      </c>
    </row>
    <row r="74" spans="7:7" ht="16" x14ac:dyDescent="0.2">
      <c r="G74" s="51">
        <f t="shared" si="0"/>
        <v>24005.7</v>
      </c>
    </row>
    <row r="75" spans="7:7" ht="16" x14ac:dyDescent="0.2">
      <c r="G75" s="51">
        <f t="shared" ref="G75:G120" si="1">G74+E75-F75</f>
        <v>24005.7</v>
      </c>
    </row>
    <row r="76" spans="7:7" ht="16" x14ac:dyDescent="0.2">
      <c r="G76" s="51">
        <f t="shared" si="1"/>
        <v>24005.7</v>
      </c>
    </row>
    <row r="77" spans="7:7" ht="16" x14ac:dyDescent="0.2">
      <c r="G77" s="51">
        <f t="shared" si="1"/>
        <v>24005.7</v>
      </c>
    </row>
    <row r="78" spans="7:7" ht="16" x14ac:dyDescent="0.2">
      <c r="G78" s="51">
        <f t="shared" si="1"/>
        <v>24005.7</v>
      </c>
    </row>
    <row r="79" spans="7:7" ht="16" x14ac:dyDescent="0.2">
      <c r="G79" s="51">
        <f t="shared" si="1"/>
        <v>24005.7</v>
      </c>
    </row>
    <row r="80" spans="7:7" ht="16" x14ac:dyDescent="0.2">
      <c r="G80" s="51">
        <f t="shared" si="1"/>
        <v>24005.7</v>
      </c>
    </row>
    <row r="81" spans="7:7" ht="16" x14ac:dyDescent="0.2">
      <c r="G81" s="51">
        <f t="shared" si="1"/>
        <v>24005.7</v>
      </c>
    </row>
    <row r="82" spans="7:7" ht="16" x14ac:dyDescent="0.2">
      <c r="G82" s="51">
        <f t="shared" si="1"/>
        <v>24005.7</v>
      </c>
    </row>
    <row r="83" spans="7:7" ht="16" x14ac:dyDescent="0.2">
      <c r="G83" s="51">
        <f t="shared" si="1"/>
        <v>24005.7</v>
      </c>
    </row>
    <row r="84" spans="7:7" ht="16" x14ac:dyDescent="0.2">
      <c r="G84" s="51">
        <f t="shared" si="1"/>
        <v>24005.7</v>
      </c>
    </row>
    <row r="85" spans="7:7" ht="16" x14ac:dyDescent="0.2">
      <c r="G85" s="51">
        <f t="shared" si="1"/>
        <v>24005.7</v>
      </c>
    </row>
    <row r="86" spans="7:7" ht="16" x14ac:dyDescent="0.2">
      <c r="G86" s="51">
        <f t="shared" si="1"/>
        <v>24005.7</v>
      </c>
    </row>
    <row r="87" spans="7:7" ht="16" x14ac:dyDescent="0.2">
      <c r="G87" s="51">
        <f t="shared" si="1"/>
        <v>24005.7</v>
      </c>
    </row>
    <row r="88" spans="7:7" ht="16" x14ac:dyDescent="0.2">
      <c r="G88" s="51">
        <f t="shared" si="1"/>
        <v>24005.7</v>
      </c>
    </row>
    <row r="89" spans="7:7" ht="16" x14ac:dyDescent="0.2">
      <c r="G89" s="51">
        <f t="shared" si="1"/>
        <v>24005.7</v>
      </c>
    </row>
    <row r="90" spans="7:7" ht="16" x14ac:dyDescent="0.2">
      <c r="G90" s="51">
        <f t="shared" si="1"/>
        <v>24005.7</v>
      </c>
    </row>
    <row r="91" spans="7:7" ht="16" x14ac:dyDescent="0.2">
      <c r="G91" s="51">
        <f t="shared" si="1"/>
        <v>24005.7</v>
      </c>
    </row>
    <row r="92" spans="7:7" ht="16" x14ac:dyDescent="0.2">
      <c r="G92" s="51">
        <f t="shared" si="1"/>
        <v>24005.7</v>
      </c>
    </row>
    <row r="93" spans="7:7" ht="16" x14ac:dyDescent="0.2">
      <c r="G93" s="51">
        <f t="shared" si="1"/>
        <v>24005.7</v>
      </c>
    </row>
    <row r="94" spans="7:7" ht="16" x14ac:dyDescent="0.2">
      <c r="G94" s="51">
        <f t="shared" si="1"/>
        <v>24005.7</v>
      </c>
    </row>
    <row r="95" spans="7:7" ht="16" x14ac:dyDescent="0.2">
      <c r="G95" s="51">
        <f t="shared" si="1"/>
        <v>24005.7</v>
      </c>
    </row>
    <row r="96" spans="7:7" ht="16" x14ac:dyDescent="0.2">
      <c r="G96" s="51">
        <f t="shared" si="1"/>
        <v>24005.7</v>
      </c>
    </row>
    <row r="97" spans="7:7" ht="16" x14ac:dyDescent="0.2">
      <c r="G97" s="51">
        <f t="shared" si="1"/>
        <v>24005.7</v>
      </c>
    </row>
    <row r="98" spans="7:7" ht="16" x14ac:dyDescent="0.2">
      <c r="G98" s="51">
        <f t="shared" si="1"/>
        <v>24005.7</v>
      </c>
    </row>
    <row r="99" spans="7:7" ht="16" x14ac:dyDescent="0.2">
      <c r="G99" s="51">
        <f t="shared" si="1"/>
        <v>24005.7</v>
      </c>
    </row>
    <row r="100" spans="7:7" ht="16" x14ac:dyDescent="0.2">
      <c r="G100" s="51">
        <f t="shared" si="1"/>
        <v>24005.7</v>
      </c>
    </row>
    <row r="101" spans="7:7" ht="16" x14ac:dyDescent="0.2">
      <c r="G101" s="51">
        <f t="shared" si="1"/>
        <v>24005.7</v>
      </c>
    </row>
    <row r="102" spans="7:7" ht="16" x14ac:dyDescent="0.2">
      <c r="G102" s="51">
        <f t="shared" si="1"/>
        <v>24005.7</v>
      </c>
    </row>
    <row r="103" spans="7:7" ht="16" x14ac:dyDescent="0.2">
      <c r="G103" s="51">
        <f t="shared" si="1"/>
        <v>24005.7</v>
      </c>
    </row>
    <row r="104" spans="7:7" ht="16" x14ac:dyDescent="0.2">
      <c r="G104" s="51">
        <f t="shared" si="1"/>
        <v>24005.7</v>
      </c>
    </row>
    <row r="105" spans="7:7" ht="16" x14ac:dyDescent="0.2">
      <c r="G105" s="51">
        <f t="shared" si="1"/>
        <v>24005.7</v>
      </c>
    </row>
    <row r="106" spans="7:7" ht="16" x14ac:dyDescent="0.2">
      <c r="G106" s="51">
        <f t="shared" si="1"/>
        <v>24005.7</v>
      </c>
    </row>
    <row r="107" spans="7:7" ht="16" x14ac:dyDescent="0.2">
      <c r="G107" s="51">
        <f t="shared" si="1"/>
        <v>24005.7</v>
      </c>
    </row>
    <row r="108" spans="7:7" ht="16" x14ac:dyDescent="0.2">
      <c r="G108" s="51">
        <f t="shared" si="1"/>
        <v>24005.7</v>
      </c>
    </row>
    <row r="109" spans="7:7" ht="16" x14ac:dyDescent="0.2">
      <c r="G109" s="51">
        <f t="shared" si="1"/>
        <v>24005.7</v>
      </c>
    </row>
    <row r="110" spans="7:7" ht="16" x14ac:dyDescent="0.2">
      <c r="G110" s="51">
        <f t="shared" si="1"/>
        <v>24005.7</v>
      </c>
    </row>
    <row r="111" spans="7:7" ht="16" x14ac:dyDescent="0.2">
      <c r="G111" s="51">
        <f t="shared" si="1"/>
        <v>24005.7</v>
      </c>
    </row>
    <row r="112" spans="7:7" ht="16" x14ac:dyDescent="0.2">
      <c r="G112" s="51">
        <f t="shared" si="1"/>
        <v>24005.7</v>
      </c>
    </row>
    <row r="113" spans="7:7" ht="16" x14ac:dyDescent="0.2">
      <c r="G113" s="51">
        <f t="shared" si="1"/>
        <v>24005.7</v>
      </c>
    </row>
    <row r="114" spans="7:7" ht="16" x14ac:dyDescent="0.2">
      <c r="G114" s="51">
        <f t="shared" si="1"/>
        <v>24005.7</v>
      </c>
    </row>
    <row r="115" spans="7:7" ht="16" x14ac:dyDescent="0.2">
      <c r="G115" s="51">
        <f t="shared" si="1"/>
        <v>24005.7</v>
      </c>
    </row>
    <row r="116" spans="7:7" ht="16" x14ac:dyDescent="0.2">
      <c r="G116" s="51">
        <f t="shared" si="1"/>
        <v>24005.7</v>
      </c>
    </row>
    <row r="117" spans="7:7" ht="16" x14ac:dyDescent="0.2">
      <c r="G117" s="51">
        <f t="shared" si="1"/>
        <v>24005.7</v>
      </c>
    </row>
    <row r="118" spans="7:7" ht="16" x14ac:dyDescent="0.2">
      <c r="G118" s="51">
        <f t="shared" si="1"/>
        <v>24005.7</v>
      </c>
    </row>
    <row r="119" spans="7:7" ht="16" x14ac:dyDescent="0.2">
      <c r="G119" s="51">
        <f t="shared" si="1"/>
        <v>24005.7</v>
      </c>
    </row>
    <row r="120" spans="7:7" ht="16" x14ac:dyDescent="0.2">
      <c r="G120" s="51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DICIEMBRE 25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2025-12-16T22:33:29Z</dcterms:modified>
</cp:coreProperties>
</file>