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A7C60E9E-FA9F-1D4B-AD1F-5D50778D3B2C}" xr6:coauthVersionLast="47" xr6:coauthVersionMax="47" xr10:uidLastSave="{00000000-0000-0000-0000-000000000000}"/>
  <bookViews>
    <workbookView xWindow="0" yWindow="800" windowWidth="28600" windowHeight="21440" xr2:uid="{00000000-000D-0000-FFFF-FFFF00000000}"/>
  </bookViews>
  <sheets>
    <sheet name="2DA-DIC- 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K2" i="1" l="1"/>
  <c r="I48" i="1"/>
  <c r="I2" i="1" s="1"/>
  <c r="I43" i="1"/>
  <c r="I39" i="1" l="1"/>
  <c r="I4" i="1"/>
  <c r="J9" i="1"/>
  <c r="J8" i="1"/>
  <c r="J6" i="1"/>
  <c r="J5" i="1"/>
  <c r="I34" i="1" l="1"/>
  <c r="I19" i="1" l="1"/>
  <c r="I12" i="1"/>
  <c r="I30" i="1"/>
  <c r="I26" i="1" l="1"/>
</calcChain>
</file>

<file path=xl/sharedStrings.xml><?xml version="1.0" encoding="utf-8"?>
<sst xmlns="http://schemas.openxmlformats.org/spreadsheetml/2006/main" count="57" uniqueCount="53">
  <si>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</si>
  <si>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</si>
  <si>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</si>
  <si>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</si>
  <si>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</si>
  <si>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</si>
  <si>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</si>
  <si>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</si>
  <si>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</si>
  <si>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</si>
  <si>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</si>
  <si>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</si>
  <si>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</si>
  <si>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</si>
  <si>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</si>
  <si>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</si>
  <si>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</si>
  <si>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</si>
  <si>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</si>
  <si>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</si>
  <si>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</si>
  <si>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</si>
  <si>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</si>
  <si>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</si>
  <si>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</si>
  <si>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</si>
  <si>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</si>
  <si>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SECURITY BONTHER SAC</t>
  </si>
  <si>
    <t>BCP 193-16256893002</t>
  </si>
  <si>
    <t>Pelaez Lopez Fernando</t>
  </si>
  <si>
    <t>Recibo</t>
  </si>
  <si>
    <t>Vigilancia interna 24 horas</t>
  </si>
  <si>
    <t>AYLLON GRADOS JUNIOR FERNANDO</t>
  </si>
  <si>
    <t>BCP 19377399585096 CCI 00219317739958509614 DNI 75358060</t>
  </si>
  <si>
    <t>Ingreso de información de pagos al sistema</t>
  </si>
  <si>
    <t>ORDEN DE PAGO - DICIEMBRE 2025 (SEGUNDA QUINCENA)</t>
  </si>
  <si>
    <t>Bono nocturno Diciembre 25</t>
  </si>
  <si>
    <t>Apoyo en recepción del edificio (hr extra) - Diciembre 25</t>
  </si>
  <si>
    <t>Claro Recibo SB 02-0 207394858 Vto. 09.diciembre.25</t>
  </si>
  <si>
    <t>B002-00002559</t>
  </si>
  <si>
    <t>19/12/25 - 2 BALON GRANDE CENTRAL</t>
  </si>
  <si>
    <t>B002-00002566</t>
  </si>
  <si>
    <t>24/12/25 - 2 BALON GRANDE CENTRAL</t>
  </si>
  <si>
    <t>E001-77</t>
  </si>
  <si>
    <t>Administración 2da quincena diciembre 25</t>
  </si>
  <si>
    <t>E001-389</t>
  </si>
  <si>
    <t>Servicio de Jardineria - Diciembre 25</t>
  </si>
  <si>
    <t xml:space="preserve">IKER FRED MARCOS MEZA </t>
  </si>
  <si>
    <t>BCP 00219410443455404699 DNI 615116647</t>
  </si>
  <si>
    <t xml:space="preserve">Feriado 24 y 25 de diciembre Navidad </t>
  </si>
  <si>
    <t>Servicio Contador Mes de Noviembre 25</t>
  </si>
  <si>
    <t>E001-667</t>
  </si>
  <si>
    <t xml:space="preserve">Mes de Noviembre 25 02 - 09 - 16 - 23 - 30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</si>
</sst>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4" fontId="6" fillId="0" borderId="0" xfId="0" applyNumberFormat="1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4" fontId="3" fillId="0" borderId="0" xfId="0" applyNumberFormat="1" applyFont="1"/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13" fillId="8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3" fillId="0" borderId="0" xfId="0" applyFont="1" applyAlignment="1">
      <alignment wrapText="1"/>
    </xf>
    <xf numFmtId="17" fontId="1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4" fontId="0" fillId="0" borderId="0" xfId="0" applyNumberFormat="1"/>
    <xf numFmtId="4" fontId="2" fillId="13" borderId="0" xfId="0" applyNumberFormat="1" applyFont="1" applyFill="1"/>
    <xf numFmtId="4" fontId="1" fillId="13" borderId="0" xfId="0" applyNumberFormat="1" applyFont="1" applyFill="1" applyAlignment="1">
      <alignment horizontal="right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wrapText="1"/>
    </xf>
    <xf numFmtId="4" fontId="2" fillId="1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7"/>
  <sheetViews>
    <sheetView showGridLines="0" tabSelected="1" zoomScaleNormal="100" workbookViewId="0">
      <selection activeCell="K3" sqref="K3"/>
    </sheetView>
  </sheetViews>
  <sheetFormatPr baseColWidth="10" defaultColWidth="11.1640625" defaultRowHeight="15" customHeight="1" x14ac:dyDescent="0.25"/>
  <cols>
    <col min="1" max="1" width="5.33203125" style="3" customWidth="1"/>
    <col min="2" max="2" width="10.33203125" style="3" customWidth="1"/>
    <col min="3" max="3" width="17.83203125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1.1640625" style="4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35</v>
      </c>
      <c r="H2" s="7" t="s">
        <v>0</v>
      </c>
      <c r="I2" s="5">
        <f>SUM(I4:I51)</f>
        <v>7319.18</v>
      </c>
      <c r="J2" s="5"/>
      <c r="K2" s="53">
        <f>SUM(I2)-(I4+I30+I19+I26+I39+I43+I34+H14)</f>
        <v>1023.8000000000002</v>
      </c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52">
        <f>SUM(H5:H11)</f>
        <v>4095.38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">
        <v>851.52</v>
      </c>
      <c r="I5" s="5"/>
      <c r="J5" s="5">
        <f>H5</f>
        <v>851.52</v>
      </c>
    </row>
    <row r="6" spans="1:28" ht="15.75" customHeight="1" x14ac:dyDescent="0.25">
      <c r="B6" s="13" t="s">
        <v>4</v>
      </c>
      <c r="C6" s="13"/>
      <c r="D6" s="13" t="s">
        <v>3</v>
      </c>
      <c r="E6" s="13"/>
      <c r="F6" s="13"/>
      <c r="G6" s="13"/>
      <c r="H6" s="5">
        <v>851.52</v>
      </c>
      <c r="I6" s="5"/>
      <c r="J6" s="5">
        <f>H6+H7</f>
        <v>956.52</v>
      </c>
      <c r="L6" s="14"/>
      <c r="M6" s="5"/>
      <c r="AB6"/>
    </row>
    <row r="7" spans="1:28" ht="15.75" customHeight="1" x14ac:dyDescent="0.25">
      <c r="B7" s="13"/>
      <c r="C7" s="13"/>
      <c r="D7" s="15" t="s">
        <v>23</v>
      </c>
      <c r="E7" s="13"/>
      <c r="F7" s="13"/>
      <c r="G7" s="13"/>
      <c r="H7" s="5">
        <v>105</v>
      </c>
      <c r="I7" s="5"/>
      <c r="J7" s="5"/>
      <c r="L7" s="14"/>
      <c r="M7" s="5"/>
    </row>
    <row r="8" spans="1:28" ht="15" customHeight="1" x14ac:dyDescent="0.25">
      <c r="A8" s="16"/>
      <c r="B8" s="16" t="s">
        <v>5</v>
      </c>
      <c r="C8" s="16"/>
      <c r="D8" s="16" t="s">
        <v>3</v>
      </c>
      <c r="E8" s="16"/>
      <c r="F8" s="16"/>
      <c r="G8" s="16"/>
      <c r="H8" s="5">
        <v>951.67</v>
      </c>
      <c r="I8" s="5"/>
      <c r="J8" s="5">
        <f>H8</f>
        <v>951.67</v>
      </c>
      <c r="L8" s="4"/>
    </row>
    <row r="9" spans="1:28" ht="15.75" customHeight="1" x14ac:dyDescent="0.25">
      <c r="A9" s="17"/>
      <c r="B9" s="17" t="s">
        <v>6</v>
      </c>
      <c r="C9" s="17"/>
      <c r="D9" s="17" t="s">
        <v>3</v>
      </c>
      <c r="E9" s="17"/>
      <c r="F9" s="17"/>
      <c r="G9" s="17"/>
      <c r="H9" s="5">
        <v>951.67</v>
      </c>
      <c r="I9" s="5"/>
      <c r="J9" s="5">
        <f>H9+H10+H11</f>
        <v>1335.67</v>
      </c>
    </row>
    <row r="10" spans="1:28" ht="15.75" customHeight="1" x14ac:dyDescent="0.25">
      <c r="A10" s="17"/>
      <c r="B10" s="17"/>
      <c r="C10" s="17"/>
      <c r="D10" s="17" t="s">
        <v>36</v>
      </c>
      <c r="E10" s="17"/>
      <c r="F10" s="17"/>
      <c r="G10" s="17"/>
      <c r="H10" s="5">
        <v>250</v>
      </c>
      <c r="I10" s="5"/>
      <c r="J10" s="5"/>
    </row>
    <row r="11" spans="1:28" ht="15.75" customHeight="1" x14ac:dyDescent="0.25">
      <c r="A11" s="17"/>
      <c r="B11" s="18"/>
      <c r="C11" s="19"/>
      <c r="D11" s="20" t="s">
        <v>37</v>
      </c>
      <c r="E11" s="21"/>
      <c r="F11" s="21"/>
      <c r="G11" s="21"/>
      <c r="H11" s="2">
        <v>134</v>
      </c>
      <c r="I11" s="5"/>
      <c r="J11" s="5"/>
    </row>
    <row r="12" spans="1:28" ht="15.75" customHeight="1" x14ac:dyDescent="0.25">
      <c r="A12" s="22" t="s">
        <v>7</v>
      </c>
      <c r="B12" s="23"/>
      <c r="C12" s="23"/>
      <c r="D12" s="23"/>
      <c r="E12" s="23"/>
      <c r="F12" s="23"/>
      <c r="G12" s="23"/>
      <c r="H12" s="24"/>
      <c r="I12" s="5">
        <f>SUM(H14:H16)</f>
        <v>143.80000000000001</v>
      </c>
      <c r="J12" s="5"/>
    </row>
    <row r="13" spans="1:28" ht="15.75" customHeight="1" x14ac:dyDescent="0.25">
      <c r="A13" s="25"/>
      <c r="B13" s="25"/>
      <c r="C13" s="25"/>
      <c r="D13" s="25"/>
      <c r="E13" s="25"/>
      <c r="F13" s="25"/>
      <c r="G13" s="25"/>
      <c r="H13" s="26"/>
      <c r="I13" s="5"/>
      <c r="J13" s="5"/>
    </row>
    <row r="14" spans="1:28" ht="15.75" customHeight="1" x14ac:dyDescent="0.25">
      <c r="A14" s="13"/>
      <c r="B14" s="13" t="s">
        <v>8</v>
      </c>
      <c r="C14" s="13"/>
      <c r="D14" s="13" t="s">
        <v>22</v>
      </c>
      <c r="E14" s="13"/>
      <c r="F14" s="13"/>
      <c r="G14" s="13"/>
      <c r="H14" s="58">
        <v>80</v>
      </c>
      <c r="I14" s="5"/>
      <c r="J14" s="5"/>
      <c r="K14" s="28"/>
      <c r="L14" s="13"/>
    </row>
    <row r="15" spans="1:28" ht="15.75" customHeight="1" x14ac:dyDescent="0.25">
      <c r="A15" s="13"/>
      <c r="B15" s="13" t="s">
        <v>9</v>
      </c>
      <c r="C15" s="13"/>
      <c r="D15" s="13" t="s">
        <v>38</v>
      </c>
      <c r="E15" s="13"/>
      <c r="F15" s="13"/>
      <c r="G15" s="13"/>
      <c r="H15" s="27">
        <v>31.9</v>
      </c>
      <c r="I15" s="5"/>
      <c r="J15" s="5"/>
      <c r="L15" s="13"/>
    </row>
    <row r="16" spans="1:28" ht="15.75" customHeight="1" x14ac:dyDescent="0.25">
      <c r="A16" s="13"/>
      <c r="B16" s="13" t="s">
        <v>10</v>
      </c>
      <c r="C16" s="13"/>
      <c r="D16" s="13"/>
      <c r="E16" s="13"/>
      <c r="F16" s="13"/>
      <c r="G16" s="13"/>
      <c r="H16" s="27">
        <v>31.9</v>
      </c>
      <c r="I16" s="5"/>
      <c r="J16" s="5"/>
      <c r="L16" s="13"/>
    </row>
    <row r="17" spans="1:20" ht="10.5" customHeight="1" x14ac:dyDescent="0.25">
      <c r="A17" s="13"/>
      <c r="B17" s="13"/>
      <c r="C17" s="13"/>
      <c r="D17" s="29"/>
      <c r="E17" s="13"/>
      <c r="F17" s="13"/>
      <c r="G17" s="13"/>
      <c r="H17" s="5"/>
      <c r="I17" s="5"/>
      <c r="J17" s="5"/>
      <c r="K17" s="5"/>
      <c r="L17" s="13"/>
      <c r="M17" s="13"/>
      <c r="N17" s="13"/>
      <c r="O17" s="13"/>
    </row>
    <row r="18" spans="1:20" ht="11.25" customHeight="1" x14ac:dyDescent="0.25">
      <c r="J18" s="5"/>
      <c r="K18" s="5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5.75" customHeight="1" x14ac:dyDescent="0.25">
      <c r="A19" s="22" t="s">
        <v>15</v>
      </c>
      <c r="B19" s="23"/>
      <c r="C19" s="23"/>
      <c r="D19" s="23"/>
      <c r="E19" s="23"/>
      <c r="F19" s="23"/>
      <c r="G19" s="23"/>
      <c r="H19" s="24"/>
      <c r="I19" s="52">
        <f>H21+H23</f>
        <v>800</v>
      </c>
      <c r="J19" s="5"/>
    </row>
    <row r="20" spans="1:20" ht="15.75" customHeight="1" x14ac:dyDescent="0.25">
      <c r="A20" s="30" t="s">
        <v>16</v>
      </c>
      <c r="B20" s="25"/>
      <c r="C20" s="25"/>
      <c r="D20" s="30" t="s">
        <v>17</v>
      </c>
      <c r="E20" s="25"/>
      <c r="F20" s="25"/>
      <c r="G20" s="25"/>
      <c r="H20" s="26"/>
      <c r="I20" s="5"/>
      <c r="J20" s="5"/>
    </row>
    <row r="21" spans="1:20" ht="15.75" customHeight="1" x14ac:dyDescent="0.25">
      <c r="A21" s="13"/>
      <c r="B21" s="13" t="s">
        <v>39</v>
      </c>
      <c r="C21" s="13"/>
      <c r="D21" s="13" t="s">
        <v>40</v>
      </c>
      <c r="E21" s="13"/>
      <c r="F21" s="13"/>
      <c r="G21" s="13"/>
      <c r="H21" s="27">
        <v>400</v>
      </c>
      <c r="I21" s="5"/>
      <c r="J21" s="5"/>
      <c r="K21" s="28"/>
      <c r="L21" s="6"/>
    </row>
    <row r="22" spans="1:20" ht="19" x14ac:dyDescent="0.25">
      <c r="A22" s="13"/>
      <c r="B22" s="13"/>
      <c r="C22" s="13"/>
      <c r="D22" s="29" t="s">
        <v>18</v>
      </c>
      <c r="E22" s="13"/>
      <c r="F22" s="13"/>
      <c r="G22" s="13"/>
      <c r="H22" s="31"/>
      <c r="I22" s="5"/>
      <c r="J22" s="5"/>
    </row>
    <row r="23" spans="1:20" ht="19" x14ac:dyDescent="0.25">
      <c r="A23" s="13"/>
      <c r="B23" s="13" t="s">
        <v>41</v>
      </c>
      <c r="C23" s="13"/>
      <c r="D23" s="13" t="s">
        <v>42</v>
      </c>
      <c r="E23" s="13"/>
      <c r="F23" s="13"/>
      <c r="G23" s="13"/>
      <c r="H23" s="27">
        <v>400</v>
      </c>
      <c r="I23" s="5"/>
      <c r="J23" s="5"/>
    </row>
    <row r="24" spans="1:20" ht="19" x14ac:dyDescent="0.25">
      <c r="A24" s="13"/>
      <c r="B24" s="13"/>
      <c r="C24" s="13"/>
      <c r="D24" s="29" t="s">
        <v>18</v>
      </c>
      <c r="E24" s="13"/>
      <c r="F24" s="13"/>
      <c r="G24" s="13"/>
      <c r="H24" s="31"/>
      <c r="I24" s="5"/>
      <c r="J24" s="5"/>
      <c r="K24"/>
    </row>
    <row r="25" spans="1:20" ht="19" x14ac:dyDescent="0.25">
      <c r="A25" s="13"/>
      <c r="B25" s="13"/>
      <c r="C25" s="13"/>
      <c r="D25" s="29"/>
      <c r="E25" s="13"/>
      <c r="F25" s="13"/>
      <c r="G25" s="13"/>
      <c r="H25" s="31"/>
      <c r="I25" s="5"/>
      <c r="J25" s="5"/>
      <c r="O25"/>
    </row>
    <row r="26" spans="1:20" ht="15.75" customHeight="1" x14ac:dyDescent="0.25">
      <c r="A26" s="22" t="s">
        <v>19</v>
      </c>
      <c r="B26" s="23"/>
      <c r="C26" s="23"/>
      <c r="D26" s="23"/>
      <c r="E26" s="23"/>
      <c r="F26" s="23"/>
      <c r="G26" s="23"/>
      <c r="H26" s="24"/>
      <c r="I26" s="52">
        <f>H28</f>
        <v>600</v>
      </c>
      <c r="J26" s="5"/>
      <c r="K26"/>
    </row>
    <row r="27" spans="1:20" ht="15.75" customHeight="1" x14ac:dyDescent="0.25">
      <c r="A27" s="30" t="s">
        <v>20</v>
      </c>
      <c r="B27" s="25"/>
      <c r="C27" s="25"/>
      <c r="D27" s="30" t="s">
        <v>21</v>
      </c>
      <c r="E27" s="25"/>
      <c r="F27" s="25"/>
      <c r="G27" s="25"/>
      <c r="H27" s="26"/>
      <c r="I27" s="5"/>
      <c r="J27" s="5"/>
    </row>
    <row r="28" spans="1:20" ht="15.75" customHeight="1" x14ac:dyDescent="0.25">
      <c r="A28" s="32"/>
      <c r="B28" s="33" t="s">
        <v>43</v>
      </c>
      <c r="C28" s="33"/>
      <c r="D28" s="33" t="s">
        <v>44</v>
      </c>
      <c r="E28" s="33"/>
      <c r="F28" s="33"/>
      <c r="G28" s="33"/>
      <c r="H28" s="31">
        <v>600</v>
      </c>
      <c r="I28" s="5"/>
      <c r="J28" s="5"/>
      <c r="P28"/>
    </row>
    <row r="29" spans="1:20" ht="15.75" customHeight="1" x14ac:dyDescent="0.25">
      <c r="A29" s="32"/>
      <c r="B29" s="33"/>
      <c r="C29" s="33"/>
      <c r="D29" s="33"/>
      <c r="E29" s="33"/>
      <c r="F29" s="33"/>
      <c r="G29" s="33"/>
      <c r="H29" s="31"/>
      <c r="I29" s="5"/>
      <c r="J29" s="5"/>
      <c r="P29"/>
    </row>
    <row r="30" spans="1:20" ht="15.75" customHeight="1" x14ac:dyDescent="0.25">
      <c r="A30" s="22" t="s">
        <v>12</v>
      </c>
      <c r="B30" s="23"/>
      <c r="C30" s="23"/>
      <c r="D30" s="23"/>
      <c r="E30" s="23"/>
      <c r="F30" s="23"/>
      <c r="G30" s="23"/>
      <c r="H30" s="24"/>
      <c r="I30" s="52">
        <f>SUM(H32)</f>
        <v>180</v>
      </c>
      <c r="J30" s="5"/>
    </row>
    <row r="31" spans="1:20" ht="15.75" customHeight="1" x14ac:dyDescent="0.25">
      <c r="A31" s="30" t="s">
        <v>13</v>
      </c>
      <c r="B31" s="30" t="s">
        <v>11</v>
      </c>
      <c r="C31" s="30"/>
      <c r="D31" s="30" t="s">
        <v>14</v>
      </c>
      <c r="E31" s="25"/>
      <c r="F31" s="25"/>
      <c r="G31" s="25"/>
      <c r="H31" s="26"/>
      <c r="I31" s="5"/>
      <c r="J31" s="5"/>
    </row>
    <row r="32" spans="1:20" ht="15.75" customHeight="1" x14ac:dyDescent="0.25">
      <c r="B32" s="13" t="s">
        <v>45</v>
      </c>
      <c r="C32" s="13"/>
      <c r="D32" s="13" t="s">
        <v>46</v>
      </c>
      <c r="E32" s="13"/>
      <c r="F32" s="13"/>
      <c r="G32" s="13"/>
      <c r="H32" s="5">
        <v>180</v>
      </c>
      <c r="I32" s="5"/>
      <c r="J32" s="5"/>
    </row>
    <row r="33" spans="1:10" ht="15.75" customHeight="1" x14ac:dyDescent="0.25">
      <c r="B33" s="13"/>
      <c r="C33" s="13"/>
      <c r="D33" s="29"/>
      <c r="E33" s="13"/>
      <c r="F33" s="13"/>
      <c r="G33" s="13"/>
      <c r="H33" s="5"/>
      <c r="I33" s="5"/>
      <c r="J33" s="5"/>
    </row>
    <row r="34" spans="1:10" ht="15.75" customHeight="1" x14ac:dyDescent="0.25">
      <c r="A34" s="38" t="s">
        <v>32</v>
      </c>
      <c r="B34" s="38"/>
      <c r="C34" s="38"/>
      <c r="D34" s="46"/>
      <c r="E34" s="46"/>
      <c r="F34" s="46"/>
      <c r="G34" s="46"/>
      <c r="H34" s="46"/>
      <c r="I34" s="54">
        <f>H36</f>
        <v>160</v>
      </c>
      <c r="J34" s="5"/>
    </row>
    <row r="35" spans="1:10" ht="15.75" customHeight="1" x14ac:dyDescent="0.25">
      <c r="A35" s="40" t="s">
        <v>33</v>
      </c>
      <c r="B35" s="47"/>
      <c r="C35" s="47"/>
      <c r="D35" s="48"/>
      <c r="E35" s="47"/>
      <c r="F35" s="47"/>
      <c r="G35" s="47"/>
      <c r="H35" s="47"/>
      <c r="I35" s="5"/>
      <c r="J35" s="5"/>
    </row>
    <row r="36" spans="1:10" ht="15.75" customHeight="1" x14ac:dyDescent="0.25">
      <c r="A36" s="49"/>
      <c r="B36" s="50">
        <v>45992</v>
      </c>
      <c r="C36" s="49"/>
      <c r="D36" s="57" t="s">
        <v>34</v>
      </c>
      <c r="E36" s="57"/>
      <c r="F36" s="49"/>
      <c r="G36" s="49"/>
      <c r="H36" s="5">
        <v>160</v>
      </c>
      <c r="I36" s="5"/>
      <c r="J36" s="5"/>
    </row>
    <row r="37" spans="1:10" ht="15.5" customHeight="1" x14ac:dyDescent="0.25">
      <c r="I37" s="5"/>
      <c r="J37" s="5"/>
    </row>
    <row r="38" spans="1:10" ht="15.75" customHeight="1" x14ac:dyDescent="0.25">
      <c r="A38" s="32"/>
      <c r="B38" s="33"/>
      <c r="C38" s="33"/>
      <c r="D38" s="33"/>
      <c r="E38" s="33"/>
      <c r="F38" s="33"/>
      <c r="G38" s="33"/>
      <c r="H38" s="31"/>
      <c r="I38" s="5"/>
      <c r="J38" s="5"/>
    </row>
    <row r="39" spans="1:10" ht="15.75" customHeight="1" x14ac:dyDescent="0.25">
      <c r="A39" s="22" t="s">
        <v>47</v>
      </c>
      <c r="B39" s="22"/>
      <c r="C39" s="22"/>
      <c r="D39" s="34"/>
      <c r="E39" s="34"/>
      <c r="F39" s="34"/>
      <c r="G39" s="34"/>
      <c r="H39" s="34"/>
      <c r="I39" s="52">
        <f>H41</f>
        <v>180</v>
      </c>
      <c r="J39" s="5"/>
    </row>
    <row r="40" spans="1:10" ht="15.75" customHeight="1" x14ac:dyDescent="0.25">
      <c r="A40" s="35" t="s">
        <v>48</v>
      </c>
      <c r="B40" s="36"/>
      <c r="C40" s="36"/>
      <c r="D40" s="37"/>
      <c r="E40" s="36"/>
      <c r="F40" s="36"/>
      <c r="G40" s="36"/>
      <c r="H40" s="36"/>
      <c r="I40" s="5"/>
      <c r="J40" s="5"/>
    </row>
    <row r="41" spans="1:10" ht="15.75" customHeight="1" x14ac:dyDescent="0.25">
      <c r="A41" s="1"/>
      <c r="B41" s="1"/>
      <c r="C41" s="1"/>
      <c r="D41" s="56" t="s">
        <v>49</v>
      </c>
      <c r="E41" s="56"/>
      <c r="F41" s="1"/>
      <c r="G41" s="1"/>
      <c r="H41" s="5">
        <v>180</v>
      </c>
      <c r="I41" s="5"/>
      <c r="J41" s="5"/>
    </row>
    <row r="42" spans="1:10" ht="15.75" customHeight="1" x14ac:dyDescent="0.25">
      <c r="I42" s="2"/>
      <c r="J42" s="5"/>
    </row>
    <row r="43" spans="1:10" ht="15.75" customHeight="1" x14ac:dyDescent="0.25">
      <c r="A43" s="22" t="s">
        <v>24</v>
      </c>
      <c r="B43" s="22"/>
      <c r="C43" s="22"/>
      <c r="D43" s="34"/>
      <c r="E43" s="34"/>
      <c r="F43" s="34"/>
      <c r="G43" s="34"/>
      <c r="H43" s="34"/>
      <c r="I43" s="55">
        <f>H45</f>
        <v>200</v>
      </c>
      <c r="J43" s="51"/>
    </row>
    <row r="44" spans="1:10" ht="15.75" customHeight="1" x14ac:dyDescent="0.25">
      <c r="A44" s="35" t="s">
        <v>25</v>
      </c>
      <c r="B44" s="36"/>
      <c r="C44" s="36"/>
      <c r="D44" s="37" t="s">
        <v>26</v>
      </c>
      <c r="E44" s="36"/>
      <c r="F44" s="36"/>
      <c r="G44" s="36"/>
      <c r="H44" s="36"/>
      <c r="I44" s="2"/>
      <c r="J44" s="51"/>
    </row>
    <row r="45" spans="1:10" ht="15.75" customHeight="1" x14ac:dyDescent="0.25">
      <c r="A45" s="1"/>
      <c r="B45" s="1" t="s">
        <v>51</v>
      </c>
      <c r="C45" s="1"/>
      <c r="D45" s="56" t="s">
        <v>50</v>
      </c>
      <c r="E45" s="56"/>
      <c r="F45" s="1"/>
      <c r="G45" s="1"/>
      <c r="H45" s="5">
        <v>200</v>
      </c>
      <c r="I45" s="2"/>
      <c r="J45" s="2"/>
    </row>
    <row r="46" spans="1:10" ht="15.75" customHeight="1" x14ac:dyDescent="0.25">
      <c r="I46" s="2"/>
      <c r="J46" s="2"/>
    </row>
    <row r="47" spans="1:10" ht="15.75" customHeight="1" x14ac:dyDescent="0.25">
      <c r="A47" s="38" t="s">
        <v>27</v>
      </c>
      <c r="B47" s="34"/>
      <c r="C47" s="34"/>
      <c r="D47" s="34"/>
      <c r="E47" s="34"/>
      <c r="F47" s="34"/>
      <c r="G47" s="34"/>
      <c r="H47" s="39"/>
      <c r="I47" s="2"/>
      <c r="J47" s="2"/>
    </row>
    <row r="48" spans="1:10" ht="15.75" customHeight="1" x14ac:dyDescent="0.25">
      <c r="A48" s="40" t="s">
        <v>28</v>
      </c>
      <c r="B48" s="35"/>
      <c r="C48" s="36"/>
      <c r="D48" s="41" t="s">
        <v>29</v>
      </c>
      <c r="E48" s="36"/>
      <c r="F48" s="36"/>
      <c r="G48" s="36"/>
      <c r="H48" s="42"/>
      <c r="I48" s="2">
        <f>H49</f>
        <v>960</v>
      </c>
      <c r="J48" s="5"/>
    </row>
    <row r="49" spans="1:10" ht="15.75" customHeight="1" x14ac:dyDescent="0.25">
      <c r="A49" s="1"/>
      <c r="B49" s="1" t="s">
        <v>30</v>
      </c>
      <c r="C49" s="1"/>
      <c r="D49" s="43" t="s">
        <v>31</v>
      </c>
      <c r="E49" s="1"/>
      <c r="F49" s="1"/>
      <c r="G49" s="1"/>
      <c r="H49" s="2">
        <v>960</v>
      </c>
      <c r="I49" s="2"/>
      <c r="J49" s="5"/>
    </row>
    <row r="50" spans="1:10" ht="15.75" customHeight="1" x14ac:dyDescent="0.25">
      <c r="A50" s="1"/>
      <c r="B50" s="1"/>
      <c r="C50" s="1"/>
      <c r="D50" s="44" t="s">
        <v>52</v>
      </c>
      <c r="E50" s="1"/>
      <c r="F50" s="1"/>
      <c r="G50" s="1"/>
      <c r="H50" s="45"/>
      <c r="I50" s="2"/>
      <c r="J50" s="5"/>
    </row>
    <row r="51" spans="1:10" ht="15.75" customHeight="1" x14ac:dyDescent="0.25">
      <c r="I51" s="5"/>
      <c r="J51" s="5"/>
    </row>
    <row r="52" spans="1:10" ht="15.75" customHeight="1" x14ac:dyDescent="0.25">
      <c r="I52" s="5"/>
      <c r="J52" s="5"/>
    </row>
    <row r="53" spans="1:10" ht="15.75" customHeight="1" x14ac:dyDescent="0.25">
      <c r="I53" s="5"/>
      <c r="J53" s="5"/>
    </row>
    <row r="54" spans="1:10" ht="15.75" customHeight="1" x14ac:dyDescent="0.25">
      <c r="I54" s="5"/>
      <c r="J54" s="5"/>
    </row>
    <row r="55" spans="1:10" ht="15.75" customHeight="1" x14ac:dyDescent="0.25">
      <c r="I55" s="5"/>
      <c r="J55" s="5"/>
    </row>
    <row r="56" spans="1:10" ht="15.75" customHeight="1" x14ac:dyDescent="0.25">
      <c r="I56" s="5"/>
      <c r="J56" s="5"/>
    </row>
    <row r="57" spans="1:10" ht="15.75" customHeight="1" x14ac:dyDescent="0.25">
      <c r="I57" s="5"/>
      <c r="J57" s="5"/>
    </row>
    <row r="58" spans="1:10" ht="15.75" customHeight="1" x14ac:dyDescent="0.25">
      <c r="I58" s="5"/>
      <c r="J58" s="5"/>
    </row>
    <row r="59" spans="1:10" ht="15.75" customHeight="1" x14ac:dyDescent="0.25">
      <c r="I59" s="5"/>
      <c r="J59" s="5"/>
    </row>
    <row r="60" spans="1:10" ht="15.75" customHeight="1" x14ac:dyDescent="0.25">
      <c r="I60" s="5"/>
      <c r="J60" s="5"/>
    </row>
    <row r="61" spans="1:10" ht="15.75" customHeight="1" x14ac:dyDescent="0.25">
      <c r="I61" s="5"/>
      <c r="J61" s="5"/>
    </row>
    <row r="62" spans="1:10" ht="15.75" customHeight="1" x14ac:dyDescent="0.25">
      <c r="I62" s="5"/>
      <c r="J62" s="5"/>
    </row>
    <row r="63" spans="1:10" ht="15.75" customHeight="1" x14ac:dyDescent="0.25">
      <c r="I63" s="5"/>
      <c r="J63" s="5"/>
    </row>
    <row r="64" spans="1:10" ht="15.75" customHeight="1" x14ac:dyDescent="0.25">
      <c r="I64" s="5"/>
      <c r="J64" s="5"/>
    </row>
    <row r="65" spans="1:10" ht="15.75" customHeight="1" x14ac:dyDescent="0.25">
      <c r="I65" s="5"/>
      <c r="J65" s="5"/>
    </row>
    <row r="66" spans="1:10" ht="15.75" customHeight="1" x14ac:dyDescent="0.25">
      <c r="I66" s="5"/>
      <c r="J66" s="5"/>
    </row>
    <row r="67" spans="1:10" ht="15.75" customHeight="1" x14ac:dyDescent="0.25">
      <c r="I67" s="5"/>
      <c r="J67" s="5"/>
    </row>
    <row r="68" spans="1:10" ht="15.75" customHeight="1" x14ac:dyDescent="0.25">
      <c r="I68" s="5"/>
      <c r="J68" s="5"/>
    </row>
    <row r="69" spans="1:10" ht="15.75" customHeight="1" x14ac:dyDescent="0.25">
      <c r="I69" s="5"/>
      <c r="J69" s="5"/>
    </row>
    <row r="70" spans="1:10" ht="15.75" customHeight="1" x14ac:dyDescent="0.25">
      <c r="I70" s="5"/>
      <c r="J70" s="5"/>
    </row>
    <row r="71" spans="1:10" ht="15.75" customHeight="1" x14ac:dyDescent="0.25">
      <c r="D71"/>
      <c r="I71" s="5"/>
      <c r="J71" s="5"/>
    </row>
    <row r="72" spans="1:10" ht="15.75" customHeight="1" x14ac:dyDescent="0.25">
      <c r="A72"/>
      <c r="I72" s="5"/>
      <c r="J72" s="5"/>
    </row>
    <row r="73" spans="1:10" ht="15.75" customHeight="1" x14ac:dyDescent="0.25">
      <c r="E73"/>
      <c r="I73" s="5"/>
      <c r="J73" s="5"/>
    </row>
    <row r="74" spans="1:10" ht="15.75" customHeight="1" x14ac:dyDescent="0.25">
      <c r="I74" s="5"/>
      <c r="J74" s="5"/>
    </row>
    <row r="75" spans="1:10" ht="15.75" customHeight="1" x14ac:dyDescent="0.25">
      <c r="I75" s="5"/>
      <c r="J75" s="5"/>
    </row>
    <row r="76" spans="1:10" ht="15.75" customHeight="1" x14ac:dyDescent="0.25">
      <c r="I76" s="5"/>
      <c r="J76" s="5"/>
    </row>
    <row r="77" spans="1:10" ht="15.75" customHeight="1" x14ac:dyDescent="0.25">
      <c r="I77"/>
      <c r="J77" s="5"/>
    </row>
    <row r="78" spans="1:10" ht="15.75" customHeight="1" x14ac:dyDescent="0.25">
      <c r="I78" s="5"/>
      <c r="J78" s="5"/>
    </row>
    <row r="79" spans="1:10" ht="15.75" customHeight="1" x14ac:dyDescent="0.25">
      <c r="I79" s="5"/>
      <c r="J79" s="5"/>
    </row>
    <row r="80" spans="1:10" ht="15.75" customHeight="1" x14ac:dyDescent="0.25">
      <c r="I80" s="5"/>
      <c r="J80" s="5"/>
    </row>
    <row r="81" spans="9:10" ht="15.75" customHeight="1" x14ac:dyDescent="0.25">
      <c r="I81" s="5"/>
      <c r="J81" s="5"/>
    </row>
    <row r="82" spans="9:10" ht="15.75" customHeight="1" x14ac:dyDescent="0.25">
      <c r="I82" s="5"/>
      <c r="J82" s="5"/>
    </row>
    <row r="83" spans="9:10" ht="15.75" customHeight="1" x14ac:dyDescent="0.25">
      <c r="I83" s="5"/>
      <c r="J83" s="5"/>
    </row>
    <row r="84" spans="9:10" ht="15.75" customHeight="1" x14ac:dyDescent="0.25">
      <c r="I84" s="5"/>
      <c r="J84" s="5"/>
    </row>
    <row r="85" spans="9:10" ht="15.75" customHeight="1" x14ac:dyDescent="0.25">
      <c r="I85" s="5"/>
      <c r="J85" s="5"/>
    </row>
    <row r="86" spans="9:10" ht="15.75" customHeight="1" x14ac:dyDescent="0.25">
      <c r="I86" s="5"/>
      <c r="J86" s="5"/>
    </row>
    <row r="87" spans="9:10" ht="15.75" customHeight="1" x14ac:dyDescent="0.25">
      <c r="I87" s="5"/>
      <c r="J87" s="5"/>
    </row>
    <row r="88" spans="9:10" ht="15.75" customHeight="1" x14ac:dyDescent="0.25">
      <c r="I88" s="5"/>
      <c r="J88" s="5"/>
    </row>
    <row r="89" spans="9:10" ht="15.75" customHeight="1" x14ac:dyDescent="0.25">
      <c r="I89" s="5"/>
      <c r="J89" s="5"/>
    </row>
    <row r="90" spans="9:10" ht="15.75" customHeight="1" x14ac:dyDescent="0.25">
      <c r="I90" s="5"/>
      <c r="J90" s="5"/>
    </row>
    <row r="91" spans="9:10" ht="15.75" customHeight="1" x14ac:dyDescent="0.25">
      <c r="I91" s="5"/>
      <c r="J91" s="5"/>
    </row>
    <row r="92" spans="9:10" ht="15.75" customHeight="1" x14ac:dyDescent="0.25">
      <c r="I92" s="5"/>
      <c r="J92" s="5"/>
    </row>
    <row r="93" spans="9:10" ht="15.75" customHeight="1" x14ac:dyDescent="0.25">
      <c r="I93" s="5"/>
      <c r="J93" s="5"/>
    </row>
    <row r="94" spans="9:10" ht="15.75" customHeight="1" x14ac:dyDescent="0.25">
      <c r="I94" s="5"/>
      <c r="J94" s="5"/>
    </row>
    <row r="95" spans="9:10" ht="15.75" customHeight="1" x14ac:dyDescent="0.25">
      <c r="I95" s="5"/>
      <c r="J95" s="5"/>
    </row>
    <row r="96" spans="9:10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  <row r="951" spans="9:10" ht="15.75" customHeight="1" x14ac:dyDescent="0.25">
      <c r="I951" s="5"/>
      <c r="J951" s="5"/>
    </row>
    <row r="952" spans="9:10" ht="15.75" customHeight="1" x14ac:dyDescent="0.25">
      <c r="I952" s="5"/>
      <c r="J952" s="5"/>
    </row>
    <row r="953" spans="9:10" ht="15.75" customHeight="1" x14ac:dyDescent="0.25">
      <c r="I953" s="5"/>
      <c r="J953" s="5"/>
    </row>
    <row r="954" spans="9:10" ht="15.75" customHeight="1" x14ac:dyDescent="0.25">
      <c r="I954" s="5"/>
      <c r="J954" s="5"/>
    </row>
    <row r="955" spans="9:10" ht="15.75" customHeight="1" x14ac:dyDescent="0.25">
      <c r="I955" s="5"/>
      <c r="J955" s="5"/>
    </row>
    <row r="956" spans="9:10" ht="15.75" customHeight="1" x14ac:dyDescent="0.25">
      <c r="I956" s="5"/>
      <c r="J956" s="5"/>
    </row>
    <row r="957" spans="9:10" ht="15.75" customHeight="1" x14ac:dyDescent="0.25">
      <c r="I957" s="5"/>
      <c r="J957" s="5"/>
    </row>
  </sheetData>
  <mergeCells count="3">
    <mergeCell ref="D41:E41"/>
    <mergeCell ref="D36:E36"/>
    <mergeCell ref="D45:E45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2DA-DIC- 25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2026-01-08T16:38:12Z</dcterms:modified>
</cp:coreProperties>
</file>