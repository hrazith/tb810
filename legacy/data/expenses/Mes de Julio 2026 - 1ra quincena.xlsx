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zca/Library/CloudStorage/GoogleDrive-clavilab@gmail.com/My Drive/Balta 810 /associacion balta 810/cuadros de gastos y recibos/"/>
    </mc:Choice>
  </mc:AlternateContent>
  <xr:revisionPtr revIDLastSave="0" documentId="13_ncr:1_{36B4346A-FD27-664C-8AD8-459F5E8020DE}" xr6:coauthVersionLast="47" xr6:coauthVersionMax="47" xr10:uidLastSave="{00000000-0000-0000-0000-000000000000}"/>
  <bookViews>
    <workbookView xWindow="0" yWindow="780" windowWidth="24120" windowHeight="20740" xr2:uid="{A53F12CC-3A1D-433A-9267-D36D3681399C}"/>
  </bookViews>
  <sheets>
    <sheet name="1RA QUINC JULIO 26" sheetId="1" r:id="rId1"/>
    <sheet name="GRATIFICACION" sheetId="4" r:id="rId2"/>
    <sheet name="Dep. GJ" sheetId="2" state="hidden" r:id="rId3"/>
    <sheet name="Cta. Temporal 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/>
  <c r="F51" i="1"/>
  <c r="F46" i="1"/>
  <c r="F42" i="1"/>
  <c r="F35" i="1"/>
  <c r="F23" i="1" l="1"/>
  <c r="D11" i="4"/>
  <c r="D12" i="4" s="1"/>
  <c r="B6" i="4"/>
  <c r="C5" i="4"/>
  <c r="F5" i="4" s="1"/>
  <c r="B5" i="4"/>
  <c r="C4" i="4"/>
  <c r="F4" i="4" s="1"/>
  <c r="C3" i="4"/>
  <c r="F3" i="4" s="1"/>
  <c r="G5" i="1"/>
  <c r="G11" i="1"/>
  <c r="G9" i="1"/>
  <c r="G7" i="1"/>
  <c r="F4" i="1"/>
  <c r="C6" i="4" l="1"/>
  <c r="F6" i="4" s="1"/>
  <c r="F7" i="4" s="1"/>
  <c r="F14" i="1" l="1"/>
  <c r="F30" i="1" l="1"/>
  <c r="F19" i="1" l="1"/>
  <c r="F2" i="1" s="1"/>
  <c r="G8" i="3" l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F23" i="2" l="1"/>
  <c r="E23" i="2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6" i="2" l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</calcChain>
</file>

<file path=xl/sharedStrings.xml><?xml version="1.0" encoding="utf-8"?>
<sst xmlns="http://schemas.openxmlformats.org/spreadsheetml/2006/main" count="192" uniqueCount="146">
  <si>
    <t>TOTAL :</t>
  </si>
  <si>
    <t>Adelanto de sueldo BCP</t>
  </si>
  <si>
    <t>Jorge Gutierrez</t>
  </si>
  <si>
    <t>Angel Palacios</t>
  </si>
  <si>
    <t>Carlos Sanchez</t>
  </si>
  <si>
    <t>LUZ DEL SUR</t>
  </si>
  <si>
    <t>SEDAPAL</t>
  </si>
  <si>
    <t>Essalud</t>
  </si>
  <si>
    <t>AFP-Prima</t>
  </si>
  <si>
    <t>AFP-Profuturo</t>
  </si>
  <si>
    <t>BCP 002 19319425139402614</t>
  </si>
  <si>
    <t>Servicio de Administracion de Edificio</t>
  </si>
  <si>
    <t xml:space="preserve">TORRE BALTA 810 - MIRAFLORES </t>
  </si>
  <si>
    <t xml:space="preserve">PERSONAL PERMANENTE - QUINCENA </t>
  </si>
  <si>
    <t xml:space="preserve">IMPUESTOS </t>
  </si>
  <si>
    <t xml:space="preserve">Impuestos ESSALUD </t>
  </si>
  <si>
    <t>DNI 47501969</t>
  </si>
  <si>
    <t>GIULIANA JARA PEREZ</t>
  </si>
  <si>
    <t>DNI 47501969 GIULIANA JARA PEREZ</t>
  </si>
  <si>
    <t xml:space="preserve">Ingresos </t>
  </si>
  <si>
    <t xml:space="preserve">Egresos </t>
  </si>
  <si>
    <t>Saldo</t>
  </si>
  <si>
    <t xml:space="preserve">Giuliana Jara BCP </t>
  </si>
  <si>
    <t xml:space="preserve">Fecha </t>
  </si>
  <si>
    <t xml:space="preserve">Departamento </t>
  </si>
  <si>
    <t xml:space="preserve">Descripción </t>
  </si>
  <si>
    <t>Cuota de mantenimiento julio y agosto 25</t>
  </si>
  <si>
    <t>SUNAT ESSALUD 07/2025</t>
  </si>
  <si>
    <t xml:space="preserve">Adelanto de mantenimiento </t>
  </si>
  <si>
    <t xml:space="preserve">1ra Quincena Agosto - Julio Iglesias </t>
  </si>
  <si>
    <t>1ra Quincena Agosto - Angel Palacios</t>
  </si>
  <si>
    <t xml:space="preserve">1ra Quincena Agosto - Carlos Sanchez </t>
  </si>
  <si>
    <t>1ra Quincena Agosto - Jorge Gutierrez</t>
  </si>
  <si>
    <t>Jorge Paredes</t>
  </si>
  <si>
    <t xml:space="preserve">Gheni Delgado </t>
  </si>
  <si>
    <t xml:space="preserve">Carlos Avila </t>
  </si>
  <si>
    <t xml:space="preserve">Margot Medina </t>
  </si>
  <si>
    <t xml:space="preserve">Laura Herrera </t>
  </si>
  <si>
    <t>204/304</t>
  </si>
  <si>
    <t xml:space="preserve">Carlos Paz </t>
  </si>
  <si>
    <t>Juan Carlos Rengifo</t>
  </si>
  <si>
    <t xml:space="preserve">Angel Aguirre </t>
  </si>
  <si>
    <t xml:space="preserve">Emilio Garreaud </t>
  </si>
  <si>
    <t>Cuota de mantenimiento mayo, junio, julio y agosto</t>
  </si>
  <si>
    <t>Nombre</t>
  </si>
  <si>
    <t>AFP Prima Agosto 25</t>
  </si>
  <si>
    <t>AFP Profuturo Agosto 25</t>
  </si>
  <si>
    <t>Administración 1ra Quincena Agosto 25</t>
  </si>
  <si>
    <t xml:space="preserve">Depósitos a Giuliana Jara cuotas de mantenimiento </t>
  </si>
  <si>
    <t xml:space="preserve">Maria Elena Garreaud </t>
  </si>
  <si>
    <t xml:space="preserve">1er Adelanto Dr. Franco Gastos notariales </t>
  </si>
  <si>
    <t xml:space="preserve">Saldo Anterior </t>
  </si>
  <si>
    <t xml:space="preserve">Gastos notariales </t>
  </si>
  <si>
    <t>ITF</t>
  </si>
  <si>
    <t xml:space="preserve">Compras materiales de limpieza </t>
  </si>
  <si>
    <t xml:space="preserve">Depósitos a cuenta transitoria </t>
  </si>
  <si>
    <t xml:space="preserve">ITF </t>
  </si>
  <si>
    <t>Mantenimiento Setiembre 25</t>
  </si>
  <si>
    <t xml:space="preserve">Abono para pagos de quincena al personal </t>
  </si>
  <si>
    <t xml:space="preserve">Angel </t>
  </si>
  <si>
    <t xml:space="preserve">Julio </t>
  </si>
  <si>
    <t xml:space="preserve">Carlos </t>
  </si>
  <si>
    <t xml:space="preserve">Jorge </t>
  </si>
  <si>
    <t xml:space="preserve">Luis Eder Guimaray Peregrino </t>
  </si>
  <si>
    <t xml:space="preserve">Marquez - </t>
  </si>
  <si>
    <t>Eduardo alfr</t>
  </si>
  <si>
    <t xml:space="preserve">Velit </t>
  </si>
  <si>
    <t xml:space="preserve">Maria Elena </t>
  </si>
  <si>
    <t xml:space="preserve">Carlos Francisco </t>
  </si>
  <si>
    <t xml:space="preserve">Garcia Tejada Camilo </t>
  </si>
  <si>
    <t>delgado vda</t>
  </si>
  <si>
    <t>Santiago Es</t>
  </si>
  <si>
    <t xml:space="preserve">Miriam Flor Marimon Pacheco </t>
  </si>
  <si>
    <t>BBVA 0011-0660-0200053329</t>
  </si>
  <si>
    <t>BBVA</t>
  </si>
  <si>
    <t xml:space="preserve">Carlos Avila Bocanegra </t>
  </si>
  <si>
    <t>Mabel Ramirez Gonzalez</t>
  </si>
  <si>
    <t>mas gas</t>
  </si>
  <si>
    <t xml:space="preserve">Abonos de quincena al personal </t>
  </si>
  <si>
    <t>Apoyo recibos de gas - Julio 25</t>
  </si>
  <si>
    <t>BBVA 0011-0366020080971</t>
  </si>
  <si>
    <t xml:space="preserve">SUNAT </t>
  </si>
  <si>
    <t>Impuestos Agosto 25</t>
  </si>
  <si>
    <t>Ingreso de cuenta transitoria para pagos pendientes de quincena Setiembre 25</t>
  </si>
  <si>
    <t xml:space="preserve">Gas Madueño </t>
  </si>
  <si>
    <t xml:space="preserve">04 recibos </t>
  </si>
  <si>
    <t xml:space="preserve">Unidos Ascensores </t>
  </si>
  <si>
    <t xml:space="preserve">Contador </t>
  </si>
  <si>
    <t>Mes de agosto 25</t>
  </si>
  <si>
    <t xml:space="preserve">Junior </t>
  </si>
  <si>
    <t>Inf. Al sistema agosto 25</t>
  </si>
  <si>
    <t>Compra de bolsas 4 paquetes x100c/u</t>
  </si>
  <si>
    <t xml:space="preserve">Delivery de bolsas </t>
  </si>
  <si>
    <t xml:space="preserve">Adelanto de sueldo </t>
  </si>
  <si>
    <t>BCP 002-19417444883303-992</t>
  </si>
  <si>
    <t>Julio Iglesias DNI 80148915</t>
  </si>
  <si>
    <t>IBK 1073059751194</t>
  </si>
  <si>
    <t>IBK 1073043325411</t>
  </si>
  <si>
    <t>IBK 1073097921648</t>
  </si>
  <si>
    <t xml:space="preserve">Sedapal </t>
  </si>
  <si>
    <t>ORDEN DE PAGO - JULIO 2026 (PRIMERA QUINCENA)</t>
  </si>
  <si>
    <t>Gratificación 15 de diciembre</t>
  </si>
  <si>
    <t>Gratificacion Navidad (un Jornal Basico)</t>
  </si>
  <si>
    <t>Bonificacion Extraordinaria Ley 29351 30334 9%</t>
  </si>
  <si>
    <t>*Movilidad y otros Otorgado por la Junta</t>
  </si>
  <si>
    <t>Bono nocturno</t>
  </si>
  <si>
    <t>TOTAL</t>
  </si>
  <si>
    <t>Jorge</t>
  </si>
  <si>
    <t>Julio</t>
  </si>
  <si>
    <t>Carlos</t>
  </si>
  <si>
    <t>Angel</t>
  </si>
  <si>
    <t xml:space="preserve">* De acuerdo a la administracion anterior la movilidad y otros  </t>
  </si>
  <si>
    <t>aunque legalmente no le corresponde se les otorgaba este beneficio.</t>
  </si>
  <si>
    <t xml:space="preserve">Movilidad y otros </t>
  </si>
  <si>
    <t>Adicional 9%</t>
  </si>
  <si>
    <t>Total</t>
  </si>
  <si>
    <t>Gratificación Julio 2026</t>
  </si>
  <si>
    <t>Consumo Junio 2026 20/07/2026</t>
  </si>
  <si>
    <t>Consumo Junio 2026 24/07/2026</t>
  </si>
  <si>
    <t>S107-0010032304</t>
  </si>
  <si>
    <t>Servicio de Agua - Junio 2026</t>
  </si>
  <si>
    <t>Periodo  05/06/2026 - 06/07/2026</t>
  </si>
  <si>
    <t>Ticket-N°  5540415854</t>
  </si>
  <si>
    <t>Mes Junio - 2026</t>
  </si>
  <si>
    <t>Ticket- N°    3540415871</t>
  </si>
  <si>
    <t>Mes de Junio 26</t>
  </si>
  <si>
    <t xml:space="preserve">COMPRAS: </t>
  </si>
  <si>
    <t>01 Bandera</t>
  </si>
  <si>
    <t xml:space="preserve">QROMA Pintura y materiales </t>
  </si>
  <si>
    <t>E001-96</t>
  </si>
  <si>
    <t>CARLOS SANCHEZ</t>
  </si>
  <si>
    <t>Trabajos de pintura - Ingreso a cochera SS</t>
  </si>
  <si>
    <t>EXTINTORES Y FUMIGACIONES M&amp;M SRL</t>
  </si>
  <si>
    <t xml:space="preserve">Recarga de extintores anual </t>
  </si>
  <si>
    <t xml:space="preserve">Extintor PQS 6KG </t>
  </si>
  <si>
    <t>Extintor PQS 12KG</t>
  </si>
  <si>
    <t>BCP CCI 002-19413906551701797 GUTIERREZ CRUZ MIGUEL DNI 07871656</t>
  </si>
  <si>
    <t xml:space="preserve">DR. FRANCO ALVAREZ </t>
  </si>
  <si>
    <t xml:space="preserve">BCP CCI 002-19310479995203419 DNI </t>
  </si>
  <si>
    <t>Nro. 100072</t>
  </si>
  <si>
    <t>Monto recuperado Dpto. 1302</t>
  </si>
  <si>
    <t>Nro. 100080</t>
  </si>
  <si>
    <t xml:space="preserve">Documentación solicitada por el juzgado </t>
  </si>
  <si>
    <t xml:space="preserve">DEPOSITADO </t>
  </si>
  <si>
    <t xml:space="preserve">Cobranza Dpto. 403 Juan Perez Cuba </t>
  </si>
  <si>
    <t>Gratificación 15 de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</si>
</sst>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DBDB"/>
        <bgColor rgb="FFF2DBDB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4" fontId="1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 wrapText="1"/>
    </xf>
    <xf numFmtId="4" fontId="2" fillId="2" borderId="0" xfId="0" applyNumberFormat="1" applyFont="1" applyFill="1" applyAlignment="1">
      <alignment horizontal="right" wrapText="1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wrapText="1"/>
    </xf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left" vertical="center"/>
    </xf>
    <xf numFmtId="4" fontId="2" fillId="3" borderId="0" xfId="0" applyNumberFormat="1" applyFont="1" applyFill="1" applyAlignment="1">
      <alignment horizontal="right" wrapText="1"/>
    </xf>
    <xf numFmtId="0" fontId="1" fillId="3" borderId="0" xfId="0" applyFont="1" applyFill="1" applyAlignment="1">
      <alignment horizontal="left" wrapText="1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4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4" fontId="5" fillId="0" borderId="0" xfId="0" applyNumberFormat="1" applyFont="1" applyAlignment="1">
      <alignment horizontal="center" wrapText="1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center" wrapText="1"/>
    </xf>
    <xf numFmtId="14" fontId="6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/>
    </xf>
    <xf numFmtId="4" fontId="6" fillId="0" borderId="0" xfId="0" applyNumberFormat="1" applyFont="1"/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4" fontId="6" fillId="5" borderId="0" xfId="0" applyNumberFormat="1" applyFont="1" applyFill="1" applyAlignment="1">
      <alignment horizontal="center"/>
    </xf>
    <xf numFmtId="0" fontId="4" fillId="0" borderId="0" xfId="0" applyFont="1" applyAlignment="1">
      <alignment horizontal="left" wrapText="1"/>
    </xf>
    <xf numFmtId="17" fontId="0" fillId="0" borderId="0" xfId="0" applyNumberFormat="1"/>
    <xf numFmtId="4" fontId="2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wrapText="1"/>
    </xf>
    <xf numFmtId="4" fontId="0" fillId="0" borderId="0" xfId="0" applyNumberFormat="1"/>
    <xf numFmtId="14" fontId="2" fillId="0" borderId="0" xfId="0" applyNumberFormat="1" applyFont="1" applyAlignment="1">
      <alignment horizontal="center" vertical="center" wrapText="1"/>
    </xf>
    <xf numFmtId="0" fontId="9" fillId="7" borderId="0" xfId="0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wrapText="1"/>
    </xf>
    <xf numFmtId="4" fontId="2" fillId="2" borderId="0" xfId="0" applyNumberFormat="1" applyFont="1" applyFill="1" applyAlignment="1">
      <alignment wrapText="1"/>
    </xf>
    <xf numFmtId="0" fontId="10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4" fontId="2" fillId="3" borderId="0" xfId="0" applyNumberFormat="1" applyFont="1" applyFill="1" applyAlignment="1">
      <alignment wrapText="1"/>
    </xf>
    <xf numFmtId="4" fontId="8" fillId="0" borderId="0" xfId="0" applyNumberFormat="1" applyFont="1" applyAlignment="1">
      <alignment horizontal="right" wrapText="1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wrapText="1"/>
    </xf>
    <xf numFmtId="0" fontId="2" fillId="0" borderId="0" xfId="0" applyFont="1" applyAlignment="1">
      <alignment horizontal="right" wrapText="1"/>
    </xf>
    <xf numFmtId="4" fontId="2" fillId="5" borderId="0" xfId="0" applyNumberFormat="1" applyFont="1" applyFill="1" applyAlignment="1">
      <alignment horizontal="right" wrapText="1"/>
    </xf>
    <xf numFmtId="0" fontId="1" fillId="0" borderId="0" xfId="0" applyFont="1"/>
    <xf numFmtId="0" fontId="11" fillId="8" borderId="0" xfId="0" applyFont="1" applyFill="1"/>
    <xf numFmtId="49" fontId="11" fillId="8" borderId="0" xfId="0" applyNumberFormat="1" applyFont="1" applyFill="1" applyAlignment="1">
      <alignment horizontal="center" wrapText="1"/>
    </xf>
    <xf numFmtId="0" fontId="0" fillId="0" borderId="1" xfId="0" applyBorder="1"/>
    <xf numFmtId="4" fontId="0" fillId="0" borderId="1" xfId="0" applyNumberFormat="1" applyBorder="1"/>
    <xf numFmtId="4" fontId="10" fillId="0" borderId="0" xfId="0" applyNumberFormat="1" applyFont="1"/>
    <xf numFmtId="4" fontId="2" fillId="5" borderId="0" xfId="0" applyNumberFormat="1" applyFont="1" applyFill="1" applyAlignment="1">
      <alignment horizontal="center" vertical="center"/>
    </xf>
    <xf numFmtId="4" fontId="2" fillId="5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14</xdr:row>
      <xdr:rowOff>0</xdr:rowOff>
    </xdr:from>
    <xdr:to>
      <xdr:col>9</xdr:col>
      <xdr:colOff>304800</xdr:colOff>
      <xdr:row>15</xdr:row>
      <xdr:rowOff>76200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7450824-9C79-B159-1E95-B68518104612}"/>
            </a:ext>
          </a:extLst>
        </xdr:cNvPr>
        <xdr:cNvSpPr>
          <a:spLocks noChangeAspect="1" noChangeArrowheads="1"/>
        </xdr:cNvSpPr>
      </xdr:nvSpPr>
      <xdr:spPr bwMode="auto">
        <a:xfrm>
          <a:off x="1349502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304800</xdr:colOff>
      <xdr:row>2</xdr:row>
      <xdr:rowOff>76200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114CDE85-26E2-0664-5E1F-9D4BB08DABA5}"/>
            </a:ext>
          </a:extLst>
        </xdr:cNvPr>
        <xdr:cNvSpPr>
          <a:spLocks noChangeAspect="1" noChangeArrowheads="1"/>
        </xdr:cNvSpPr>
      </xdr:nvSpPr>
      <xdr:spPr bwMode="auto">
        <a:xfrm>
          <a:off x="1824990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8240-9AA1-40F5-A424-16DFC2905C04}">
  <sheetPr>
    <pageSetUpPr fitToPage="1"/>
  </sheetPr>
  <dimension ref="A1:AB95"/>
  <sheetViews>
    <sheetView tabSelected="1" zoomScaleNormal="100" workbookViewId="0">
      <selection activeCell="D13" sqref="D13"/>
    </sheetView>
  </sheetViews>
  <sheetFormatPr baseColWidth="10" defaultColWidth="11.5" defaultRowHeight="19" x14ac:dyDescent="0.25"/>
  <cols>
    <col min="1" max="1" width="14.83203125" style="28" customWidth="1"/>
    <col min="2" max="2" width="34.1640625" style="28" customWidth="1"/>
    <col min="3" max="3" width="36.33203125" style="5" customWidth="1"/>
    <col min="4" max="4" width="62.1640625" style="28" customWidth="1"/>
    <col min="5" max="5" width="11.5" style="29"/>
    <col min="6" max="6" width="13.5" style="29" customWidth="1"/>
    <col min="7" max="7" width="16.83203125" style="53" bestFit="1" customWidth="1"/>
    <col min="8" max="8" width="5.5" style="5" customWidth="1"/>
    <col min="9" max="12" width="9.1640625" style="30" customWidth="1"/>
    <col min="13" max="16384" width="11.5" style="5"/>
  </cols>
  <sheetData>
    <row r="1" spans="1:28" x14ac:dyDescent="0.25">
      <c r="A1" s="1" t="s">
        <v>12</v>
      </c>
      <c r="B1" s="2"/>
      <c r="C1" s="3"/>
      <c r="D1" s="2"/>
      <c r="E1" s="4"/>
      <c r="F1" s="4"/>
      <c r="H1"/>
      <c r="AB1"/>
    </row>
    <row r="2" spans="1:28" s="8" customFormat="1" ht="20" x14ac:dyDescent="0.25">
      <c r="A2" s="1" t="s">
        <v>100</v>
      </c>
      <c r="B2" s="2"/>
      <c r="C2" s="6"/>
      <c r="D2" s="2"/>
      <c r="E2" s="7" t="s">
        <v>0</v>
      </c>
      <c r="F2" s="7">
        <f>SUM(F3:F51)</f>
        <v>18095.93</v>
      </c>
      <c r="G2" s="54"/>
      <c r="H2"/>
      <c r="I2"/>
      <c r="J2" s="56"/>
      <c r="K2" s="56"/>
      <c r="L2" s="59"/>
      <c r="M2"/>
      <c r="P2"/>
      <c r="Q2"/>
      <c r="S2"/>
      <c r="U2"/>
      <c r="V2"/>
    </row>
    <row r="3" spans="1:28" s="8" customFormat="1" x14ac:dyDescent="0.25">
      <c r="A3" s="2"/>
      <c r="B3" s="2"/>
      <c r="C3" s="6"/>
      <c r="D3" s="2"/>
      <c r="E3" s="4"/>
      <c r="F3" s="4"/>
      <c r="G3" s="9"/>
      <c r="I3"/>
      <c r="J3" s="56"/>
      <c r="K3" s="56"/>
      <c r="L3" s="56"/>
      <c r="N3"/>
      <c r="O3"/>
      <c r="U3"/>
    </row>
    <row r="4" spans="1:28" s="8" customFormat="1" x14ac:dyDescent="0.25">
      <c r="A4" s="10" t="s">
        <v>13</v>
      </c>
      <c r="B4" s="11"/>
      <c r="C4" s="12"/>
      <c r="D4" s="11"/>
      <c r="E4" s="13"/>
      <c r="F4" s="73">
        <f>SUM(E5:E12)</f>
        <v>8949.14</v>
      </c>
      <c r="G4" s="9"/>
      <c r="H4"/>
      <c r="I4" s="59"/>
      <c r="J4" s="56"/>
      <c r="K4" s="56"/>
      <c r="L4" s="56"/>
      <c r="Q4"/>
    </row>
    <row r="5" spans="1:28" s="8" customFormat="1" ht="21.5" customHeight="1" x14ac:dyDescent="0.25">
      <c r="A5" s="2"/>
      <c r="B5" s="14" t="s">
        <v>95</v>
      </c>
      <c r="C5" s="6" t="s">
        <v>94</v>
      </c>
      <c r="D5" s="14" t="s">
        <v>1</v>
      </c>
      <c r="E5" s="4">
        <v>500</v>
      </c>
      <c r="F5" s="4"/>
      <c r="G5" s="56">
        <f>E5+E6</f>
        <v>2113.1999999999998</v>
      </c>
      <c r="H5" s="60"/>
      <c r="I5" s="59"/>
      <c r="J5" s="56"/>
      <c r="K5" s="56"/>
      <c r="L5" s="56"/>
    </row>
    <row r="6" spans="1:28" s="8" customFormat="1" ht="21.5" customHeight="1" x14ac:dyDescent="0.25">
      <c r="A6" s="2"/>
      <c r="B6" s="14"/>
      <c r="C6" s="6"/>
      <c r="D6" s="14" t="s">
        <v>101</v>
      </c>
      <c r="E6" s="4">
        <v>1613.2</v>
      </c>
      <c r="F6" s="4"/>
      <c r="G6" s="56"/>
      <c r="H6" s="60"/>
      <c r="I6" s="59"/>
      <c r="J6" s="56"/>
      <c r="K6" s="56"/>
      <c r="L6" s="56"/>
    </row>
    <row r="7" spans="1:28" s="8" customFormat="1" ht="21.5" customHeight="1" x14ac:dyDescent="0.25">
      <c r="A7" s="2"/>
      <c r="B7" s="15" t="s">
        <v>2</v>
      </c>
      <c r="C7" s="16" t="s">
        <v>96</v>
      </c>
      <c r="D7" s="15" t="s">
        <v>93</v>
      </c>
      <c r="E7" s="4">
        <v>500</v>
      </c>
      <c r="F7" s="4"/>
      <c r="G7" s="56">
        <f>E7+E8</f>
        <v>2113.1999999999998</v>
      </c>
      <c r="H7" s="60"/>
      <c r="I7" s="56"/>
      <c r="J7" s="56"/>
      <c r="K7" s="56"/>
      <c r="L7" s="56"/>
    </row>
    <row r="8" spans="1:28" s="8" customFormat="1" ht="21.5" customHeight="1" x14ac:dyDescent="0.25">
      <c r="A8" s="2"/>
      <c r="B8" s="15"/>
      <c r="C8" s="16"/>
      <c r="D8" s="57" t="s">
        <v>101</v>
      </c>
      <c r="E8" s="4">
        <v>1613.2</v>
      </c>
      <c r="F8" s="4"/>
      <c r="G8" s="56"/>
      <c r="H8" s="60"/>
      <c r="I8" s="56"/>
      <c r="J8" s="56"/>
      <c r="K8" s="56"/>
      <c r="L8" s="56"/>
    </row>
    <row r="9" spans="1:28" s="8" customFormat="1" ht="21.5" customHeight="1" x14ac:dyDescent="0.25">
      <c r="A9" s="2"/>
      <c r="B9" s="14" t="s">
        <v>3</v>
      </c>
      <c r="C9" s="6" t="s">
        <v>97</v>
      </c>
      <c r="D9" s="14" t="s">
        <v>93</v>
      </c>
      <c r="E9" s="4">
        <v>500</v>
      </c>
      <c r="F9" s="4"/>
      <c r="G9" s="56">
        <f>E9+E10</f>
        <v>2236.37</v>
      </c>
      <c r="H9" s="60"/>
      <c r="I9" s="56"/>
      <c r="J9" s="59"/>
      <c r="K9" s="56"/>
      <c r="L9" s="56"/>
    </row>
    <row r="10" spans="1:28" s="8" customFormat="1" ht="21.5" customHeight="1" x14ac:dyDescent="0.25">
      <c r="A10" s="2"/>
      <c r="B10" s="14"/>
      <c r="C10" s="6"/>
      <c r="D10" s="14" t="s">
        <v>145</v>
      </c>
      <c r="E10" s="4">
        <v>1736.37</v>
      </c>
      <c r="F10" s="4"/>
      <c r="G10" s="56"/>
      <c r="H10" s="60"/>
      <c r="I10" s="56"/>
      <c r="J10" s="59"/>
      <c r="K10" s="56"/>
      <c r="L10" s="56"/>
    </row>
    <row r="11" spans="1:28" s="8" customFormat="1" ht="21.5" customHeight="1" x14ac:dyDescent="0.25">
      <c r="A11" s="2"/>
      <c r="B11" s="15" t="s">
        <v>4</v>
      </c>
      <c r="C11" s="58" t="s">
        <v>98</v>
      </c>
      <c r="D11" s="57" t="s">
        <v>93</v>
      </c>
      <c r="E11" s="4">
        <v>500</v>
      </c>
      <c r="F11" s="4"/>
      <c r="G11" s="56">
        <f>E11+E12</f>
        <v>2486.37</v>
      </c>
      <c r="H11" s="60"/>
      <c r="I11" s="56"/>
      <c r="J11" s="56"/>
      <c r="K11" s="56"/>
      <c r="L11" s="56"/>
    </row>
    <row r="12" spans="1:28" s="8" customFormat="1" ht="21.5" customHeight="1" x14ac:dyDescent="0.25">
      <c r="A12" s="2"/>
      <c r="B12" s="15"/>
      <c r="C12" s="58"/>
      <c r="D12" s="57" t="s">
        <v>145</v>
      </c>
      <c r="E12" s="4">
        <v>1986.37</v>
      </c>
      <c r="F12" s="4"/>
      <c r="G12" s="56"/>
      <c r="H12" s="60"/>
      <c r="I12" s="56"/>
      <c r="J12" s="56"/>
      <c r="K12" s="56"/>
      <c r="L12" s="56"/>
    </row>
    <row r="13" spans="1:28" s="8" customFormat="1" x14ac:dyDescent="0.25">
      <c r="A13" s="2"/>
      <c r="B13" s="14"/>
      <c r="C13" s="6"/>
      <c r="D13" s="14"/>
      <c r="E13" s="4"/>
      <c r="F13" s="4"/>
      <c r="G13" s="56"/>
      <c r="H13" s="60"/>
      <c r="I13" s="56"/>
      <c r="J13" s="56"/>
      <c r="K13" s="56"/>
      <c r="L13" s="56"/>
    </row>
    <row r="14" spans="1:28" s="8" customFormat="1" x14ac:dyDescent="0.25">
      <c r="A14" s="10" t="s">
        <v>5</v>
      </c>
      <c r="B14" s="11"/>
      <c r="C14" s="12"/>
      <c r="D14" s="11"/>
      <c r="E14" s="13"/>
      <c r="F14" s="73">
        <f>SUM(E15:E17)</f>
        <v>2097.7000000000003</v>
      </c>
      <c r="G14" s="9"/>
      <c r="I14" s="56"/>
      <c r="J14" s="56"/>
      <c r="K14" s="56"/>
      <c r="AA14"/>
    </row>
    <row r="15" spans="1:28" s="8" customFormat="1" x14ac:dyDescent="0.25">
      <c r="A15" s="2"/>
      <c r="B15" s="2">
        <v>1466143</v>
      </c>
      <c r="C15" s="6"/>
      <c r="D15" s="14" t="s">
        <v>117</v>
      </c>
      <c r="E15" s="4">
        <v>1581.7</v>
      </c>
      <c r="F15" s="4"/>
      <c r="G15" s="55"/>
      <c r="I15" s="56"/>
      <c r="J15" s="59"/>
      <c r="K15" s="56"/>
    </row>
    <row r="16" spans="1:28" s="8" customFormat="1" x14ac:dyDescent="0.25">
      <c r="A16" s="2"/>
      <c r="B16" s="2">
        <v>1446699</v>
      </c>
      <c r="C16" s="6"/>
      <c r="D16" s="14" t="s">
        <v>118</v>
      </c>
      <c r="E16" s="4">
        <v>502.1</v>
      </c>
      <c r="F16" s="4"/>
      <c r="G16" s="9"/>
      <c r="I16" s="59"/>
      <c r="J16" s="56"/>
      <c r="K16" s="56"/>
    </row>
    <row r="17" spans="1:27" s="8" customFormat="1" x14ac:dyDescent="0.25">
      <c r="A17" s="2"/>
      <c r="B17" s="2">
        <v>1466144</v>
      </c>
      <c r="C17" s="6"/>
      <c r="D17" s="14" t="s">
        <v>117</v>
      </c>
      <c r="E17" s="4">
        <v>13.9</v>
      </c>
      <c r="F17" s="4"/>
      <c r="G17" s="9"/>
      <c r="I17" s="56"/>
      <c r="J17" s="56"/>
      <c r="K17" s="56"/>
    </row>
    <row r="18" spans="1:27" s="8" customFormat="1" x14ac:dyDescent="0.25">
      <c r="A18" s="2"/>
      <c r="B18" s="2"/>
      <c r="C18" s="6"/>
      <c r="D18" s="2"/>
      <c r="E18" s="4"/>
      <c r="F18" s="4"/>
      <c r="G18" s="9"/>
      <c r="I18" s="56"/>
      <c r="J18" s="56"/>
      <c r="K18" s="56"/>
    </row>
    <row r="19" spans="1:27" s="8" customFormat="1" x14ac:dyDescent="0.25">
      <c r="A19" s="10" t="s">
        <v>6</v>
      </c>
      <c r="B19" s="11"/>
      <c r="C19" s="12"/>
      <c r="D19" s="11"/>
      <c r="E19" s="13"/>
      <c r="F19" s="73">
        <f>SUM(E20)</f>
        <v>3657.9</v>
      </c>
      <c r="G19" s="9"/>
      <c r="I19" s="56"/>
      <c r="J19" s="56"/>
      <c r="K19" s="56"/>
      <c r="L19" s="56"/>
    </row>
    <row r="20" spans="1:27" s="8" customFormat="1" x14ac:dyDescent="0.25">
      <c r="A20" s="2"/>
      <c r="B20" s="14" t="s">
        <v>119</v>
      </c>
      <c r="C20" s="6"/>
      <c r="D20" s="14" t="s">
        <v>120</v>
      </c>
      <c r="E20" s="4">
        <v>3657.9</v>
      </c>
      <c r="F20" s="4"/>
      <c r="G20" s="9"/>
      <c r="I20" s="56"/>
      <c r="J20" s="56"/>
      <c r="K20" s="56"/>
      <c r="L20" s="56"/>
    </row>
    <row r="21" spans="1:27" s="8" customFormat="1" x14ac:dyDescent="0.25">
      <c r="A21" s="2"/>
      <c r="B21" s="2">
        <v>5375398</v>
      </c>
      <c r="C21" s="6"/>
      <c r="D21" s="17" t="s">
        <v>121</v>
      </c>
      <c r="E21" s="4"/>
      <c r="F21" s="4"/>
      <c r="G21" s="9"/>
      <c r="I21" s="56"/>
      <c r="J21" s="56"/>
      <c r="K21" s="56"/>
      <c r="L21" s="56"/>
    </row>
    <row r="22" spans="1:27" s="8" customFormat="1" x14ac:dyDescent="0.25">
      <c r="A22" s="2"/>
      <c r="B22" s="2"/>
      <c r="C22" s="6"/>
      <c r="D22" s="2"/>
      <c r="E22" s="4"/>
      <c r="F22" s="4"/>
      <c r="G22" s="9"/>
      <c r="I22" s="56"/>
      <c r="J22" s="56"/>
      <c r="K22" s="56"/>
      <c r="L22" s="56"/>
    </row>
    <row r="23" spans="1:27" s="22" customFormat="1" ht="17.5" customHeight="1" x14ac:dyDescent="0.2">
      <c r="A23" s="18" t="s">
        <v>14</v>
      </c>
      <c r="B23" s="19"/>
      <c r="C23" s="20"/>
      <c r="D23" s="19"/>
      <c r="E23" s="21"/>
      <c r="F23" s="81">
        <f>E25+E27</f>
        <v>540.70000000000005</v>
      </c>
      <c r="G23" s="9"/>
      <c r="I23" s="53"/>
      <c r="J23" s="53"/>
      <c r="K23" s="53"/>
      <c r="L23" s="53"/>
    </row>
    <row r="24" spans="1:27" ht="20" x14ac:dyDescent="0.25">
      <c r="A24" s="25" t="s">
        <v>80</v>
      </c>
      <c r="B24" s="23"/>
      <c r="C24" s="24"/>
      <c r="D24" s="27" t="s">
        <v>16</v>
      </c>
      <c r="E24" s="26"/>
      <c r="F24" s="4"/>
      <c r="G24" s="4"/>
    </row>
    <row r="25" spans="1:27" s="8" customFormat="1" ht="20" x14ac:dyDescent="0.25">
      <c r="A25" s="2"/>
      <c r="B25" s="2" t="s">
        <v>8</v>
      </c>
      <c r="C25" s="6"/>
      <c r="D25" s="14" t="s">
        <v>123</v>
      </c>
      <c r="E25" s="4">
        <v>257.47000000000003</v>
      </c>
      <c r="F25" s="4"/>
      <c r="I25" s="56"/>
      <c r="J25" s="56"/>
      <c r="K25" s="56"/>
      <c r="L25" s="56"/>
    </row>
    <row r="26" spans="1:27" s="8" customFormat="1" ht="16.25" customHeight="1" x14ac:dyDescent="0.25">
      <c r="A26" s="2"/>
      <c r="B26" s="2"/>
      <c r="C26" s="6"/>
      <c r="D26" s="51" t="s">
        <v>122</v>
      </c>
      <c r="E26" s="4"/>
      <c r="F26" s="4"/>
      <c r="G26" s="9"/>
      <c r="I26" s="56"/>
      <c r="J26" s="56"/>
      <c r="K26" s="56"/>
      <c r="L26" s="56"/>
      <c r="O26"/>
    </row>
    <row r="27" spans="1:27" s="8" customFormat="1" x14ac:dyDescent="0.25">
      <c r="A27" s="2"/>
      <c r="B27" s="14" t="s">
        <v>9</v>
      </c>
      <c r="C27" s="6"/>
      <c r="D27" s="14" t="s">
        <v>123</v>
      </c>
      <c r="E27" s="4">
        <v>283.23</v>
      </c>
      <c r="F27" s="4"/>
      <c r="I27" s="56"/>
      <c r="J27" s="56"/>
      <c r="K27" s="56"/>
      <c r="L27" s="56"/>
      <c r="S27"/>
    </row>
    <row r="28" spans="1:27" s="8" customFormat="1" ht="16.25" customHeight="1" x14ac:dyDescent="0.25">
      <c r="A28" s="2"/>
      <c r="B28" s="2"/>
      <c r="C28" s="6"/>
      <c r="D28" s="51" t="s">
        <v>124</v>
      </c>
      <c r="E28" s="4"/>
      <c r="F28" s="4"/>
      <c r="G28" s="9"/>
      <c r="I28" s="56"/>
      <c r="J28" s="56"/>
      <c r="K28" s="56"/>
      <c r="L28" s="56"/>
      <c r="AA28"/>
    </row>
    <row r="29" spans="1:27" s="8" customFormat="1" ht="16.25" customHeight="1" x14ac:dyDescent="0.25">
      <c r="A29" s="2"/>
      <c r="B29" s="2"/>
      <c r="C29" s="6"/>
      <c r="D29" s="51"/>
      <c r="E29" s="4"/>
      <c r="F29" s="4"/>
      <c r="G29" s="9"/>
      <c r="I29" s="56"/>
      <c r="J29" s="56"/>
      <c r="K29" s="56"/>
      <c r="L29" s="56"/>
      <c r="AA29"/>
    </row>
    <row r="30" spans="1:27" s="8" customFormat="1" ht="16.25" customHeight="1" x14ac:dyDescent="0.25">
      <c r="A30" s="18" t="s">
        <v>14</v>
      </c>
      <c r="B30" s="19"/>
      <c r="C30" s="20"/>
      <c r="D30" s="19"/>
      <c r="E30" s="21"/>
      <c r="F30" s="81">
        <f>E32</f>
        <v>427</v>
      </c>
      <c r="G30" s="9"/>
      <c r="I30" s="56"/>
      <c r="J30" s="56"/>
      <c r="K30" s="56"/>
      <c r="L30" s="56"/>
      <c r="AA30"/>
    </row>
    <row r="31" spans="1:27" s="8" customFormat="1" ht="20" x14ac:dyDescent="0.25">
      <c r="A31" s="25" t="s">
        <v>10</v>
      </c>
      <c r="B31" s="23"/>
      <c r="C31" s="24"/>
      <c r="D31" s="27" t="s">
        <v>18</v>
      </c>
      <c r="E31" s="26"/>
      <c r="F31" s="4"/>
      <c r="G31" s="9"/>
      <c r="I31" s="56"/>
      <c r="J31" s="56"/>
      <c r="K31" s="56"/>
      <c r="L31" s="56"/>
    </row>
    <row r="32" spans="1:27" s="8" customFormat="1" ht="16.25" customHeight="1" x14ac:dyDescent="0.25">
      <c r="A32" s="2"/>
      <c r="B32" s="2" t="s">
        <v>7</v>
      </c>
      <c r="C32" s="6"/>
      <c r="D32" s="2" t="s">
        <v>15</v>
      </c>
      <c r="E32" s="4">
        <v>427</v>
      </c>
      <c r="F32" s="4"/>
      <c r="G32" s="9"/>
      <c r="I32" s="56"/>
      <c r="J32" s="56"/>
      <c r="K32" s="56"/>
      <c r="L32" s="56"/>
      <c r="AA32"/>
    </row>
    <row r="33" spans="1:27" s="8" customFormat="1" ht="16.25" customHeight="1" x14ac:dyDescent="0.25">
      <c r="A33" s="2"/>
      <c r="B33" s="2"/>
      <c r="C33" s="6"/>
      <c r="D33" s="51" t="s">
        <v>125</v>
      </c>
      <c r="E33" s="4"/>
      <c r="F33" s="4"/>
      <c r="G33" s="9"/>
      <c r="H33"/>
      <c r="I33" s="56"/>
      <c r="J33" s="56"/>
      <c r="K33" s="56"/>
      <c r="L33" s="56"/>
      <c r="AA33"/>
    </row>
    <row r="34" spans="1:27" s="8" customFormat="1" ht="16.25" customHeight="1" x14ac:dyDescent="0.25">
      <c r="A34" s="2"/>
      <c r="B34" s="2"/>
      <c r="C34" s="6"/>
      <c r="D34" s="51"/>
      <c r="E34" s="4"/>
      <c r="F34" s="4"/>
      <c r="G34"/>
      <c r="I34" s="56"/>
      <c r="J34" s="56"/>
      <c r="K34" s="56"/>
      <c r="L34" s="56"/>
    </row>
    <row r="35" spans="1:27" x14ac:dyDescent="0.25">
      <c r="A35" s="10" t="s">
        <v>17</v>
      </c>
      <c r="B35" s="11"/>
      <c r="C35" s="12"/>
      <c r="D35" s="11"/>
      <c r="E35" s="13"/>
      <c r="F35" s="73">
        <f>E37+E39+E40</f>
        <v>777.33</v>
      </c>
      <c r="G35" s="8"/>
      <c r="I35"/>
    </row>
    <row r="36" spans="1:27" ht="20" x14ac:dyDescent="0.25">
      <c r="A36" s="25" t="s">
        <v>80</v>
      </c>
      <c r="B36" s="23"/>
      <c r="C36" s="24"/>
      <c r="D36" s="27" t="s">
        <v>16</v>
      </c>
      <c r="E36" s="26"/>
      <c r="F36" s="4"/>
      <c r="G36" s="4"/>
    </row>
    <row r="37" spans="1:27" ht="20" x14ac:dyDescent="0.25">
      <c r="A37" s="2"/>
      <c r="B37" s="2" t="s">
        <v>129</v>
      </c>
      <c r="C37" s="6"/>
      <c r="D37" s="14" t="s">
        <v>11</v>
      </c>
      <c r="E37" s="4">
        <v>600</v>
      </c>
      <c r="F37" s="4"/>
      <c r="G37" s="4"/>
      <c r="H37" s="9"/>
      <c r="I37" s="59"/>
    </row>
    <row r="38" spans="1:27" x14ac:dyDescent="0.25">
      <c r="A38" s="2"/>
      <c r="B38" s="2"/>
      <c r="C38" s="28" t="s">
        <v>126</v>
      </c>
      <c r="D38" s="17"/>
      <c r="G38" s="4"/>
    </row>
    <row r="39" spans="1:27" x14ac:dyDescent="0.25">
      <c r="A39" s="2"/>
      <c r="B39" s="2"/>
      <c r="C39" s="28"/>
      <c r="D39" s="17" t="s">
        <v>127</v>
      </c>
      <c r="E39" s="29">
        <v>25</v>
      </c>
      <c r="G39" s="4"/>
    </row>
    <row r="40" spans="1:27" x14ac:dyDescent="0.25">
      <c r="A40" s="2"/>
      <c r="B40" s="2"/>
      <c r="C40" s="28"/>
      <c r="D40" s="17" t="s">
        <v>128</v>
      </c>
      <c r="E40" s="29">
        <v>152.33000000000001</v>
      </c>
      <c r="G40" s="4"/>
    </row>
    <row r="41" spans="1:27" ht="19.75" customHeight="1" x14ac:dyDescent="0.25">
      <c r="A41" s="2"/>
      <c r="B41" s="2"/>
      <c r="C41" s="28"/>
      <c r="D41" s="17"/>
      <c r="G41" s="4"/>
    </row>
    <row r="42" spans="1:27" x14ac:dyDescent="0.25">
      <c r="A42" s="62" t="s">
        <v>130</v>
      </c>
      <c r="B42" s="63"/>
      <c r="C42" s="63"/>
      <c r="D42" s="63"/>
      <c r="E42" s="64"/>
      <c r="F42" s="73">
        <f>E44</f>
        <v>500</v>
      </c>
    </row>
    <row r="43" spans="1:27" x14ac:dyDescent="0.25">
      <c r="A43" s="65" t="s">
        <v>98</v>
      </c>
      <c r="B43" s="66"/>
      <c r="C43" s="67"/>
      <c r="D43" s="61"/>
      <c r="E43" s="68"/>
      <c r="F43" s="69"/>
      <c r="L43" s="56"/>
    </row>
    <row r="44" spans="1:27" ht="22.75" customHeight="1" x14ac:dyDescent="0.25">
      <c r="A44" s="3"/>
      <c r="B44" s="14" t="s">
        <v>131</v>
      </c>
      <c r="C44" s="6"/>
      <c r="D44" s="70"/>
      <c r="E44" s="4">
        <v>500</v>
      </c>
      <c r="F44" s="4"/>
      <c r="L44" s="56"/>
    </row>
    <row r="45" spans="1:27" x14ac:dyDescent="0.25">
      <c r="A45" s="3"/>
      <c r="B45" s="3"/>
      <c r="C45" s="3"/>
      <c r="D45" s="70"/>
      <c r="E45" s="71"/>
      <c r="F45" s="4"/>
      <c r="L45" s="56"/>
    </row>
    <row r="46" spans="1:27" x14ac:dyDescent="0.25">
      <c r="A46" s="62" t="s">
        <v>132</v>
      </c>
      <c r="B46" s="63"/>
      <c r="C46" s="63"/>
      <c r="D46" s="63"/>
      <c r="E46" s="64"/>
      <c r="F46" s="73">
        <f>E48</f>
        <v>879</v>
      </c>
      <c r="L46" s="56"/>
    </row>
    <row r="47" spans="1:27" x14ac:dyDescent="0.25">
      <c r="A47" s="65" t="s">
        <v>136</v>
      </c>
      <c r="B47" s="66"/>
      <c r="C47" s="67"/>
      <c r="D47" s="61"/>
      <c r="E47" s="68"/>
      <c r="F47" s="4"/>
      <c r="L47" s="56"/>
    </row>
    <row r="48" spans="1:27" ht="20" x14ac:dyDescent="0.25">
      <c r="A48" s="3"/>
      <c r="B48" s="3" t="s">
        <v>133</v>
      </c>
      <c r="C48" s="3">
        <v>29</v>
      </c>
      <c r="D48" s="70" t="s">
        <v>134</v>
      </c>
      <c r="E48" s="71">
        <v>879</v>
      </c>
      <c r="F48" s="4"/>
    </row>
    <row r="49" spans="1:24" ht="20" x14ac:dyDescent="0.25">
      <c r="A49" s="3"/>
      <c r="B49" s="72"/>
      <c r="C49" s="3">
        <v>1</v>
      </c>
      <c r="D49" s="70" t="s">
        <v>135</v>
      </c>
      <c r="E49" s="71"/>
      <c r="F49" s="4"/>
    </row>
    <row r="50" spans="1:24" x14ac:dyDescent="0.25">
      <c r="A50" s="3"/>
      <c r="B50" s="3"/>
      <c r="C50" s="3"/>
      <c r="D50" s="70"/>
      <c r="E50" s="71"/>
      <c r="F50" s="4"/>
    </row>
    <row r="51" spans="1:24" x14ac:dyDescent="0.25">
      <c r="A51" s="62" t="s">
        <v>137</v>
      </c>
      <c r="B51" s="63"/>
      <c r="C51" s="63"/>
      <c r="D51" s="63"/>
      <c r="E51" s="64"/>
      <c r="F51" s="73">
        <f>E53</f>
        <v>267.16000000000003</v>
      </c>
    </row>
    <row r="52" spans="1:24" x14ac:dyDescent="0.25">
      <c r="A52" s="65" t="s">
        <v>138</v>
      </c>
      <c r="B52" s="66"/>
      <c r="C52" s="67"/>
      <c r="D52" s="61"/>
      <c r="E52" s="68"/>
      <c r="F52" s="69"/>
    </row>
    <row r="53" spans="1:24" ht="20" x14ac:dyDescent="0.25">
      <c r="A53" s="3"/>
      <c r="B53" s="3" t="s">
        <v>139</v>
      </c>
      <c r="C53" s="3"/>
      <c r="D53" s="3" t="s">
        <v>140</v>
      </c>
      <c r="E53" s="4">
        <v>267.16000000000003</v>
      </c>
      <c r="F53" s="4"/>
    </row>
    <row r="54" spans="1:24" x14ac:dyDescent="0.25">
      <c r="A54" s="3"/>
      <c r="B54" s="3"/>
      <c r="C54" s="3"/>
      <c r="D54" s="70"/>
      <c r="E54" s="71"/>
      <c r="F54" s="4"/>
    </row>
    <row r="55" spans="1:24" x14ac:dyDescent="0.25">
      <c r="A55" s="62" t="s">
        <v>137</v>
      </c>
      <c r="B55" s="63"/>
      <c r="C55" s="63"/>
      <c r="D55" s="63"/>
      <c r="E55" s="64"/>
      <c r="F55" s="73">
        <f>E57</f>
        <v>688.6</v>
      </c>
      <c r="G55" s="80" t="s">
        <v>143</v>
      </c>
    </row>
    <row r="56" spans="1:24" x14ac:dyDescent="0.25">
      <c r="A56" s="65" t="s">
        <v>138</v>
      </c>
      <c r="B56" s="66"/>
      <c r="C56" s="67"/>
      <c r="D56" s="61"/>
      <c r="E56" s="68"/>
      <c r="F56" s="69"/>
    </row>
    <row r="57" spans="1:24" ht="20" x14ac:dyDescent="0.25">
      <c r="A57" s="3"/>
      <c r="B57" s="3" t="s">
        <v>141</v>
      </c>
      <c r="C57" s="3"/>
      <c r="D57" s="3" t="s">
        <v>142</v>
      </c>
      <c r="E57" s="73">
        <v>688.6</v>
      </c>
      <c r="F57" s="4"/>
    </row>
    <row r="58" spans="1:24" x14ac:dyDescent="0.25">
      <c r="D58" s="28" t="s">
        <v>144</v>
      </c>
      <c r="I58" s="59"/>
      <c r="N58"/>
      <c r="S58"/>
      <c r="X58"/>
    </row>
    <row r="60" spans="1:24" x14ac:dyDescent="0.25">
      <c r="A60" s="62"/>
      <c r="B60" s="63"/>
      <c r="C60" s="63"/>
      <c r="D60" s="63"/>
      <c r="E60" s="64"/>
    </row>
    <row r="61" spans="1:24" x14ac:dyDescent="0.25">
      <c r="A61" s="65"/>
      <c r="B61" s="66"/>
      <c r="C61" s="67"/>
      <c r="D61" s="61"/>
      <c r="E61" s="68"/>
    </row>
    <row r="62" spans="1:24" x14ac:dyDescent="0.25">
      <c r="A62" s="3"/>
      <c r="B62" s="3"/>
      <c r="C62" s="3"/>
      <c r="D62" s="3"/>
      <c r="E62" s="4"/>
    </row>
    <row r="63" spans="1:24" x14ac:dyDescent="0.25">
      <c r="A63" s="3"/>
      <c r="B63" s="3"/>
      <c r="C63" s="3"/>
      <c r="D63" s="70"/>
      <c r="E63" s="71"/>
    </row>
    <row r="74" spans="1:1" x14ac:dyDescent="0.25">
      <c r="A74"/>
    </row>
    <row r="94" spans="1:1" x14ac:dyDescent="0.25">
      <c r="A94" s="28" t="s">
        <v>99</v>
      </c>
    </row>
    <row r="95" spans="1:1" x14ac:dyDescent="0.25">
      <c r="A95"/>
    </row>
  </sheetData>
  <pageMargins left="0.70866141732283472" right="0.70866141732283472" top="0.74803149606299213" bottom="0.74803149606299213" header="0.31496062992125984" footer="0.31496062992125984"/>
  <pageSetup paperSize="9" scale="21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CA08-FD6B-49B5-9C8F-51EBDD69FFAB}">
  <dimension ref="A1:F12"/>
  <sheetViews>
    <sheetView workbookViewId="0">
      <selection activeCell="A2" sqref="A2"/>
    </sheetView>
  </sheetViews>
  <sheetFormatPr baseColWidth="10" defaultRowHeight="15" x14ac:dyDescent="0.2"/>
  <sheetData>
    <row r="1" spans="1:6" ht="19" x14ac:dyDescent="0.25">
      <c r="A1" s="74" t="s">
        <v>116</v>
      </c>
    </row>
    <row r="2" spans="1:6" ht="61" x14ac:dyDescent="0.2">
      <c r="A2" s="75"/>
      <c r="B2" s="76" t="s">
        <v>102</v>
      </c>
      <c r="C2" s="76" t="s">
        <v>103</v>
      </c>
      <c r="D2" s="76" t="s">
        <v>104</v>
      </c>
      <c r="E2" s="76" t="s">
        <v>105</v>
      </c>
      <c r="F2" s="76" t="s">
        <v>106</v>
      </c>
    </row>
    <row r="3" spans="1:6" x14ac:dyDescent="0.2">
      <c r="A3" s="77" t="s">
        <v>107</v>
      </c>
      <c r="B3" s="78">
        <v>1130</v>
      </c>
      <c r="C3" s="78">
        <f>B3*9%</f>
        <v>101.7</v>
      </c>
      <c r="D3" s="78">
        <v>381.5</v>
      </c>
      <c r="E3" s="78"/>
      <c r="F3" s="78">
        <f>SUM(B3:E3)</f>
        <v>1613.2</v>
      </c>
    </row>
    <row r="4" spans="1:6" x14ac:dyDescent="0.2">
      <c r="A4" s="77" t="s">
        <v>108</v>
      </c>
      <c r="B4" s="78">
        <v>1130</v>
      </c>
      <c r="C4" s="78">
        <f t="shared" ref="C4:C6" si="0">B4*9%</f>
        <v>101.7</v>
      </c>
      <c r="D4" s="78">
        <v>381.5</v>
      </c>
      <c r="E4" s="78"/>
      <c r="F4" s="78">
        <f>SUM(B4:E4)</f>
        <v>1613.2</v>
      </c>
    </row>
    <row r="5" spans="1:6" x14ac:dyDescent="0.2">
      <c r="A5" s="77" t="s">
        <v>109</v>
      </c>
      <c r="B5" s="78">
        <f>1130+113</f>
        <v>1243</v>
      </c>
      <c r="C5" s="78">
        <f t="shared" si="0"/>
        <v>111.86999999999999</v>
      </c>
      <c r="D5" s="78">
        <v>381.5</v>
      </c>
      <c r="E5" s="78">
        <v>250</v>
      </c>
      <c r="F5" s="78">
        <f>SUM(B5:E5)</f>
        <v>1986.37</v>
      </c>
    </row>
    <row r="6" spans="1:6" x14ac:dyDescent="0.2">
      <c r="A6" s="77" t="s">
        <v>110</v>
      </c>
      <c r="B6" s="78">
        <f>1130+113</f>
        <v>1243</v>
      </c>
      <c r="C6" s="78">
        <f t="shared" si="0"/>
        <v>111.86999999999999</v>
      </c>
      <c r="D6" s="78">
        <v>381.5</v>
      </c>
      <c r="E6" s="78"/>
      <c r="F6" s="78">
        <f>SUM(B6:E6)</f>
        <v>1736.37</v>
      </c>
    </row>
    <row r="7" spans="1:6" x14ac:dyDescent="0.2">
      <c r="F7" s="79">
        <f>SUM(F3:F6)</f>
        <v>6949.14</v>
      </c>
    </row>
    <row r="8" spans="1:6" x14ac:dyDescent="0.2">
      <c r="A8" t="s">
        <v>111</v>
      </c>
    </row>
    <row r="9" spans="1:6" x14ac:dyDescent="0.2">
      <c r="A9" t="s">
        <v>112</v>
      </c>
    </row>
    <row r="10" spans="1:6" x14ac:dyDescent="0.2">
      <c r="B10" t="s">
        <v>113</v>
      </c>
      <c r="D10" s="78">
        <v>350</v>
      </c>
    </row>
    <row r="11" spans="1:6" x14ac:dyDescent="0.2">
      <c r="B11" t="s">
        <v>114</v>
      </c>
      <c r="D11" s="78">
        <f>D10*9%</f>
        <v>31.5</v>
      </c>
    </row>
    <row r="12" spans="1:6" x14ac:dyDescent="0.2">
      <c r="B12" t="s">
        <v>115</v>
      </c>
      <c r="D12" s="59">
        <f>D10+D11</f>
        <v>381.5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934C-16E5-4A14-B214-0BF93CD93194}">
  <dimension ref="A1:I68"/>
  <sheetViews>
    <sheetView topLeftCell="A23" zoomScale="70" zoomScaleNormal="70" workbookViewId="0">
      <selection activeCell="G53" sqref="G53"/>
    </sheetView>
  </sheetViews>
  <sheetFormatPr baseColWidth="10" defaultColWidth="11.5" defaultRowHeight="16" x14ac:dyDescent="0.2"/>
  <cols>
    <col min="1" max="1" width="13.83203125" style="36" bestFit="1" customWidth="1"/>
    <col min="2" max="2" width="15.1640625" style="36" bestFit="1" customWidth="1"/>
    <col min="3" max="3" width="22.1640625" style="36" bestFit="1" customWidth="1"/>
    <col min="4" max="4" width="50.33203125" style="36" bestFit="1" customWidth="1"/>
    <col min="5" max="7" width="14.1640625" style="46" customWidth="1"/>
    <col min="8" max="16384" width="11.5" style="36"/>
  </cols>
  <sheetData>
    <row r="1" spans="1:8" x14ac:dyDescent="0.2">
      <c r="A1" s="31" t="s">
        <v>12</v>
      </c>
      <c r="B1" s="32"/>
      <c r="C1" s="32"/>
      <c r="D1" s="33"/>
      <c r="E1" s="34"/>
    </row>
    <row r="2" spans="1:8" x14ac:dyDescent="0.2">
      <c r="A2" s="31" t="s">
        <v>48</v>
      </c>
      <c r="B2" s="32"/>
      <c r="C2" s="32"/>
      <c r="D2" s="37"/>
      <c r="E2" s="38"/>
    </row>
    <row r="3" spans="1:8" x14ac:dyDescent="0.2">
      <c r="A3" s="32"/>
      <c r="B3" s="32"/>
      <c r="C3" s="32"/>
      <c r="D3" s="37"/>
      <c r="E3" s="34"/>
    </row>
    <row r="4" spans="1:8" x14ac:dyDescent="0.2">
      <c r="A4" s="39" t="s">
        <v>22</v>
      </c>
      <c r="B4" s="40"/>
      <c r="C4" s="40"/>
      <c r="D4" s="41"/>
      <c r="E4" s="34"/>
      <c r="F4" s="34"/>
      <c r="G4" s="34"/>
    </row>
    <row r="5" spans="1:8" s="44" customFormat="1" ht="17" x14ac:dyDescent="0.2">
      <c r="A5" s="44" t="s">
        <v>23</v>
      </c>
      <c r="B5" s="44" t="s">
        <v>24</v>
      </c>
      <c r="C5" s="44" t="s">
        <v>44</v>
      </c>
      <c r="D5" s="48" t="s">
        <v>25</v>
      </c>
      <c r="E5" s="38" t="s">
        <v>19</v>
      </c>
      <c r="F5" s="38" t="s">
        <v>20</v>
      </c>
      <c r="G5" s="38" t="s">
        <v>21</v>
      </c>
    </row>
    <row r="6" spans="1:8" x14ac:dyDescent="0.2">
      <c r="A6" s="42">
        <v>45890</v>
      </c>
      <c r="B6" s="45">
        <v>1601</v>
      </c>
      <c r="C6" s="43" t="s">
        <v>33</v>
      </c>
      <c r="D6" s="36" t="s">
        <v>26</v>
      </c>
      <c r="E6" s="46">
        <v>960</v>
      </c>
      <c r="G6" s="46">
        <f>E6-F6</f>
        <v>960</v>
      </c>
    </row>
    <row r="7" spans="1:8" x14ac:dyDescent="0.2">
      <c r="A7" s="42">
        <v>45890</v>
      </c>
      <c r="B7" s="45">
        <v>501</v>
      </c>
      <c r="C7" s="43" t="s">
        <v>34</v>
      </c>
      <c r="D7" s="36" t="s">
        <v>28</v>
      </c>
      <c r="E7" s="46">
        <v>500</v>
      </c>
      <c r="G7" s="46">
        <f>G6+E7-F7</f>
        <v>1460</v>
      </c>
    </row>
    <row r="8" spans="1:8" x14ac:dyDescent="0.2">
      <c r="A8" s="42">
        <v>45890</v>
      </c>
      <c r="B8" s="45">
        <v>503</v>
      </c>
      <c r="C8" s="43" t="s">
        <v>35</v>
      </c>
      <c r="D8" s="36" t="s">
        <v>28</v>
      </c>
      <c r="E8" s="46">
        <v>325.89999999999998</v>
      </c>
      <c r="G8" s="46">
        <f>G7+E8-F8</f>
        <v>1785.9</v>
      </c>
    </row>
    <row r="9" spans="1:8" x14ac:dyDescent="0.2">
      <c r="A9" s="42">
        <v>45890</v>
      </c>
      <c r="B9" s="45">
        <v>302</v>
      </c>
      <c r="C9" s="43" t="s">
        <v>36</v>
      </c>
      <c r="D9" s="36" t="s">
        <v>28</v>
      </c>
      <c r="E9" s="46">
        <v>325.89999999999998</v>
      </c>
      <c r="G9" s="46">
        <f>G8+E9-F9</f>
        <v>2111.8000000000002</v>
      </c>
    </row>
    <row r="10" spans="1:8" x14ac:dyDescent="0.2">
      <c r="A10" s="42">
        <v>45890</v>
      </c>
      <c r="B10" s="45">
        <v>1301</v>
      </c>
      <c r="C10" s="43" t="s">
        <v>37</v>
      </c>
      <c r="D10" s="36" t="s">
        <v>28</v>
      </c>
      <c r="E10" s="46">
        <v>325.89999999999998</v>
      </c>
      <c r="G10" s="46">
        <f>G9+E10-F10</f>
        <v>2437.7000000000003</v>
      </c>
    </row>
    <row r="11" spans="1:8" x14ac:dyDescent="0.2">
      <c r="A11" s="42">
        <v>45890</v>
      </c>
      <c r="B11" s="35"/>
      <c r="C11" s="49"/>
      <c r="D11" s="36" t="s">
        <v>27</v>
      </c>
      <c r="F11" s="46">
        <v>427</v>
      </c>
      <c r="G11" s="46">
        <f>G10+E11-F11</f>
        <v>2010.7000000000003</v>
      </c>
    </row>
    <row r="12" spans="1:8" x14ac:dyDescent="0.2">
      <c r="A12" s="42">
        <v>45890</v>
      </c>
      <c r="B12" s="35"/>
      <c r="C12" s="49"/>
      <c r="D12" s="36" t="s">
        <v>29</v>
      </c>
      <c r="F12" s="46">
        <v>500</v>
      </c>
      <c r="G12" s="46">
        <f t="shared" ref="G12:G14" si="0">G11+E12-F12</f>
        <v>1510.7000000000003</v>
      </c>
    </row>
    <row r="13" spans="1:8" x14ac:dyDescent="0.2">
      <c r="A13" s="42">
        <v>45890</v>
      </c>
      <c r="B13" s="35"/>
      <c r="C13" s="49"/>
      <c r="D13" s="36" t="s">
        <v>30</v>
      </c>
      <c r="F13" s="46">
        <v>500</v>
      </c>
      <c r="G13" s="46">
        <f t="shared" si="0"/>
        <v>1010.7000000000003</v>
      </c>
    </row>
    <row r="14" spans="1:8" x14ac:dyDescent="0.2">
      <c r="A14" s="42">
        <v>45890</v>
      </c>
      <c r="B14" s="35"/>
      <c r="C14" s="49"/>
      <c r="D14" s="36" t="s">
        <v>31</v>
      </c>
      <c r="F14" s="46">
        <v>500</v>
      </c>
      <c r="G14" s="46">
        <f t="shared" si="0"/>
        <v>510.70000000000027</v>
      </c>
    </row>
    <row r="15" spans="1:8" x14ac:dyDescent="0.2">
      <c r="A15" s="42">
        <v>45890</v>
      </c>
      <c r="B15" s="35"/>
      <c r="C15" s="49"/>
      <c r="D15" s="36" t="s">
        <v>32</v>
      </c>
      <c r="F15" s="46">
        <v>500</v>
      </c>
      <c r="G15" s="46">
        <f>G14+E15-F15</f>
        <v>10.700000000000273</v>
      </c>
    </row>
    <row r="16" spans="1:8" x14ac:dyDescent="0.2">
      <c r="A16" s="42">
        <v>45890</v>
      </c>
      <c r="B16" s="35" t="s">
        <v>38</v>
      </c>
      <c r="C16" s="49" t="s">
        <v>39</v>
      </c>
      <c r="D16" s="36" t="s">
        <v>28</v>
      </c>
      <c r="E16" s="46">
        <v>300</v>
      </c>
      <c r="G16" s="46">
        <f t="shared" ref="G16:G19" si="1">G15+E16-F16</f>
        <v>310.70000000000027</v>
      </c>
      <c r="H16" s="47"/>
    </row>
    <row r="17" spans="1:9" x14ac:dyDescent="0.2">
      <c r="A17" s="42">
        <v>45890</v>
      </c>
      <c r="B17" s="35">
        <v>1303</v>
      </c>
      <c r="C17" s="49" t="s">
        <v>40</v>
      </c>
      <c r="D17" s="36" t="s">
        <v>28</v>
      </c>
      <c r="E17" s="46">
        <v>500</v>
      </c>
      <c r="G17" s="46">
        <f t="shared" si="1"/>
        <v>810.70000000000027</v>
      </c>
    </row>
    <row r="18" spans="1:9" x14ac:dyDescent="0.2">
      <c r="A18" s="42">
        <v>45890</v>
      </c>
      <c r="B18" s="35">
        <v>1701</v>
      </c>
      <c r="C18" s="49" t="s">
        <v>41</v>
      </c>
      <c r="D18" s="36" t="s">
        <v>43</v>
      </c>
      <c r="E18" s="46">
        <v>2793</v>
      </c>
      <c r="G18" s="46">
        <f t="shared" si="1"/>
        <v>3603.7000000000003</v>
      </c>
    </row>
    <row r="19" spans="1:9" x14ac:dyDescent="0.2">
      <c r="A19" s="42">
        <v>45890</v>
      </c>
      <c r="B19" s="35">
        <v>1202</v>
      </c>
      <c r="C19" s="49" t="s">
        <v>42</v>
      </c>
      <c r="D19" s="36" t="s">
        <v>28</v>
      </c>
      <c r="E19" s="46">
        <v>200</v>
      </c>
      <c r="G19" s="46">
        <f t="shared" si="1"/>
        <v>3803.7000000000003</v>
      </c>
    </row>
    <row r="20" spans="1:9" x14ac:dyDescent="0.2">
      <c r="A20" s="42">
        <v>45891</v>
      </c>
      <c r="B20" s="35"/>
      <c r="C20" s="35"/>
      <c r="D20" s="36" t="s">
        <v>45</v>
      </c>
      <c r="F20" s="46">
        <v>257.98</v>
      </c>
      <c r="G20" s="46">
        <f t="shared" ref="G20:G21" si="2">G19+E20-F20</f>
        <v>3545.7200000000003</v>
      </c>
    </row>
    <row r="21" spans="1:9" x14ac:dyDescent="0.2">
      <c r="A21" s="42">
        <v>45891</v>
      </c>
      <c r="B21" s="35"/>
      <c r="C21" s="35"/>
      <c r="D21" s="36" t="s">
        <v>46</v>
      </c>
      <c r="F21" s="46">
        <v>283.79000000000002</v>
      </c>
      <c r="G21" s="46">
        <f t="shared" si="2"/>
        <v>3261.9300000000003</v>
      </c>
    </row>
    <row r="22" spans="1:9" x14ac:dyDescent="0.2">
      <c r="A22" s="42">
        <v>45891</v>
      </c>
      <c r="B22" s="35"/>
      <c r="C22" s="35"/>
      <c r="D22" s="36" t="s">
        <v>47</v>
      </c>
      <c r="F22" s="46">
        <v>600</v>
      </c>
      <c r="G22" s="50">
        <f>G21+E22-F22</f>
        <v>2661.9300000000003</v>
      </c>
      <c r="H22" s="47"/>
      <c r="I22" s="47"/>
    </row>
    <row r="23" spans="1:9" x14ac:dyDescent="0.2">
      <c r="A23" s="42"/>
      <c r="B23" s="35"/>
      <c r="C23" s="35"/>
      <c r="E23" s="46">
        <f>SUM(E6:E22)</f>
        <v>6230.7000000000007</v>
      </c>
      <c r="F23" s="46">
        <f>SUM(F6:F22)</f>
        <v>3568.77</v>
      </c>
    </row>
    <row r="24" spans="1:9" x14ac:dyDescent="0.2">
      <c r="A24" s="42"/>
      <c r="B24" s="35"/>
      <c r="C24" s="35"/>
    </row>
    <row r="25" spans="1:9" x14ac:dyDescent="0.2">
      <c r="A25" s="42"/>
      <c r="B25" s="35"/>
      <c r="C25" s="35"/>
      <c r="D25" s="36" t="s">
        <v>51</v>
      </c>
      <c r="E25" s="50">
        <v>2661.93</v>
      </c>
      <c r="G25" s="46">
        <f>G23+E25-F25</f>
        <v>2661.93</v>
      </c>
    </row>
    <row r="26" spans="1:9" x14ac:dyDescent="0.2">
      <c r="A26" s="42">
        <v>45902</v>
      </c>
      <c r="B26" s="35">
        <v>1303</v>
      </c>
      <c r="C26" s="49" t="s">
        <v>40</v>
      </c>
      <c r="D26" s="36" t="s">
        <v>52</v>
      </c>
      <c r="E26" s="46">
        <v>200</v>
      </c>
      <c r="G26" s="46">
        <f>G25+E26-F26</f>
        <v>2861.93</v>
      </c>
    </row>
    <row r="27" spans="1:9" x14ac:dyDescent="0.2">
      <c r="A27" s="42">
        <v>45902</v>
      </c>
      <c r="B27" s="45">
        <v>501</v>
      </c>
      <c r="C27" s="43" t="s">
        <v>34</v>
      </c>
      <c r="D27" s="36" t="s">
        <v>52</v>
      </c>
      <c r="E27" s="46">
        <v>150</v>
      </c>
      <c r="G27" s="46">
        <f t="shared" ref="G27:G32" si="3">G26+E27-F27</f>
        <v>3011.93</v>
      </c>
    </row>
    <row r="28" spans="1:9" x14ac:dyDescent="0.2">
      <c r="A28" s="42">
        <v>45902</v>
      </c>
      <c r="B28" s="45">
        <v>503</v>
      </c>
      <c r="C28" s="43" t="s">
        <v>35</v>
      </c>
      <c r="D28" s="36" t="s">
        <v>52</v>
      </c>
      <c r="E28" s="46">
        <v>150</v>
      </c>
      <c r="G28" s="46">
        <f t="shared" si="3"/>
        <v>3161.93</v>
      </c>
    </row>
    <row r="29" spans="1:9" x14ac:dyDescent="0.2">
      <c r="A29" s="42">
        <v>45902</v>
      </c>
      <c r="B29" s="45">
        <v>302</v>
      </c>
      <c r="C29" s="43" t="s">
        <v>36</v>
      </c>
      <c r="D29" s="36" t="s">
        <v>52</v>
      </c>
      <c r="E29" s="46">
        <v>150</v>
      </c>
      <c r="G29" s="46">
        <f t="shared" si="3"/>
        <v>3311.93</v>
      </c>
    </row>
    <row r="30" spans="1:9" x14ac:dyDescent="0.2">
      <c r="A30" s="42">
        <v>45902</v>
      </c>
      <c r="B30" s="35">
        <v>1202</v>
      </c>
      <c r="C30" s="49" t="s">
        <v>42</v>
      </c>
      <c r="D30" s="36" t="s">
        <v>52</v>
      </c>
      <c r="E30" s="46">
        <v>100</v>
      </c>
      <c r="G30" s="46">
        <f t="shared" si="3"/>
        <v>3411.93</v>
      </c>
    </row>
    <row r="31" spans="1:9" x14ac:dyDescent="0.2">
      <c r="A31" s="42">
        <v>45902</v>
      </c>
      <c r="B31" s="35">
        <v>402</v>
      </c>
      <c r="C31" s="36" t="s">
        <v>49</v>
      </c>
      <c r="D31" s="36" t="s">
        <v>52</v>
      </c>
      <c r="E31" s="46">
        <v>150</v>
      </c>
      <c r="G31" s="46">
        <f t="shared" si="3"/>
        <v>3561.93</v>
      </c>
    </row>
    <row r="32" spans="1:9" x14ac:dyDescent="0.2">
      <c r="A32" s="42">
        <v>45903</v>
      </c>
      <c r="B32" s="35">
        <v>1601</v>
      </c>
      <c r="C32" s="43" t="s">
        <v>33</v>
      </c>
      <c r="D32" s="36" t="s">
        <v>52</v>
      </c>
      <c r="E32" s="46">
        <v>100</v>
      </c>
      <c r="G32" s="46">
        <f t="shared" si="3"/>
        <v>3661.93</v>
      </c>
    </row>
    <row r="33" spans="1:7" x14ac:dyDescent="0.2">
      <c r="A33" s="42">
        <v>45903</v>
      </c>
      <c r="D33" s="36" t="s">
        <v>50</v>
      </c>
      <c r="F33" s="46">
        <v>1000</v>
      </c>
      <c r="G33" s="46">
        <f>G32+E33-F33</f>
        <v>2661.93</v>
      </c>
    </row>
    <row r="34" spans="1:7" x14ac:dyDescent="0.2">
      <c r="A34" s="42">
        <v>45903</v>
      </c>
      <c r="D34" s="36" t="s">
        <v>53</v>
      </c>
      <c r="F34" s="46">
        <v>0.05</v>
      </c>
      <c r="G34" s="46">
        <f>G33+E34-F34</f>
        <v>2661.8799999999997</v>
      </c>
    </row>
    <row r="35" spans="1:7" x14ac:dyDescent="0.2">
      <c r="A35" s="42">
        <v>45910</v>
      </c>
      <c r="D35" s="36" t="s">
        <v>54</v>
      </c>
      <c r="F35" s="46">
        <v>394.8</v>
      </c>
      <c r="G35" s="46">
        <f>G34+E35-F35</f>
        <v>2267.0799999999995</v>
      </c>
    </row>
    <row r="36" spans="1:7" x14ac:dyDescent="0.2">
      <c r="A36" s="42">
        <v>45915</v>
      </c>
      <c r="D36" s="36" t="s">
        <v>58</v>
      </c>
      <c r="E36" s="46">
        <v>2000</v>
      </c>
      <c r="G36" s="46">
        <f t="shared" ref="G36:G41" si="4">G35+E36-F36</f>
        <v>4267.08</v>
      </c>
    </row>
    <row r="37" spans="1:7" x14ac:dyDescent="0.2">
      <c r="A37" s="42">
        <v>45915</v>
      </c>
      <c r="D37" s="36" t="s">
        <v>59</v>
      </c>
      <c r="F37" s="46">
        <v>500</v>
      </c>
      <c r="G37" s="46">
        <f t="shared" si="4"/>
        <v>3767.08</v>
      </c>
    </row>
    <row r="38" spans="1:7" x14ac:dyDescent="0.2">
      <c r="A38" s="42">
        <v>45915</v>
      </c>
      <c r="D38" s="36" t="s">
        <v>60</v>
      </c>
      <c r="F38" s="46">
        <v>500</v>
      </c>
      <c r="G38" s="46">
        <f t="shared" si="4"/>
        <v>3267.08</v>
      </c>
    </row>
    <row r="39" spans="1:7" x14ac:dyDescent="0.2">
      <c r="A39" s="42">
        <v>45915</v>
      </c>
      <c r="D39" s="36" t="s">
        <v>61</v>
      </c>
      <c r="F39" s="46">
        <v>500</v>
      </c>
      <c r="G39" s="46">
        <f t="shared" si="4"/>
        <v>2767.08</v>
      </c>
    </row>
    <row r="40" spans="1:7" x14ac:dyDescent="0.2">
      <c r="A40" s="42">
        <v>45915</v>
      </c>
      <c r="D40" s="36" t="s">
        <v>62</v>
      </c>
      <c r="F40" s="46">
        <v>500</v>
      </c>
      <c r="G40" s="46">
        <f t="shared" si="4"/>
        <v>2267.08</v>
      </c>
    </row>
    <row r="41" spans="1:7" x14ac:dyDescent="0.2">
      <c r="A41" s="42">
        <v>45915</v>
      </c>
      <c r="D41" s="36" t="s">
        <v>53</v>
      </c>
      <c r="F41" s="46">
        <v>0.1</v>
      </c>
      <c r="G41" s="46">
        <f t="shared" si="4"/>
        <v>2266.98</v>
      </c>
    </row>
    <row r="42" spans="1:7" x14ac:dyDescent="0.2">
      <c r="A42" s="42">
        <v>45916</v>
      </c>
      <c r="C42" s="36" t="s">
        <v>59</v>
      </c>
      <c r="D42" s="36" t="s">
        <v>79</v>
      </c>
      <c r="F42" s="46">
        <v>100</v>
      </c>
      <c r="G42" s="46">
        <f>G41+E42-F42</f>
        <v>2166.98</v>
      </c>
    </row>
    <row r="43" spans="1:7" x14ac:dyDescent="0.2">
      <c r="A43" s="42">
        <v>45916</v>
      </c>
      <c r="C43" s="36" t="s">
        <v>83</v>
      </c>
      <c r="E43" s="46">
        <v>1978</v>
      </c>
      <c r="G43" s="46">
        <f t="shared" ref="G43:G51" si="5">G42+E43-F43</f>
        <v>4144.9799999999996</v>
      </c>
    </row>
    <row r="44" spans="1:7" x14ac:dyDescent="0.2">
      <c r="A44" s="42">
        <v>45916</v>
      </c>
      <c r="D44" s="36" t="s">
        <v>53</v>
      </c>
      <c r="F44" s="46">
        <v>0.05</v>
      </c>
      <c r="G44" s="46">
        <f t="shared" si="5"/>
        <v>4144.9299999999994</v>
      </c>
    </row>
    <row r="45" spans="1:7" x14ac:dyDescent="0.2">
      <c r="A45" s="42">
        <v>45916</v>
      </c>
      <c r="C45" s="36" t="s">
        <v>81</v>
      </c>
      <c r="D45" s="36" t="s">
        <v>82</v>
      </c>
      <c r="F45" s="46">
        <v>427</v>
      </c>
      <c r="G45" s="46">
        <f t="shared" si="5"/>
        <v>3717.9299999999994</v>
      </c>
    </row>
    <row r="46" spans="1:7" x14ac:dyDescent="0.2">
      <c r="A46" s="42">
        <v>45917</v>
      </c>
      <c r="C46" s="36" t="s">
        <v>84</v>
      </c>
      <c r="D46" s="36" t="s">
        <v>85</v>
      </c>
      <c r="F46" s="46">
        <v>1120</v>
      </c>
      <c r="G46" s="46">
        <f t="shared" si="5"/>
        <v>2597.9299999999994</v>
      </c>
    </row>
    <row r="47" spans="1:7" x14ac:dyDescent="0.2">
      <c r="A47" s="42">
        <v>45917</v>
      </c>
      <c r="C47" s="36" t="s">
        <v>86</v>
      </c>
      <c r="D47" s="36" t="s">
        <v>57</v>
      </c>
      <c r="F47" s="46">
        <v>498</v>
      </c>
      <c r="G47" s="46">
        <f t="shared" si="5"/>
        <v>2099.9299999999994</v>
      </c>
    </row>
    <row r="48" spans="1:7" x14ac:dyDescent="0.2">
      <c r="A48" s="42">
        <v>45917</v>
      </c>
      <c r="D48" s="36" t="s">
        <v>53</v>
      </c>
      <c r="F48" s="46">
        <v>0.05</v>
      </c>
      <c r="G48" s="46">
        <f t="shared" si="5"/>
        <v>2099.8799999999992</v>
      </c>
    </row>
    <row r="49" spans="1:7" x14ac:dyDescent="0.2">
      <c r="A49" s="42">
        <v>45919</v>
      </c>
      <c r="C49" s="36" t="s">
        <v>87</v>
      </c>
      <c r="D49" s="36" t="s">
        <v>88</v>
      </c>
      <c r="F49" s="46">
        <v>200</v>
      </c>
      <c r="G49" s="46">
        <f t="shared" si="5"/>
        <v>1899.8799999999992</v>
      </c>
    </row>
    <row r="50" spans="1:7" x14ac:dyDescent="0.2">
      <c r="A50" s="42">
        <v>45919</v>
      </c>
      <c r="C50" s="36" t="s">
        <v>89</v>
      </c>
      <c r="D50" s="36" t="s">
        <v>90</v>
      </c>
      <c r="F50" s="46">
        <v>160</v>
      </c>
      <c r="G50" s="50">
        <f t="shared" si="5"/>
        <v>1739.8799999999992</v>
      </c>
    </row>
    <row r="51" spans="1:7" x14ac:dyDescent="0.2">
      <c r="A51" s="42"/>
      <c r="D51" s="36" t="s">
        <v>91</v>
      </c>
      <c r="F51" s="46">
        <v>200</v>
      </c>
      <c r="G51" s="50">
        <f t="shared" si="5"/>
        <v>1539.8799999999992</v>
      </c>
    </row>
    <row r="52" spans="1:7" x14ac:dyDescent="0.2">
      <c r="A52" s="42"/>
      <c r="D52" s="36" t="s">
        <v>92</v>
      </c>
      <c r="F52" s="46">
        <v>16</v>
      </c>
      <c r="G52" s="50">
        <f>G51+E52-F52</f>
        <v>1523.8799999999992</v>
      </c>
    </row>
    <row r="53" spans="1:7" x14ac:dyDescent="0.2">
      <c r="A53" s="42"/>
    </row>
    <row r="54" spans="1:7" x14ac:dyDescent="0.2">
      <c r="A54" s="42"/>
    </row>
    <row r="55" spans="1:7" x14ac:dyDescent="0.2">
      <c r="A55" s="42"/>
    </row>
    <row r="56" spans="1:7" x14ac:dyDescent="0.2">
      <c r="A56" s="42"/>
    </row>
    <row r="57" spans="1:7" x14ac:dyDescent="0.2">
      <c r="A57" s="42"/>
    </row>
    <row r="58" spans="1:7" x14ac:dyDescent="0.2">
      <c r="A58" s="42"/>
    </row>
    <row r="59" spans="1:7" x14ac:dyDescent="0.2">
      <c r="A59" s="42"/>
    </row>
    <row r="60" spans="1:7" x14ac:dyDescent="0.2">
      <c r="A60" s="42"/>
    </row>
    <row r="61" spans="1:7" x14ac:dyDescent="0.2">
      <c r="A61" s="42"/>
    </row>
    <row r="62" spans="1:7" x14ac:dyDescent="0.2">
      <c r="A62" s="42"/>
    </row>
    <row r="63" spans="1:7" x14ac:dyDescent="0.2">
      <c r="A63" s="42"/>
    </row>
    <row r="64" spans="1:7" x14ac:dyDescent="0.2">
      <c r="A64" s="42"/>
    </row>
    <row r="65" spans="1:1" x14ac:dyDescent="0.2">
      <c r="A65" s="42"/>
    </row>
    <row r="66" spans="1:1" x14ac:dyDescent="0.2">
      <c r="A66" s="42"/>
    </row>
    <row r="67" spans="1:1" x14ac:dyDescent="0.2">
      <c r="A67" s="42"/>
    </row>
    <row r="68" spans="1:1" x14ac:dyDescent="0.2">
      <c r="A68" s="4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3669-7F62-49B8-8321-01AF24F77D8C}">
  <dimension ref="A1:G120"/>
  <sheetViews>
    <sheetView zoomScale="90" zoomScaleNormal="90" workbookViewId="0">
      <selection activeCell="I23" sqref="I23"/>
    </sheetView>
  </sheetViews>
  <sheetFormatPr baseColWidth="10" defaultRowHeight="15" x14ac:dyDescent="0.2"/>
  <cols>
    <col min="2" max="2" width="15.1640625" bestFit="1" customWidth="1"/>
    <col min="3" max="3" width="39.5" customWidth="1"/>
    <col min="4" max="4" width="40.83203125" bestFit="1" customWidth="1"/>
  </cols>
  <sheetData>
    <row r="1" spans="1:7" ht="16" x14ac:dyDescent="0.2">
      <c r="A1" s="31" t="s">
        <v>12</v>
      </c>
      <c r="B1" s="32"/>
      <c r="C1" s="32"/>
      <c r="D1" s="33"/>
      <c r="E1" s="34"/>
      <c r="F1" s="35"/>
      <c r="G1" s="35"/>
    </row>
    <row r="2" spans="1:7" ht="16" x14ac:dyDescent="0.2">
      <c r="A2" s="31" t="s">
        <v>55</v>
      </c>
      <c r="B2" s="32"/>
      <c r="C2" s="32"/>
      <c r="D2" s="37"/>
      <c r="E2" s="38"/>
      <c r="F2" s="35"/>
      <c r="G2" s="35"/>
    </row>
    <row r="3" spans="1:7" ht="16" x14ac:dyDescent="0.2">
      <c r="A3" s="31" t="s">
        <v>73</v>
      </c>
      <c r="B3" s="32"/>
      <c r="C3" s="32"/>
      <c r="D3" s="37"/>
      <c r="E3" s="34"/>
      <c r="F3" s="35"/>
      <c r="G3" s="35"/>
    </row>
    <row r="4" spans="1:7" ht="16" x14ac:dyDescent="0.2">
      <c r="A4" s="31" t="s">
        <v>75</v>
      </c>
      <c r="B4" s="32"/>
      <c r="C4" s="32"/>
      <c r="D4" s="37"/>
      <c r="E4" s="34"/>
      <c r="F4" s="35"/>
      <c r="G4" s="35"/>
    </row>
    <row r="5" spans="1:7" ht="16" x14ac:dyDescent="0.2">
      <c r="A5" s="31" t="s">
        <v>76</v>
      </c>
      <c r="B5" s="32"/>
      <c r="C5" s="32"/>
      <c r="D5" s="37"/>
      <c r="E5" s="34"/>
      <c r="F5" s="35"/>
      <c r="G5" s="35"/>
    </row>
    <row r="6" spans="1:7" ht="16" x14ac:dyDescent="0.2">
      <c r="A6" s="39" t="s">
        <v>74</v>
      </c>
      <c r="B6" s="40"/>
      <c r="C6" s="40"/>
      <c r="D6" s="41"/>
      <c r="E6" s="34"/>
      <c r="F6" s="34"/>
      <c r="G6" s="34"/>
    </row>
    <row r="7" spans="1:7" ht="17" x14ac:dyDescent="0.2">
      <c r="A7" s="44" t="s">
        <v>23</v>
      </c>
      <c r="B7" s="44" t="s">
        <v>24</v>
      </c>
      <c r="C7" s="44" t="s">
        <v>44</v>
      </c>
      <c r="D7" s="48" t="s">
        <v>25</v>
      </c>
      <c r="E7" s="38" t="s">
        <v>19</v>
      </c>
      <c r="F7" s="38" t="s">
        <v>20</v>
      </c>
      <c r="G7" s="38" t="s">
        <v>21</v>
      </c>
    </row>
    <row r="8" spans="1:7" ht="16" x14ac:dyDescent="0.2">
      <c r="A8" s="42"/>
      <c r="B8" s="45"/>
      <c r="C8" s="43"/>
      <c r="D8" s="36"/>
      <c r="E8" s="46"/>
      <c r="F8" s="46"/>
      <c r="G8" s="46">
        <f>E8-F8</f>
        <v>0</v>
      </c>
    </row>
    <row r="9" spans="1:7" ht="16" x14ac:dyDescent="0.2">
      <c r="A9" s="42">
        <v>45905</v>
      </c>
      <c r="B9" s="45">
        <v>201</v>
      </c>
      <c r="C9" s="43" t="s">
        <v>70</v>
      </c>
      <c r="D9" s="36" t="s">
        <v>77</v>
      </c>
      <c r="E9" s="46">
        <v>456.4</v>
      </c>
      <c r="G9" s="46">
        <f>G8+E9-F9</f>
        <v>456.4</v>
      </c>
    </row>
    <row r="10" spans="1:7" ht="16" x14ac:dyDescent="0.2">
      <c r="A10" s="42">
        <v>45905</v>
      </c>
      <c r="B10" s="45"/>
      <c r="C10" s="43" t="s">
        <v>71</v>
      </c>
      <c r="D10" s="36"/>
      <c r="E10" s="46">
        <v>463.9</v>
      </c>
      <c r="G10" s="46">
        <f t="shared" ref="G10:G74" si="0">G9+E10-F10</f>
        <v>920.3</v>
      </c>
    </row>
    <row r="11" spans="1:7" ht="16" x14ac:dyDescent="0.2">
      <c r="A11" s="42">
        <v>45905</v>
      </c>
      <c r="B11" s="45">
        <v>303</v>
      </c>
      <c r="C11" s="43" t="s">
        <v>72</v>
      </c>
      <c r="D11" s="36"/>
      <c r="E11" s="46">
        <v>273.89999999999998</v>
      </c>
      <c r="F11" s="46"/>
      <c r="G11" s="46">
        <f t="shared" si="0"/>
        <v>1194.1999999999998</v>
      </c>
    </row>
    <row r="12" spans="1:7" ht="16" x14ac:dyDescent="0.2">
      <c r="A12" s="42">
        <v>45908</v>
      </c>
      <c r="B12" s="45">
        <v>1102</v>
      </c>
      <c r="C12" t="s">
        <v>69</v>
      </c>
      <c r="E12" s="46">
        <v>220</v>
      </c>
      <c r="G12" s="46">
        <f t="shared" si="0"/>
        <v>1414.1999999999998</v>
      </c>
    </row>
    <row r="13" spans="1:7" ht="16" x14ac:dyDescent="0.2">
      <c r="A13" s="42">
        <v>45908</v>
      </c>
      <c r="B13" s="45">
        <v>701</v>
      </c>
      <c r="D13" s="52">
        <v>45901</v>
      </c>
      <c r="E13" s="46">
        <v>471.7</v>
      </c>
      <c r="G13" s="46">
        <f t="shared" si="0"/>
        <v>1885.8999999999999</v>
      </c>
    </row>
    <row r="14" spans="1:7" ht="16" x14ac:dyDescent="0.2">
      <c r="A14" s="42">
        <v>45909</v>
      </c>
      <c r="B14" s="45">
        <v>503</v>
      </c>
      <c r="C14" s="43" t="s">
        <v>35</v>
      </c>
      <c r="E14" s="46">
        <v>436.5</v>
      </c>
      <c r="G14" s="46">
        <f t="shared" si="0"/>
        <v>2322.3999999999996</v>
      </c>
    </row>
    <row r="15" spans="1:7" ht="16" x14ac:dyDescent="0.2">
      <c r="A15" s="42">
        <v>45909</v>
      </c>
      <c r="B15" s="45">
        <v>306</v>
      </c>
      <c r="E15" s="46">
        <v>20000</v>
      </c>
      <c r="G15" s="46">
        <f t="shared" si="0"/>
        <v>22322.400000000001</v>
      </c>
    </row>
    <row r="16" spans="1:7" ht="16" x14ac:dyDescent="0.2">
      <c r="A16" s="42"/>
      <c r="B16" s="45"/>
      <c r="D16" t="s">
        <v>56</v>
      </c>
      <c r="E16" s="46">
        <v>1</v>
      </c>
      <c r="G16" s="46">
        <f t="shared" si="0"/>
        <v>22323.4</v>
      </c>
    </row>
    <row r="17" spans="1:7" ht="16" x14ac:dyDescent="0.2">
      <c r="A17" s="42"/>
      <c r="B17" s="45"/>
      <c r="C17" t="s">
        <v>68</v>
      </c>
      <c r="E17" s="46">
        <v>117.9</v>
      </c>
      <c r="G17" s="46">
        <f t="shared" si="0"/>
        <v>22441.300000000003</v>
      </c>
    </row>
    <row r="18" spans="1:7" ht="16" x14ac:dyDescent="0.2">
      <c r="A18" s="42">
        <v>45910</v>
      </c>
      <c r="B18" s="45">
        <v>1101</v>
      </c>
      <c r="E18" s="46">
        <v>380.2</v>
      </c>
      <c r="G18" s="46">
        <f t="shared" si="0"/>
        <v>22821.500000000004</v>
      </c>
    </row>
    <row r="19" spans="1:7" ht="16" x14ac:dyDescent="0.2">
      <c r="A19" s="42">
        <v>45910</v>
      </c>
      <c r="B19" s="45"/>
      <c r="C19" t="s">
        <v>63</v>
      </c>
      <c r="E19" s="46">
        <v>473</v>
      </c>
      <c r="G19" s="46">
        <f t="shared" si="0"/>
        <v>23294.500000000004</v>
      </c>
    </row>
    <row r="20" spans="1:7" ht="16" x14ac:dyDescent="0.2">
      <c r="A20" s="42">
        <v>45910</v>
      </c>
      <c r="B20" s="45"/>
      <c r="C20" t="s">
        <v>63</v>
      </c>
      <c r="E20" s="46">
        <v>13.8</v>
      </c>
      <c r="G20" s="46">
        <f t="shared" si="0"/>
        <v>23308.300000000003</v>
      </c>
    </row>
    <row r="21" spans="1:7" ht="16" x14ac:dyDescent="0.2">
      <c r="A21" s="42">
        <v>45910</v>
      </c>
      <c r="B21" s="45"/>
      <c r="E21" s="46">
        <v>516.6</v>
      </c>
      <c r="G21" s="46">
        <f t="shared" si="0"/>
        <v>23824.9</v>
      </c>
    </row>
    <row r="22" spans="1:7" ht="16" x14ac:dyDescent="0.2">
      <c r="A22" s="42">
        <v>45910</v>
      </c>
      <c r="B22" s="45"/>
      <c r="C22" t="s">
        <v>64</v>
      </c>
      <c r="E22" s="46">
        <v>524.20000000000005</v>
      </c>
      <c r="G22" s="46">
        <f t="shared" si="0"/>
        <v>24349.100000000002</v>
      </c>
    </row>
    <row r="23" spans="1:7" ht="16" x14ac:dyDescent="0.2">
      <c r="A23" s="42">
        <v>45913</v>
      </c>
      <c r="B23" s="45">
        <v>202</v>
      </c>
      <c r="C23" t="s">
        <v>65</v>
      </c>
      <c r="E23" s="46">
        <v>278.3</v>
      </c>
      <c r="G23" s="46">
        <f t="shared" si="0"/>
        <v>24627.4</v>
      </c>
    </row>
    <row r="24" spans="1:7" ht="16" x14ac:dyDescent="0.2">
      <c r="A24" s="42">
        <v>45913</v>
      </c>
      <c r="B24" s="45">
        <v>1702</v>
      </c>
      <c r="C24" t="s">
        <v>66</v>
      </c>
      <c r="D24" s="52">
        <v>45870</v>
      </c>
      <c r="E24" s="46">
        <v>457.8</v>
      </c>
      <c r="G24" s="46">
        <f t="shared" si="0"/>
        <v>25085.200000000001</v>
      </c>
    </row>
    <row r="25" spans="1:7" ht="16" x14ac:dyDescent="0.2">
      <c r="A25" s="42">
        <v>45913</v>
      </c>
      <c r="B25" s="45">
        <v>1702</v>
      </c>
      <c r="C25" t="s">
        <v>66</v>
      </c>
      <c r="D25" s="52">
        <v>45901</v>
      </c>
      <c r="E25" s="46">
        <v>449.6</v>
      </c>
      <c r="G25" s="46">
        <f t="shared" si="0"/>
        <v>25534.799999999999</v>
      </c>
    </row>
    <row r="26" spans="1:7" ht="16" x14ac:dyDescent="0.2">
      <c r="A26" s="42">
        <v>45914</v>
      </c>
      <c r="B26" s="45">
        <v>402</v>
      </c>
      <c r="C26" t="s">
        <v>67</v>
      </c>
      <c r="E26" s="46">
        <v>225</v>
      </c>
      <c r="G26" s="46">
        <f t="shared" si="0"/>
        <v>25759.8</v>
      </c>
    </row>
    <row r="27" spans="1:7" ht="16" x14ac:dyDescent="0.2">
      <c r="A27" s="42">
        <v>45915</v>
      </c>
      <c r="B27" s="45">
        <v>702</v>
      </c>
      <c r="E27" s="46">
        <v>245.9</v>
      </c>
      <c r="G27" s="46">
        <f t="shared" si="0"/>
        <v>26005.7</v>
      </c>
    </row>
    <row r="28" spans="1:7" ht="16" x14ac:dyDescent="0.2">
      <c r="A28" s="42">
        <v>45915</v>
      </c>
      <c r="D28" t="s">
        <v>78</v>
      </c>
      <c r="F28">
        <v>2000</v>
      </c>
      <c r="G28" s="46">
        <f t="shared" si="0"/>
        <v>24005.7</v>
      </c>
    </row>
    <row r="29" spans="1:7" ht="16" x14ac:dyDescent="0.2">
      <c r="A29" s="42"/>
      <c r="G29" s="46">
        <f t="shared" si="0"/>
        <v>24005.7</v>
      </c>
    </row>
    <row r="30" spans="1:7" ht="16" x14ac:dyDescent="0.2">
      <c r="A30" s="42"/>
      <c r="G30" s="46">
        <f t="shared" si="0"/>
        <v>24005.7</v>
      </c>
    </row>
    <row r="31" spans="1:7" ht="16" x14ac:dyDescent="0.2">
      <c r="A31" s="42"/>
      <c r="G31" s="46">
        <f t="shared" si="0"/>
        <v>24005.7</v>
      </c>
    </row>
    <row r="32" spans="1:7" ht="16" x14ac:dyDescent="0.2">
      <c r="A32" s="42"/>
      <c r="G32" s="46">
        <f t="shared" si="0"/>
        <v>24005.7</v>
      </c>
    </row>
    <row r="33" spans="1:7" ht="16" x14ac:dyDescent="0.2">
      <c r="A33" s="42"/>
      <c r="G33" s="46">
        <f t="shared" si="0"/>
        <v>24005.7</v>
      </c>
    </row>
    <row r="34" spans="1:7" ht="16" x14ac:dyDescent="0.2">
      <c r="A34" s="42"/>
      <c r="G34" s="46">
        <f t="shared" si="0"/>
        <v>24005.7</v>
      </c>
    </row>
    <row r="35" spans="1:7" ht="16" x14ac:dyDescent="0.2">
      <c r="G35" s="46">
        <f t="shared" si="0"/>
        <v>24005.7</v>
      </c>
    </row>
    <row r="36" spans="1:7" ht="16" x14ac:dyDescent="0.2">
      <c r="G36" s="46">
        <f t="shared" si="0"/>
        <v>24005.7</v>
      </c>
    </row>
    <row r="37" spans="1:7" ht="16" x14ac:dyDescent="0.2">
      <c r="G37" s="46">
        <f t="shared" si="0"/>
        <v>24005.7</v>
      </c>
    </row>
    <row r="38" spans="1:7" ht="16" x14ac:dyDescent="0.2">
      <c r="G38" s="46">
        <f t="shared" si="0"/>
        <v>24005.7</v>
      </c>
    </row>
    <row r="39" spans="1:7" ht="16" x14ac:dyDescent="0.2">
      <c r="G39" s="46">
        <f t="shared" si="0"/>
        <v>24005.7</v>
      </c>
    </row>
    <row r="40" spans="1:7" ht="16" x14ac:dyDescent="0.2">
      <c r="G40" s="46">
        <f t="shared" si="0"/>
        <v>24005.7</v>
      </c>
    </row>
    <row r="41" spans="1:7" ht="16" x14ac:dyDescent="0.2">
      <c r="G41" s="46">
        <f t="shared" si="0"/>
        <v>24005.7</v>
      </c>
    </row>
    <row r="42" spans="1:7" ht="16" x14ac:dyDescent="0.2">
      <c r="G42" s="46">
        <f t="shared" si="0"/>
        <v>24005.7</v>
      </c>
    </row>
    <row r="43" spans="1:7" ht="16" x14ac:dyDescent="0.2">
      <c r="G43" s="46">
        <f t="shared" si="0"/>
        <v>24005.7</v>
      </c>
    </row>
    <row r="44" spans="1:7" ht="16" x14ac:dyDescent="0.2">
      <c r="G44" s="46">
        <f t="shared" si="0"/>
        <v>24005.7</v>
      </c>
    </row>
    <row r="45" spans="1:7" ht="16" x14ac:dyDescent="0.2">
      <c r="G45" s="46">
        <f t="shared" si="0"/>
        <v>24005.7</v>
      </c>
    </row>
    <row r="46" spans="1:7" ht="16" x14ac:dyDescent="0.2">
      <c r="G46" s="46">
        <f t="shared" si="0"/>
        <v>24005.7</v>
      </c>
    </row>
    <row r="47" spans="1:7" ht="16" x14ac:dyDescent="0.2">
      <c r="G47" s="46">
        <f t="shared" si="0"/>
        <v>24005.7</v>
      </c>
    </row>
    <row r="48" spans="1:7" ht="16" x14ac:dyDescent="0.2">
      <c r="G48" s="46">
        <f t="shared" si="0"/>
        <v>24005.7</v>
      </c>
    </row>
    <row r="49" spans="7:7" ht="16" x14ac:dyDescent="0.2">
      <c r="G49" s="46">
        <f t="shared" si="0"/>
        <v>24005.7</v>
      </c>
    </row>
    <row r="50" spans="7:7" ht="16" x14ac:dyDescent="0.2">
      <c r="G50" s="46">
        <f t="shared" si="0"/>
        <v>24005.7</v>
      </c>
    </row>
    <row r="51" spans="7:7" ht="16" x14ac:dyDescent="0.2">
      <c r="G51" s="46">
        <f t="shared" si="0"/>
        <v>24005.7</v>
      </c>
    </row>
    <row r="52" spans="7:7" ht="16" x14ac:dyDescent="0.2">
      <c r="G52" s="46">
        <f t="shared" si="0"/>
        <v>24005.7</v>
      </c>
    </row>
    <row r="53" spans="7:7" ht="16" x14ac:dyDescent="0.2">
      <c r="G53" s="46">
        <f t="shared" si="0"/>
        <v>24005.7</v>
      </c>
    </row>
    <row r="54" spans="7:7" ht="16" x14ac:dyDescent="0.2">
      <c r="G54" s="46">
        <f t="shared" si="0"/>
        <v>24005.7</v>
      </c>
    </row>
    <row r="55" spans="7:7" ht="16" x14ac:dyDescent="0.2">
      <c r="G55" s="46">
        <f t="shared" si="0"/>
        <v>24005.7</v>
      </c>
    </row>
    <row r="56" spans="7:7" ht="16" x14ac:dyDescent="0.2">
      <c r="G56" s="46">
        <f t="shared" si="0"/>
        <v>24005.7</v>
      </c>
    </row>
    <row r="57" spans="7:7" ht="16" x14ac:dyDescent="0.2">
      <c r="G57" s="46">
        <f t="shared" si="0"/>
        <v>24005.7</v>
      </c>
    </row>
    <row r="58" spans="7:7" ht="16" x14ac:dyDescent="0.2">
      <c r="G58" s="46">
        <f t="shared" si="0"/>
        <v>24005.7</v>
      </c>
    </row>
    <row r="59" spans="7:7" ht="16" x14ac:dyDescent="0.2">
      <c r="G59" s="46">
        <f t="shared" si="0"/>
        <v>24005.7</v>
      </c>
    </row>
    <row r="60" spans="7:7" ht="16" x14ac:dyDescent="0.2">
      <c r="G60" s="46">
        <f t="shared" si="0"/>
        <v>24005.7</v>
      </c>
    </row>
    <row r="61" spans="7:7" ht="16" x14ac:dyDescent="0.2">
      <c r="G61" s="46">
        <f t="shared" si="0"/>
        <v>24005.7</v>
      </c>
    </row>
    <row r="62" spans="7:7" ht="16" x14ac:dyDescent="0.2">
      <c r="G62" s="46">
        <f t="shared" si="0"/>
        <v>24005.7</v>
      </c>
    </row>
    <row r="63" spans="7:7" ht="16" x14ac:dyDescent="0.2">
      <c r="G63" s="46">
        <f t="shared" si="0"/>
        <v>24005.7</v>
      </c>
    </row>
    <row r="64" spans="7:7" ht="16" x14ac:dyDescent="0.2">
      <c r="G64" s="46">
        <f t="shared" si="0"/>
        <v>24005.7</v>
      </c>
    </row>
    <row r="65" spans="7:7" ht="16" x14ac:dyDescent="0.2">
      <c r="G65" s="46">
        <f t="shared" si="0"/>
        <v>24005.7</v>
      </c>
    </row>
    <row r="66" spans="7:7" ht="16" x14ac:dyDescent="0.2">
      <c r="G66" s="46">
        <f t="shared" si="0"/>
        <v>24005.7</v>
      </c>
    </row>
    <row r="67" spans="7:7" ht="16" x14ac:dyDescent="0.2">
      <c r="G67" s="46">
        <f t="shared" si="0"/>
        <v>24005.7</v>
      </c>
    </row>
    <row r="68" spans="7:7" ht="16" x14ac:dyDescent="0.2">
      <c r="G68" s="46">
        <f t="shared" si="0"/>
        <v>24005.7</v>
      </c>
    </row>
    <row r="69" spans="7:7" ht="16" x14ac:dyDescent="0.2">
      <c r="G69" s="46">
        <f t="shared" si="0"/>
        <v>24005.7</v>
      </c>
    </row>
    <row r="70" spans="7:7" ht="16" x14ac:dyDescent="0.2">
      <c r="G70" s="46">
        <f t="shared" si="0"/>
        <v>24005.7</v>
      </c>
    </row>
    <row r="71" spans="7:7" ht="16" x14ac:dyDescent="0.2">
      <c r="G71" s="46">
        <f t="shared" si="0"/>
        <v>24005.7</v>
      </c>
    </row>
    <row r="72" spans="7:7" ht="16" x14ac:dyDescent="0.2">
      <c r="G72" s="46">
        <f t="shared" si="0"/>
        <v>24005.7</v>
      </c>
    </row>
    <row r="73" spans="7:7" ht="16" x14ac:dyDescent="0.2">
      <c r="G73" s="46">
        <f t="shared" si="0"/>
        <v>24005.7</v>
      </c>
    </row>
    <row r="74" spans="7:7" ht="16" x14ac:dyDescent="0.2">
      <c r="G74" s="46">
        <f t="shared" si="0"/>
        <v>24005.7</v>
      </c>
    </row>
    <row r="75" spans="7:7" ht="16" x14ac:dyDescent="0.2">
      <c r="G75" s="46">
        <f t="shared" ref="G75:G120" si="1">G74+E75-F75</f>
        <v>24005.7</v>
      </c>
    </row>
    <row r="76" spans="7:7" ht="16" x14ac:dyDescent="0.2">
      <c r="G76" s="46">
        <f t="shared" si="1"/>
        <v>24005.7</v>
      </c>
    </row>
    <row r="77" spans="7:7" ht="16" x14ac:dyDescent="0.2">
      <c r="G77" s="46">
        <f t="shared" si="1"/>
        <v>24005.7</v>
      </c>
    </row>
    <row r="78" spans="7:7" ht="16" x14ac:dyDescent="0.2">
      <c r="G78" s="46">
        <f t="shared" si="1"/>
        <v>24005.7</v>
      </c>
    </row>
    <row r="79" spans="7:7" ht="16" x14ac:dyDescent="0.2">
      <c r="G79" s="46">
        <f t="shared" si="1"/>
        <v>24005.7</v>
      </c>
    </row>
    <row r="80" spans="7:7" ht="16" x14ac:dyDescent="0.2">
      <c r="G80" s="46">
        <f t="shared" si="1"/>
        <v>24005.7</v>
      </c>
    </row>
    <row r="81" spans="7:7" ht="16" x14ac:dyDescent="0.2">
      <c r="G81" s="46">
        <f t="shared" si="1"/>
        <v>24005.7</v>
      </c>
    </row>
    <row r="82" spans="7:7" ht="16" x14ac:dyDescent="0.2">
      <c r="G82" s="46">
        <f t="shared" si="1"/>
        <v>24005.7</v>
      </c>
    </row>
    <row r="83" spans="7:7" ht="16" x14ac:dyDescent="0.2">
      <c r="G83" s="46">
        <f t="shared" si="1"/>
        <v>24005.7</v>
      </c>
    </row>
    <row r="84" spans="7:7" ht="16" x14ac:dyDescent="0.2">
      <c r="G84" s="46">
        <f t="shared" si="1"/>
        <v>24005.7</v>
      </c>
    </row>
    <row r="85" spans="7:7" ht="16" x14ac:dyDescent="0.2">
      <c r="G85" s="46">
        <f t="shared" si="1"/>
        <v>24005.7</v>
      </c>
    </row>
    <row r="86" spans="7:7" ht="16" x14ac:dyDescent="0.2">
      <c r="G86" s="46">
        <f t="shared" si="1"/>
        <v>24005.7</v>
      </c>
    </row>
    <row r="87" spans="7:7" ht="16" x14ac:dyDescent="0.2">
      <c r="G87" s="46">
        <f t="shared" si="1"/>
        <v>24005.7</v>
      </c>
    </row>
    <row r="88" spans="7:7" ht="16" x14ac:dyDescent="0.2">
      <c r="G88" s="46">
        <f t="shared" si="1"/>
        <v>24005.7</v>
      </c>
    </row>
    <row r="89" spans="7:7" ht="16" x14ac:dyDescent="0.2">
      <c r="G89" s="46">
        <f t="shared" si="1"/>
        <v>24005.7</v>
      </c>
    </row>
    <row r="90" spans="7:7" ht="16" x14ac:dyDescent="0.2">
      <c r="G90" s="46">
        <f t="shared" si="1"/>
        <v>24005.7</v>
      </c>
    </row>
    <row r="91" spans="7:7" ht="16" x14ac:dyDescent="0.2">
      <c r="G91" s="46">
        <f t="shared" si="1"/>
        <v>24005.7</v>
      </c>
    </row>
    <row r="92" spans="7:7" ht="16" x14ac:dyDescent="0.2">
      <c r="G92" s="46">
        <f t="shared" si="1"/>
        <v>24005.7</v>
      </c>
    </row>
    <row r="93" spans="7:7" ht="16" x14ac:dyDescent="0.2">
      <c r="G93" s="46">
        <f t="shared" si="1"/>
        <v>24005.7</v>
      </c>
    </row>
    <row r="94" spans="7:7" ht="16" x14ac:dyDescent="0.2">
      <c r="G94" s="46">
        <f t="shared" si="1"/>
        <v>24005.7</v>
      </c>
    </row>
    <row r="95" spans="7:7" ht="16" x14ac:dyDescent="0.2">
      <c r="G95" s="46">
        <f t="shared" si="1"/>
        <v>24005.7</v>
      </c>
    </row>
    <row r="96" spans="7:7" ht="16" x14ac:dyDescent="0.2">
      <c r="G96" s="46">
        <f t="shared" si="1"/>
        <v>24005.7</v>
      </c>
    </row>
    <row r="97" spans="7:7" ht="16" x14ac:dyDescent="0.2">
      <c r="G97" s="46">
        <f t="shared" si="1"/>
        <v>24005.7</v>
      </c>
    </row>
    <row r="98" spans="7:7" ht="16" x14ac:dyDescent="0.2">
      <c r="G98" s="46">
        <f t="shared" si="1"/>
        <v>24005.7</v>
      </c>
    </row>
    <row r="99" spans="7:7" ht="16" x14ac:dyDescent="0.2">
      <c r="G99" s="46">
        <f t="shared" si="1"/>
        <v>24005.7</v>
      </c>
    </row>
    <row r="100" spans="7:7" ht="16" x14ac:dyDescent="0.2">
      <c r="G100" s="46">
        <f t="shared" si="1"/>
        <v>24005.7</v>
      </c>
    </row>
    <row r="101" spans="7:7" ht="16" x14ac:dyDescent="0.2">
      <c r="G101" s="46">
        <f t="shared" si="1"/>
        <v>24005.7</v>
      </c>
    </row>
    <row r="102" spans="7:7" ht="16" x14ac:dyDescent="0.2">
      <c r="G102" s="46">
        <f t="shared" si="1"/>
        <v>24005.7</v>
      </c>
    </row>
    <row r="103" spans="7:7" ht="16" x14ac:dyDescent="0.2">
      <c r="G103" s="46">
        <f t="shared" si="1"/>
        <v>24005.7</v>
      </c>
    </row>
    <row r="104" spans="7:7" ht="16" x14ac:dyDescent="0.2">
      <c r="G104" s="46">
        <f t="shared" si="1"/>
        <v>24005.7</v>
      </c>
    </row>
    <row r="105" spans="7:7" ht="16" x14ac:dyDescent="0.2">
      <c r="G105" s="46">
        <f t="shared" si="1"/>
        <v>24005.7</v>
      </c>
    </row>
    <row r="106" spans="7:7" ht="16" x14ac:dyDescent="0.2">
      <c r="G106" s="46">
        <f t="shared" si="1"/>
        <v>24005.7</v>
      </c>
    </row>
    <row r="107" spans="7:7" ht="16" x14ac:dyDescent="0.2">
      <c r="G107" s="46">
        <f t="shared" si="1"/>
        <v>24005.7</v>
      </c>
    </row>
    <row r="108" spans="7:7" ht="16" x14ac:dyDescent="0.2">
      <c r="G108" s="46">
        <f t="shared" si="1"/>
        <v>24005.7</v>
      </c>
    </row>
    <row r="109" spans="7:7" ht="16" x14ac:dyDescent="0.2">
      <c r="G109" s="46">
        <f t="shared" si="1"/>
        <v>24005.7</v>
      </c>
    </row>
    <row r="110" spans="7:7" ht="16" x14ac:dyDescent="0.2">
      <c r="G110" s="46">
        <f t="shared" si="1"/>
        <v>24005.7</v>
      </c>
    </row>
    <row r="111" spans="7:7" ht="16" x14ac:dyDescent="0.2">
      <c r="G111" s="46">
        <f t="shared" si="1"/>
        <v>24005.7</v>
      </c>
    </row>
    <row r="112" spans="7:7" ht="16" x14ac:dyDescent="0.2">
      <c r="G112" s="46">
        <f t="shared" si="1"/>
        <v>24005.7</v>
      </c>
    </row>
    <row r="113" spans="7:7" ht="16" x14ac:dyDescent="0.2">
      <c r="G113" s="46">
        <f t="shared" si="1"/>
        <v>24005.7</v>
      </c>
    </row>
    <row r="114" spans="7:7" ht="16" x14ac:dyDescent="0.2">
      <c r="G114" s="46">
        <f t="shared" si="1"/>
        <v>24005.7</v>
      </c>
    </row>
    <row r="115" spans="7:7" ht="16" x14ac:dyDescent="0.2">
      <c r="G115" s="46">
        <f t="shared" si="1"/>
        <v>24005.7</v>
      </c>
    </row>
    <row r="116" spans="7:7" ht="16" x14ac:dyDescent="0.2">
      <c r="G116" s="46">
        <f t="shared" si="1"/>
        <v>24005.7</v>
      </c>
    </row>
    <row r="117" spans="7:7" ht="16" x14ac:dyDescent="0.2">
      <c r="G117" s="46">
        <f t="shared" si="1"/>
        <v>24005.7</v>
      </c>
    </row>
    <row r="118" spans="7:7" ht="16" x14ac:dyDescent="0.2">
      <c r="G118" s="46">
        <f t="shared" si="1"/>
        <v>24005.7</v>
      </c>
    </row>
    <row r="119" spans="7:7" ht="16" x14ac:dyDescent="0.2">
      <c r="G119" s="46">
        <f t="shared" si="1"/>
        <v>24005.7</v>
      </c>
    </row>
    <row r="120" spans="7:7" ht="16" x14ac:dyDescent="0.2">
      <c r="G120" s="46">
        <f t="shared" si="1"/>
        <v>24005.7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1RA QUINC JULIO 26</vt:lpstr>
      <vt:lpstr>GRATIFICACION</vt:lpstr>
      <vt:lpstr>Dep. GJ</vt:lpstr>
      <vt:lpstr>Cta. Temporal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Giuliana Jara Pérez</dc:creator>
  <cp:lastModifiedBy>Avila, Carlos</cp:lastModifiedBy>
  <cp:lastPrinted>2025-09-11T22:27:46Z</cp:lastPrinted>
  <dcterms:created xsi:type="dcterms:W3CDTF">2024-12-13T10:12:22Z</dcterms:created>
  <dcterms:modified xsi:type="dcterms:W3CDTF">2026-07-19T02:21:33Z</dcterms:modified>
</cp:coreProperties>
</file>