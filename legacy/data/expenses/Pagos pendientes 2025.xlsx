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Library/CloudStorage/GoogleDrive-clavilab@gmail.com/My Drive/Balta 810 /associacion balta 810/cuadros de gastos y recibos/"/>
    </mc:Choice>
  </mc:AlternateContent>
  <xr:revisionPtr revIDLastSave="0" documentId="13_ncr:1_{BB926D98-72A6-F542-B026-677F82C2726C}" xr6:coauthVersionLast="47" xr6:coauthVersionMax="47" xr10:uidLastSave="{00000000-0000-0000-0000-000000000000}"/>
  <bookViews>
    <workbookView xWindow="600" yWindow="800" windowWidth="31980" windowHeight="21220" xr2:uid="{22A41F16-7662-46B0-98A5-15F7C7722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5" i="1" l="1"/>
  <c r="I78" i="1"/>
  <c r="I33" i="1"/>
  <c r="I71" i="1"/>
  <c r="I66" i="1"/>
  <c r="I59" i="1" l="1"/>
  <c r="I55" i="1"/>
  <c r="I50" i="1"/>
  <c r="I45" i="1"/>
  <c r="I42" i="1" s="1"/>
  <c r="I24" i="1"/>
  <c r="I15" i="1" l="1"/>
  <c r="I6" i="1" l="1"/>
  <c r="I3" i="1" s="1"/>
  <c r="I1" i="1" s="1"/>
</calcChain>
</file>

<file path=xl/sharedStrings.xml><?xml version="1.0" encoding="utf-8"?>
<sst xmlns="http://schemas.openxmlformats.org/spreadsheetml/2006/main" count="94" uniqueCount="73">
  <si>
    <t>ORDEN DE PAGO - OCTUBRE 2025 (SEGUNDA QUINCENA)</t>
  </si>
  <si>
    <t>NEGOCIACIONES MADUENO &amp; GARAY EIRL</t>
  </si>
  <si>
    <t>INTERBANK 898-3186660040</t>
  </si>
  <si>
    <t>RUC 20601185076</t>
  </si>
  <si>
    <t>B002-00002471</t>
  </si>
  <si>
    <t>18/10/25 - 2 BALON GRANDE CENTRAL</t>
  </si>
  <si>
    <t>Servicio de gas del edificio. Periodo Contingencia</t>
  </si>
  <si>
    <t>B002-00002480</t>
  </si>
  <si>
    <t>25/10/25 - 2 BALON GRANDE CENTRAL</t>
  </si>
  <si>
    <t>ORDEN DE PAGO - NOVIEMBRE 2025 (PRIMERA QUINCENA)</t>
  </si>
  <si>
    <t>B002-00002493</t>
  </si>
  <si>
    <t>01/11/25 - 2 BALON GRANDE CENTRAL</t>
  </si>
  <si>
    <t>B002-00002501</t>
  </si>
  <si>
    <t>08/11/25 - 2 BALON GRANDE CENTRAL</t>
  </si>
  <si>
    <t>ORDEN DE PAGO - NOVIEMBRE 2025 (SEGUNDA QUINCENA)</t>
  </si>
  <si>
    <t>B002-00002513</t>
  </si>
  <si>
    <t>15/11/25 - 2 BALON GRANDE CENTRAL</t>
  </si>
  <si>
    <t>B002-00002521</t>
  </si>
  <si>
    <t>22/11/25 - 2 BALON GRANDE CENTRAL</t>
  </si>
  <si>
    <t>SANTAMARIA ALVAREZ EDGAR ENRIQUE</t>
  </si>
  <si>
    <t>INTERBANK 898-3412639350</t>
  </si>
  <si>
    <t>002-193-002515609090-11</t>
  </si>
  <si>
    <t>RUC 10106883535</t>
  </si>
  <si>
    <t>E001-386</t>
  </si>
  <si>
    <t>Servicio de Jardineria - Noviembre 25</t>
  </si>
  <si>
    <t>GARCIA MACHACUAY ARMANDO</t>
  </si>
  <si>
    <t>BCP 002-191-12295027209159</t>
  </si>
  <si>
    <t>DNI 06070281</t>
  </si>
  <si>
    <t>E001-655</t>
  </si>
  <si>
    <t>Servicio Contador Mes de Octubre 25</t>
  </si>
  <si>
    <t>SECURITY BONTHER SAC</t>
  </si>
  <si>
    <t>BCP 193-16256893002</t>
  </si>
  <si>
    <t>Pelaez Lopez Fernando</t>
  </si>
  <si>
    <t>Recibo</t>
  </si>
  <si>
    <t>Vigilancia interna 24 horas</t>
  </si>
  <si>
    <t xml:space="preserve">Mes de Octubre 25 05 - 08 - 12 - 17 - 26 días </t>
  </si>
  <si>
    <t>AYLLON GRADOS JUNIOR FERNANDO</t>
  </si>
  <si>
    <t>BCP 19377399585096 CCI 00219317739958509614 DNI 75358060</t>
  </si>
  <si>
    <t>Ingreso de información de pagos al sistema</t>
  </si>
  <si>
    <t>ORDEN DE PAGO - DICIEMBRE 2025 (PRIMERA QUINCENA)</t>
  </si>
  <si>
    <t>LUZ DEL SUR</t>
  </si>
  <si>
    <t>Consumo Noviembre 2025 17/12/2025</t>
  </si>
  <si>
    <t>Consumo Noviembre 2025 10/12/2025</t>
  </si>
  <si>
    <t>Consumo Noviembre 2025 30/11/25</t>
  </si>
  <si>
    <t>SEDAPAL</t>
  </si>
  <si>
    <t>S106-0018375802</t>
  </si>
  <si>
    <t>Servicio de Agua - Noviembre 2025</t>
  </si>
  <si>
    <t>Periodo  05/11/2025 - 03/12/2025</t>
  </si>
  <si>
    <t>B002-00002531</t>
  </si>
  <si>
    <t>29/11/25 - 2 BALON GRANDE CENTRAL</t>
  </si>
  <si>
    <t>B002-00002537</t>
  </si>
  <si>
    <t>04/12/25 - 2 BALON GRANDE CENTRAL</t>
  </si>
  <si>
    <t>B002-00002543</t>
  </si>
  <si>
    <t>08/12/25 - 2 BALON GRANDE CENTRAL</t>
  </si>
  <si>
    <t>ORDEN DE PAGO - DICIEMBRE 2025 (SEGUNDA QUINCENA)</t>
  </si>
  <si>
    <t>TELEFONOS</t>
  </si>
  <si>
    <t>982 426 190</t>
  </si>
  <si>
    <t>Claro Recibo SB 02-0 207394858 Vto. 09.diciembre.25</t>
  </si>
  <si>
    <t>982 425 165</t>
  </si>
  <si>
    <t xml:space="preserve">Mes de Noviembre 25 01 - 02 - 09 - 16 - 23 - 30 días </t>
  </si>
  <si>
    <t xml:space="preserve">CONSUMO DE GAS </t>
  </si>
  <si>
    <t>OPERACIONES PENDIENTES DE PAGO 2025</t>
  </si>
  <si>
    <t xml:space="preserve">RUC 20601185076 MADUEÑO HORGGUI CESAR AUGUSTO </t>
  </si>
  <si>
    <t xml:space="preserve">PAGOS VARIOS </t>
  </si>
  <si>
    <t>UNIDOS ASCENSORES</t>
  </si>
  <si>
    <t>BCP 193-2515609-0-90</t>
  </si>
  <si>
    <t>RUC 20603725761</t>
  </si>
  <si>
    <t>EB01-2729</t>
  </si>
  <si>
    <t>Mantenimiento Diciembre 25</t>
  </si>
  <si>
    <t>TOTAL s/</t>
  </si>
  <si>
    <t>BCP INTERBANCARIO</t>
  </si>
  <si>
    <t>NO ARROJA RESUKTADOS DE DEUDA</t>
  </si>
  <si>
    <t>YA SE LE PAGO ANTERIORMENTE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</si>
</sst>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7F7F7F"/>
      <name val="Calibri"/>
      <family val="2"/>
    </font>
    <font>
      <b/>
      <sz val="12"/>
      <color rgb="FFFFFFFF"/>
      <name val="Calibri"/>
      <family val="2"/>
      <scheme val="minor"/>
    </font>
    <font>
      <sz val="12"/>
      <color rgb="FF7F7F7F"/>
      <name val="Calibri"/>
      <family val="2"/>
      <scheme val="minor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17" fontId="1" fillId="0" borderId="0" xfId="0" applyNumberFormat="1" applyFont="1" applyAlignment="1">
      <alignment horizontal="center" wrapText="1"/>
    </xf>
    <xf numFmtId="0" fontId="3" fillId="0" borderId="0" xfId="0" applyFont="1"/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4" fontId="5" fillId="2" borderId="0" xfId="0" applyNumberFormat="1" applyFont="1" applyFill="1"/>
    <xf numFmtId="4" fontId="5" fillId="0" borderId="0" xfId="0" applyNumberFormat="1" applyFont="1"/>
    <xf numFmtId="0" fontId="3" fillId="3" borderId="0" xfId="0" applyFont="1" applyFill="1"/>
    <xf numFmtId="0" fontId="5" fillId="3" borderId="0" xfId="0" applyFont="1" applyFill="1"/>
    <xf numFmtId="4" fontId="5" fillId="3" borderId="0" xfId="0" applyNumberFormat="1" applyFont="1" applyFill="1"/>
    <xf numFmtId="0" fontId="5" fillId="0" borderId="0" xfId="0" applyFont="1"/>
    <xf numFmtId="4" fontId="5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center" wrapText="1"/>
    </xf>
    <xf numFmtId="4" fontId="1" fillId="4" borderId="0" xfId="0" applyNumberFormat="1" applyFont="1" applyFill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0" fontId="2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wrapText="1"/>
    </xf>
    <xf numFmtId="0" fontId="1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left" wrapText="1"/>
    </xf>
    <xf numFmtId="4" fontId="1" fillId="5" borderId="0" xfId="0" applyNumberFormat="1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/>
    </xf>
    <xf numFmtId="0" fontId="2" fillId="5" borderId="0" xfId="0" applyFont="1" applyFill="1" applyAlignment="1">
      <alignment vertical="center"/>
    </xf>
    <xf numFmtId="4" fontId="1" fillId="0" borderId="0" xfId="0" applyNumberFormat="1" applyFont="1"/>
    <xf numFmtId="0" fontId="7" fillId="4" borderId="0" xfId="0" applyFont="1" applyFill="1" applyAlignment="1">
      <alignment vertical="center"/>
    </xf>
    <xf numFmtId="4" fontId="1" fillId="4" borderId="0" xfId="0" applyNumberFormat="1" applyFont="1" applyFill="1" applyAlignment="1">
      <alignment wrapText="1"/>
    </xf>
    <xf numFmtId="4" fontId="1" fillId="5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0" fontId="3" fillId="6" borderId="0" xfId="0" applyFont="1" applyFill="1"/>
    <xf numFmtId="0" fontId="1" fillId="6" borderId="0" xfId="0" applyFont="1" applyFill="1"/>
    <xf numFmtId="4" fontId="2" fillId="0" borderId="0" xfId="0" applyNumberFormat="1" applyFont="1"/>
    <xf numFmtId="0" fontId="2" fillId="0" borderId="0" xfId="0" applyFont="1"/>
    <xf numFmtId="0" fontId="3" fillId="7" borderId="0" xfId="0" applyFont="1" applyFill="1"/>
    <xf numFmtId="0" fontId="1" fillId="7" borderId="0" xfId="0" applyFont="1" applyFill="1"/>
    <xf numFmtId="4" fontId="5" fillId="8" borderId="0" xfId="0" applyNumberFormat="1" applyFont="1" applyFill="1"/>
    <xf numFmtId="4" fontId="2" fillId="8" borderId="0" xfId="0" applyNumberFormat="1" applyFont="1" applyFill="1"/>
    <xf numFmtId="4" fontId="1" fillId="8" borderId="0" xfId="0" applyNumberFormat="1" applyFont="1" applyFill="1" applyAlignment="1">
      <alignment horizontal="right" wrapText="1"/>
    </xf>
    <xf numFmtId="4" fontId="5" fillId="9" borderId="0" xfId="0" applyNumberFormat="1" applyFont="1" applyFill="1"/>
    <xf numFmtId="4" fontId="1" fillId="9" borderId="0" xfId="0" applyNumberFormat="1" applyFont="1" applyFill="1" applyAlignment="1">
      <alignment horizontal="right" wrapText="1"/>
    </xf>
    <xf numFmtId="0" fontId="1" fillId="0" borderId="0" xfId="0" applyFont="1" applyAlignment="1">
      <alignment wrapText="1"/>
    </xf>
    <xf numFmtId="0" fontId="9" fillId="0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BEDE-C091-43BA-9E04-38F2E4253668}">
  <dimension ref="A1:K91"/>
  <sheetViews>
    <sheetView tabSelected="1" topLeftCell="A44" zoomScaleNormal="100" workbookViewId="0">
      <selection activeCell="I89" sqref="I89"/>
    </sheetView>
  </sheetViews>
  <sheetFormatPr baseColWidth="10" defaultColWidth="11.5" defaultRowHeight="16" x14ac:dyDescent="0.2"/>
  <cols>
    <col min="1" max="1" width="40" style="7" customWidth="1"/>
    <col min="2" max="2" width="18" style="7" bestFit="1" customWidth="1"/>
    <col min="3" max="3" width="11.5" style="7"/>
    <col min="4" max="4" width="60.5" style="7" bestFit="1" customWidth="1"/>
    <col min="5" max="9" width="11.5" style="7"/>
    <col min="10" max="11" width="20.83203125" style="7" customWidth="1"/>
    <col min="12" max="16384" width="11.5" style="7"/>
  </cols>
  <sheetData>
    <row r="1" spans="1:11" x14ac:dyDescent="0.2">
      <c r="A1" s="6" t="s">
        <v>61</v>
      </c>
      <c r="H1" s="44" t="s">
        <v>69</v>
      </c>
      <c r="I1" s="43">
        <f>I3+I42</f>
        <v>10587.6</v>
      </c>
      <c r="K1" s="34"/>
    </row>
    <row r="2" spans="1:11" x14ac:dyDescent="0.2">
      <c r="A2" s="6"/>
    </row>
    <row r="3" spans="1:11" s="46" customFormat="1" x14ac:dyDescent="0.2">
      <c r="A3" s="45" t="s">
        <v>60</v>
      </c>
      <c r="I3" s="48">
        <f>I6+I15+I24+I33</f>
        <v>3620</v>
      </c>
    </row>
    <row r="4" spans="1:11" x14ac:dyDescent="0.2">
      <c r="A4" s="6" t="s">
        <v>0</v>
      </c>
    </row>
    <row r="6" spans="1:11" x14ac:dyDescent="0.2">
      <c r="A6" s="8" t="s">
        <v>1</v>
      </c>
      <c r="B6" s="9"/>
      <c r="C6" s="9"/>
      <c r="D6" s="9"/>
      <c r="E6" s="9"/>
      <c r="F6" s="9"/>
      <c r="G6" s="9"/>
      <c r="H6" s="10"/>
      <c r="I6" s="47">
        <f>H8+H10</f>
        <v>820</v>
      </c>
      <c r="K6" s="34"/>
    </row>
    <row r="7" spans="1:11" x14ac:dyDescent="0.2">
      <c r="A7" s="12" t="s">
        <v>2</v>
      </c>
      <c r="B7" s="13"/>
      <c r="C7" s="13"/>
      <c r="D7" s="12" t="s">
        <v>62</v>
      </c>
      <c r="E7" s="13"/>
      <c r="F7" s="13"/>
      <c r="G7" s="13"/>
      <c r="H7" s="14"/>
      <c r="I7" s="11"/>
    </row>
    <row r="8" spans="1:11" x14ac:dyDescent="0.2">
      <c r="A8" s="15"/>
      <c r="B8" s="15" t="s">
        <v>4</v>
      </c>
      <c r="C8" s="15"/>
      <c r="D8" s="15" t="s">
        <v>5</v>
      </c>
      <c r="E8" s="15"/>
      <c r="F8" s="15"/>
      <c r="G8" s="15"/>
      <c r="H8" s="16">
        <v>420</v>
      </c>
      <c r="I8" s="11"/>
    </row>
    <row r="9" spans="1:11" x14ac:dyDescent="0.2">
      <c r="A9" s="15"/>
      <c r="B9" s="15"/>
      <c r="C9" s="15"/>
      <c r="D9" s="17" t="s">
        <v>6</v>
      </c>
      <c r="E9" s="15"/>
      <c r="F9" s="15"/>
      <c r="G9" s="15"/>
      <c r="H9" s="11"/>
      <c r="I9" s="11"/>
    </row>
    <row r="10" spans="1:11" x14ac:dyDescent="0.2">
      <c r="A10" s="15"/>
      <c r="B10" s="15" t="s">
        <v>7</v>
      </c>
      <c r="C10" s="15"/>
      <c r="D10" s="15" t="s">
        <v>8</v>
      </c>
      <c r="E10" s="15"/>
      <c r="F10" s="15"/>
      <c r="G10" s="15"/>
      <c r="H10" s="16">
        <v>400</v>
      </c>
      <c r="I10" s="11"/>
    </row>
    <row r="11" spans="1:11" x14ac:dyDescent="0.2">
      <c r="A11" s="15"/>
      <c r="B11" s="15"/>
      <c r="C11" s="15"/>
      <c r="D11" s="17" t="s">
        <v>6</v>
      </c>
      <c r="E11" s="15"/>
      <c r="F11" s="15"/>
      <c r="G11" s="15"/>
      <c r="H11" s="11"/>
      <c r="I11" s="11"/>
    </row>
    <row r="13" spans="1:11" x14ac:dyDescent="0.2">
      <c r="A13" s="18" t="s">
        <v>9</v>
      </c>
    </row>
    <row r="14" spans="1:11" x14ac:dyDescent="0.2">
      <c r="A14" s="18"/>
    </row>
    <row r="15" spans="1:11" x14ac:dyDescent="0.2">
      <c r="A15" s="19" t="s">
        <v>1</v>
      </c>
      <c r="B15" s="20"/>
      <c r="C15" s="21"/>
      <c r="D15" s="20"/>
      <c r="E15" s="21"/>
      <c r="F15" s="21"/>
      <c r="G15" s="21"/>
      <c r="H15" s="22"/>
      <c r="I15" s="49">
        <f>SUM(H17:H20)</f>
        <v>800</v>
      </c>
    </row>
    <row r="16" spans="1:11" x14ac:dyDescent="0.2">
      <c r="A16" s="24"/>
      <c r="B16" s="25"/>
      <c r="C16" s="26"/>
      <c r="D16" s="27"/>
      <c r="E16" s="26"/>
      <c r="F16" s="26"/>
      <c r="G16" s="26"/>
      <c r="H16" s="28"/>
      <c r="I16" s="23"/>
    </row>
    <row r="17" spans="1:9" x14ac:dyDescent="0.2">
      <c r="A17" s="29"/>
      <c r="B17" s="30" t="s">
        <v>10</v>
      </c>
      <c r="C17" s="31"/>
      <c r="D17" s="30" t="s">
        <v>11</v>
      </c>
      <c r="E17" s="31"/>
      <c r="F17" s="31"/>
      <c r="G17" s="31"/>
      <c r="H17" s="23">
        <v>400</v>
      </c>
      <c r="I17" s="23"/>
    </row>
    <row r="18" spans="1:9" x14ac:dyDescent="0.2">
      <c r="A18" s="29"/>
      <c r="B18" s="29"/>
      <c r="C18" s="31"/>
      <c r="D18" s="32" t="s">
        <v>6</v>
      </c>
      <c r="E18" s="31"/>
      <c r="F18" s="31"/>
      <c r="G18" s="31"/>
      <c r="H18" s="23"/>
      <c r="I18" s="23"/>
    </row>
    <row r="19" spans="1:9" ht="17" x14ac:dyDescent="0.2">
      <c r="A19" s="29"/>
      <c r="B19" s="29" t="s">
        <v>12</v>
      </c>
      <c r="C19" s="31"/>
      <c r="D19" s="30" t="s">
        <v>13</v>
      </c>
      <c r="E19" s="31"/>
      <c r="F19" s="31"/>
      <c r="G19" s="31"/>
      <c r="H19" s="23">
        <v>400</v>
      </c>
      <c r="I19" s="23"/>
    </row>
    <row r="20" spans="1:9" x14ac:dyDescent="0.2">
      <c r="A20" s="29"/>
      <c r="B20" s="29"/>
      <c r="C20" s="31"/>
      <c r="D20" s="32" t="s">
        <v>6</v>
      </c>
      <c r="E20" s="31"/>
      <c r="F20" s="31"/>
      <c r="G20" s="31"/>
      <c r="H20" s="23"/>
      <c r="I20" s="23"/>
    </row>
    <row r="21" spans="1:9" x14ac:dyDescent="0.2">
      <c r="A21" s="29"/>
      <c r="B21" s="29"/>
      <c r="C21" s="31"/>
      <c r="D21" s="32"/>
      <c r="E21" s="31"/>
      <c r="F21" s="31"/>
      <c r="G21" s="31"/>
      <c r="H21" s="23"/>
      <c r="I21" s="23"/>
    </row>
    <row r="22" spans="1:9" x14ac:dyDescent="0.2">
      <c r="A22" s="6" t="s">
        <v>14</v>
      </c>
    </row>
    <row r="24" spans="1:9" x14ac:dyDescent="0.2">
      <c r="A24" s="8" t="s">
        <v>1</v>
      </c>
      <c r="B24" s="9"/>
      <c r="C24" s="9"/>
      <c r="D24" s="9"/>
      <c r="E24" s="9"/>
      <c r="F24" s="9"/>
      <c r="G24" s="9"/>
      <c r="H24" s="10"/>
      <c r="I24" s="47">
        <f>H26+H28</f>
        <v>800</v>
      </c>
    </row>
    <row r="25" spans="1:9" x14ac:dyDescent="0.2">
      <c r="A25" s="12" t="s">
        <v>2</v>
      </c>
      <c r="B25" s="13"/>
      <c r="C25" s="13"/>
      <c r="D25" s="12" t="s">
        <v>3</v>
      </c>
      <c r="E25" s="13"/>
      <c r="F25" s="13"/>
      <c r="G25" s="13"/>
      <c r="H25" s="14"/>
      <c r="I25" s="11"/>
    </row>
    <row r="26" spans="1:9" x14ac:dyDescent="0.2">
      <c r="A26" s="15"/>
      <c r="B26" s="15" t="s">
        <v>15</v>
      </c>
      <c r="C26" s="15"/>
      <c r="D26" s="15" t="s">
        <v>16</v>
      </c>
      <c r="E26" s="15"/>
      <c r="F26" s="15"/>
      <c r="G26" s="15"/>
      <c r="H26" s="16">
        <v>400</v>
      </c>
      <c r="I26" s="11"/>
    </row>
    <row r="27" spans="1:9" x14ac:dyDescent="0.2">
      <c r="A27" s="15"/>
      <c r="B27" s="15"/>
      <c r="C27" s="15"/>
      <c r="D27" s="17" t="s">
        <v>6</v>
      </c>
      <c r="E27" s="15"/>
      <c r="F27" s="15"/>
      <c r="G27" s="15"/>
      <c r="H27" s="11"/>
      <c r="I27" s="11"/>
    </row>
    <row r="28" spans="1:9" x14ac:dyDescent="0.2">
      <c r="A28" s="15"/>
      <c r="B28" s="15" t="s">
        <v>17</v>
      </c>
      <c r="C28" s="15"/>
      <c r="D28" s="15" t="s">
        <v>18</v>
      </c>
      <c r="E28" s="15"/>
      <c r="F28" s="15"/>
      <c r="G28" s="15"/>
      <c r="H28" s="16">
        <v>400</v>
      </c>
      <c r="I28" s="11"/>
    </row>
    <row r="29" spans="1:9" x14ac:dyDescent="0.2">
      <c r="A29" s="15"/>
      <c r="B29" s="15"/>
      <c r="C29" s="15"/>
      <c r="D29" s="17" t="s">
        <v>6</v>
      </c>
      <c r="E29" s="15"/>
      <c r="F29" s="15"/>
      <c r="G29" s="15"/>
      <c r="H29" s="11"/>
      <c r="I29" s="11"/>
    </row>
    <row r="31" spans="1:9" x14ac:dyDescent="0.2">
      <c r="A31" s="18" t="s">
        <v>39</v>
      </c>
    </row>
    <row r="33" spans="1:9" x14ac:dyDescent="0.2">
      <c r="A33" s="19" t="s">
        <v>1</v>
      </c>
      <c r="B33" s="20"/>
      <c r="C33" s="21"/>
      <c r="D33" s="20"/>
      <c r="E33" s="21"/>
      <c r="F33" s="21"/>
      <c r="G33" s="21"/>
      <c r="H33" s="22"/>
      <c r="I33" s="49">
        <f>SUM(H35:H39)</f>
        <v>1200</v>
      </c>
    </row>
    <row r="34" spans="1:9" x14ac:dyDescent="0.2">
      <c r="A34" s="24"/>
      <c r="B34" s="25"/>
      <c r="C34" s="26"/>
      <c r="D34" s="27"/>
      <c r="E34" s="26"/>
      <c r="F34" s="26"/>
      <c r="G34" s="26"/>
      <c r="H34" s="28"/>
      <c r="I34" s="23"/>
    </row>
    <row r="35" spans="1:9" x14ac:dyDescent="0.2">
      <c r="A35" s="29"/>
      <c r="B35" s="30" t="s">
        <v>48</v>
      </c>
      <c r="C35" s="31"/>
      <c r="D35" s="30" t="s">
        <v>49</v>
      </c>
      <c r="E35" s="31"/>
      <c r="F35" s="31"/>
      <c r="G35" s="31"/>
      <c r="H35" s="23">
        <v>400</v>
      </c>
      <c r="I35" s="23"/>
    </row>
    <row r="36" spans="1:9" x14ac:dyDescent="0.2">
      <c r="A36" s="29"/>
      <c r="B36" s="29"/>
      <c r="C36" s="31"/>
      <c r="D36" s="32" t="s">
        <v>6</v>
      </c>
      <c r="E36" s="31"/>
      <c r="F36" s="31"/>
      <c r="G36" s="31"/>
      <c r="H36" s="23"/>
      <c r="I36" s="23"/>
    </row>
    <row r="37" spans="1:9" ht="17" x14ac:dyDescent="0.2">
      <c r="A37" s="29"/>
      <c r="B37" s="29" t="s">
        <v>50</v>
      </c>
      <c r="C37" s="31"/>
      <c r="D37" s="30" t="s">
        <v>51</v>
      </c>
      <c r="E37" s="31"/>
      <c r="F37" s="31"/>
      <c r="G37" s="31"/>
      <c r="H37" s="23">
        <v>400</v>
      </c>
      <c r="I37" s="23"/>
    </row>
    <row r="38" spans="1:9" x14ac:dyDescent="0.2">
      <c r="A38" s="29"/>
      <c r="B38" s="29"/>
      <c r="C38" s="31"/>
      <c r="D38" s="32" t="s">
        <v>6</v>
      </c>
      <c r="E38" s="31"/>
      <c r="F38" s="31"/>
      <c r="G38" s="31"/>
      <c r="H38" s="23"/>
      <c r="I38" s="23"/>
    </row>
    <row r="39" spans="1:9" ht="17" x14ac:dyDescent="0.2">
      <c r="A39" s="29"/>
      <c r="B39" s="29" t="s">
        <v>52</v>
      </c>
      <c r="C39" s="31"/>
      <c r="D39" s="30" t="s">
        <v>53</v>
      </c>
      <c r="E39" s="31"/>
      <c r="F39" s="31"/>
      <c r="G39" s="31"/>
      <c r="H39" s="23">
        <v>400</v>
      </c>
      <c r="I39" s="23"/>
    </row>
    <row r="40" spans="1:9" x14ac:dyDescent="0.2">
      <c r="A40" s="29"/>
      <c r="B40" s="29"/>
      <c r="C40" s="31"/>
      <c r="D40" s="32" t="s">
        <v>6</v>
      </c>
      <c r="E40" s="31"/>
      <c r="F40" s="31"/>
      <c r="G40" s="31"/>
      <c r="H40" s="23"/>
      <c r="I40" s="23"/>
    </row>
    <row r="42" spans="1:9" x14ac:dyDescent="0.2">
      <c r="A42" s="41" t="s">
        <v>63</v>
      </c>
      <c r="B42" s="42"/>
      <c r="C42" s="42"/>
      <c r="D42" s="42"/>
      <c r="E42" s="42"/>
      <c r="F42" s="42"/>
      <c r="G42" s="42"/>
      <c r="H42" s="42"/>
      <c r="I42" s="43">
        <f>I45+I50+I55+I59+I66+I71+I78+I85+I89</f>
        <v>6967.6</v>
      </c>
    </row>
    <row r="43" spans="1:9" x14ac:dyDescent="0.2">
      <c r="A43" s="6" t="s">
        <v>14</v>
      </c>
    </row>
    <row r="45" spans="1:9" x14ac:dyDescent="0.2">
      <c r="A45" s="8" t="s">
        <v>19</v>
      </c>
      <c r="B45" s="9"/>
      <c r="C45" s="9"/>
      <c r="D45" s="9"/>
      <c r="E45" s="9"/>
      <c r="F45" s="9"/>
      <c r="G45" s="9"/>
      <c r="H45" s="10"/>
      <c r="I45" s="47">
        <f>SUM(H47)</f>
        <v>180</v>
      </c>
    </row>
    <row r="46" spans="1:9" x14ac:dyDescent="0.2">
      <c r="A46" s="12" t="s">
        <v>20</v>
      </c>
      <c r="B46" s="12" t="s">
        <v>21</v>
      </c>
      <c r="C46" s="12"/>
      <c r="D46" s="12" t="s">
        <v>22</v>
      </c>
      <c r="E46" s="13"/>
      <c r="F46" s="13"/>
      <c r="G46" s="13"/>
      <c r="H46" s="14"/>
      <c r="I46" s="11"/>
    </row>
    <row r="47" spans="1:9" x14ac:dyDescent="0.2">
      <c r="B47" s="15" t="s">
        <v>23</v>
      </c>
      <c r="C47" s="15"/>
      <c r="D47" s="15" t="s">
        <v>24</v>
      </c>
      <c r="E47" s="15"/>
      <c r="F47" s="15"/>
      <c r="G47" s="15"/>
      <c r="H47" s="50">
        <v>180</v>
      </c>
      <c r="I47" s="11"/>
    </row>
    <row r="48" spans="1:9" x14ac:dyDescent="0.2">
      <c r="B48" s="15"/>
      <c r="C48" s="15"/>
      <c r="D48" s="17"/>
      <c r="E48" s="15"/>
      <c r="F48" s="15"/>
      <c r="G48" s="15"/>
      <c r="H48" s="11"/>
      <c r="I48" s="11"/>
    </row>
    <row r="49" spans="1:10" x14ac:dyDescent="0.2">
      <c r="A49" s="6"/>
      <c r="B49" s="15"/>
      <c r="C49" s="15"/>
      <c r="D49" s="15"/>
      <c r="E49" s="15"/>
      <c r="F49" s="15"/>
      <c r="G49" s="15"/>
      <c r="H49" s="11"/>
      <c r="I49" s="11"/>
    </row>
    <row r="50" spans="1:10" x14ac:dyDescent="0.2">
      <c r="A50" s="8" t="s">
        <v>25</v>
      </c>
      <c r="B50" s="8"/>
      <c r="C50" s="8"/>
      <c r="D50" s="1"/>
      <c r="E50" s="1"/>
      <c r="F50" s="1"/>
      <c r="G50" s="1"/>
      <c r="H50" s="1"/>
      <c r="I50" s="23">
        <f>H52</f>
        <v>200</v>
      </c>
      <c r="J50" s="53" t="s">
        <v>72</v>
      </c>
    </row>
    <row r="51" spans="1:10" ht="17" x14ac:dyDescent="0.2">
      <c r="A51" s="33" t="s">
        <v>26</v>
      </c>
      <c r="B51" s="2"/>
      <c r="C51" s="2"/>
      <c r="D51" s="3" t="s">
        <v>27</v>
      </c>
      <c r="E51" s="2"/>
      <c r="F51" s="2"/>
      <c r="G51" s="2"/>
      <c r="H51" s="2"/>
      <c r="I51" s="23"/>
    </row>
    <row r="52" spans="1:10" ht="17" x14ac:dyDescent="0.2">
      <c r="A52" s="4"/>
      <c r="B52" s="4" t="s">
        <v>28</v>
      </c>
      <c r="C52" s="4"/>
      <c r="D52" s="52" t="s">
        <v>29</v>
      </c>
      <c r="E52" s="52"/>
      <c r="F52" s="4"/>
      <c r="G52" s="4"/>
      <c r="H52" s="11">
        <v>200</v>
      </c>
      <c r="I52" s="23"/>
    </row>
    <row r="53" spans="1:10" x14ac:dyDescent="0.2">
      <c r="H53" s="34"/>
      <c r="I53" s="23"/>
    </row>
    <row r="54" spans="1:10" x14ac:dyDescent="0.2">
      <c r="A54" s="35" t="s">
        <v>30</v>
      </c>
      <c r="B54" s="1"/>
      <c r="C54" s="1"/>
      <c r="D54" s="1"/>
      <c r="E54" s="1"/>
      <c r="F54" s="1"/>
      <c r="G54" s="1"/>
      <c r="H54" s="36"/>
      <c r="I54" s="23"/>
    </row>
    <row r="55" spans="1:10" x14ac:dyDescent="0.2">
      <c r="A55" s="33" t="s">
        <v>31</v>
      </c>
      <c r="B55" s="33"/>
      <c r="C55" s="2"/>
      <c r="D55" s="12" t="s">
        <v>32</v>
      </c>
      <c r="E55" s="2"/>
      <c r="F55" s="2"/>
      <c r="G55" s="2"/>
      <c r="H55" s="37"/>
      <c r="I55" s="23">
        <f>H56</f>
        <v>800</v>
      </c>
      <c r="J55" s="54" t="s">
        <v>70</v>
      </c>
    </row>
    <row r="56" spans="1:10" ht="17" x14ac:dyDescent="0.2">
      <c r="A56" s="4"/>
      <c r="B56" s="4" t="s">
        <v>33</v>
      </c>
      <c r="C56" s="4"/>
      <c r="D56" s="38" t="s">
        <v>34</v>
      </c>
      <c r="E56" s="4"/>
      <c r="F56" s="4"/>
      <c r="G56" s="4"/>
      <c r="H56" s="23">
        <v>800</v>
      </c>
      <c r="I56" s="23"/>
    </row>
    <row r="57" spans="1:10" x14ac:dyDescent="0.2">
      <c r="A57" s="4"/>
      <c r="B57" s="4"/>
      <c r="C57" s="4"/>
      <c r="D57" s="39" t="s">
        <v>35</v>
      </c>
      <c r="E57" s="4"/>
      <c r="F57" s="4"/>
      <c r="G57" s="4"/>
      <c r="H57" s="40"/>
      <c r="I57" s="23"/>
    </row>
    <row r="58" spans="1:10" x14ac:dyDescent="0.2">
      <c r="A58" s="4"/>
      <c r="B58" s="4"/>
      <c r="C58" s="4"/>
      <c r="D58" s="39"/>
      <c r="E58" s="4"/>
      <c r="F58" s="4"/>
      <c r="G58" s="4"/>
      <c r="H58" s="40"/>
      <c r="I58" s="23"/>
    </row>
    <row r="59" spans="1:10" x14ac:dyDescent="0.2">
      <c r="A59" s="35" t="s">
        <v>36</v>
      </c>
      <c r="B59" s="35"/>
      <c r="C59" s="35"/>
      <c r="D59" s="1"/>
      <c r="E59" s="1"/>
      <c r="F59" s="1"/>
      <c r="G59" s="1"/>
      <c r="H59" s="1"/>
      <c r="I59" s="49">
        <f>H61</f>
        <v>160</v>
      </c>
    </row>
    <row r="60" spans="1:10" x14ac:dyDescent="0.2">
      <c r="A60" s="33" t="s">
        <v>37</v>
      </c>
      <c r="B60" s="2"/>
      <c r="C60" s="2"/>
      <c r="D60" s="3"/>
      <c r="E60" s="2"/>
      <c r="F60" s="2"/>
      <c r="G60" s="2"/>
      <c r="H60" s="2"/>
      <c r="I60" s="23"/>
    </row>
    <row r="61" spans="1:10" x14ac:dyDescent="0.2">
      <c r="A61" s="4"/>
      <c r="B61" s="5">
        <v>45962</v>
      </c>
      <c r="C61" s="4"/>
      <c r="D61" s="52" t="s">
        <v>38</v>
      </c>
      <c r="E61" s="52"/>
      <c r="F61" s="4"/>
      <c r="G61" s="4"/>
      <c r="H61" s="51">
        <v>160</v>
      </c>
      <c r="I61" s="23"/>
    </row>
    <row r="62" spans="1:10" x14ac:dyDescent="0.2">
      <c r="H62" s="34"/>
      <c r="I62" s="11"/>
    </row>
    <row r="63" spans="1:10" x14ac:dyDescent="0.2">
      <c r="H63" s="34"/>
      <c r="I63" s="11"/>
    </row>
    <row r="64" spans="1:10" x14ac:dyDescent="0.2">
      <c r="A64" s="18" t="s">
        <v>39</v>
      </c>
    </row>
    <row r="66" spans="1:10" x14ac:dyDescent="0.2">
      <c r="A66" s="19" t="s">
        <v>40</v>
      </c>
      <c r="B66" s="20"/>
      <c r="C66" s="21"/>
      <c r="D66" s="20"/>
      <c r="E66" s="21"/>
      <c r="F66" s="21"/>
      <c r="G66" s="21"/>
      <c r="H66" s="22"/>
      <c r="I66" s="49">
        <f>SUM(H67:H69)</f>
        <v>1955.6000000000001</v>
      </c>
    </row>
    <row r="67" spans="1:10" x14ac:dyDescent="0.2">
      <c r="A67" s="29"/>
      <c r="B67" s="29">
        <v>1466143</v>
      </c>
      <c r="C67" s="31"/>
      <c r="D67" s="30" t="s">
        <v>41</v>
      </c>
      <c r="E67" s="31"/>
      <c r="F67" s="31"/>
      <c r="G67" s="31"/>
      <c r="H67" s="23">
        <v>1479.9</v>
      </c>
      <c r="I67" s="23"/>
    </row>
    <row r="68" spans="1:10" x14ac:dyDescent="0.2">
      <c r="A68" s="29"/>
      <c r="B68" s="29">
        <v>1446699</v>
      </c>
      <c r="C68" s="31"/>
      <c r="D68" s="30" t="s">
        <v>42</v>
      </c>
      <c r="E68" s="31"/>
      <c r="F68" s="31"/>
      <c r="G68" s="31"/>
      <c r="H68" s="23">
        <v>458.2</v>
      </c>
      <c r="I68" s="23"/>
    </row>
    <row r="69" spans="1:10" x14ac:dyDescent="0.2">
      <c r="A69" s="29"/>
      <c r="B69" s="29">
        <v>1466144</v>
      </c>
      <c r="C69" s="31"/>
      <c r="D69" s="30" t="s">
        <v>43</v>
      </c>
      <c r="E69" s="31"/>
      <c r="F69" s="31"/>
      <c r="G69" s="31"/>
      <c r="H69" s="23">
        <v>17.5</v>
      </c>
      <c r="I69" s="23"/>
    </row>
    <row r="70" spans="1:10" x14ac:dyDescent="0.2">
      <c r="A70" s="29"/>
      <c r="B70" s="29"/>
      <c r="C70" s="31"/>
      <c r="D70" s="29"/>
      <c r="E70" s="31"/>
      <c r="F70" s="31"/>
      <c r="G70" s="31"/>
      <c r="H70" s="23"/>
      <c r="I70" s="23"/>
    </row>
    <row r="71" spans="1:10" x14ac:dyDescent="0.2">
      <c r="A71" s="19" t="s">
        <v>44</v>
      </c>
      <c r="B71" s="20"/>
      <c r="C71" s="21"/>
      <c r="D71" s="20"/>
      <c r="E71" s="21"/>
      <c r="F71" s="21"/>
      <c r="G71" s="21"/>
      <c r="H71" s="22"/>
      <c r="I71" s="49">
        <f>SUM(H72)</f>
        <v>2150.1999999999998</v>
      </c>
    </row>
    <row r="72" spans="1:10" x14ac:dyDescent="0.2">
      <c r="A72" s="29"/>
      <c r="B72" s="30" t="s">
        <v>45</v>
      </c>
      <c r="C72" s="31"/>
      <c r="D72" s="30" t="s">
        <v>46</v>
      </c>
      <c r="E72" s="31"/>
      <c r="F72" s="31"/>
      <c r="G72" s="31"/>
      <c r="H72" s="23">
        <v>2150.1999999999998</v>
      </c>
      <c r="I72" s="23"/>
    </row>
    <row r="73" spans="1:10" x14ac:dyDescent="0.2">
      <c r="A73" s="29"/>
      <c r="B73" s="29">
        <v>5375398</v>
      </c>
      <c r="C73" s="31"/>
      <c r="D73" s="32" t="s">
        <v>47</v>
      </c>
      <c r="E73" s="31"/>
      <c r="F73" s="31"/>
      <c r="G73" s="31"/>
      <c r="H73" s="23"/>
      <c r="I73" s="23"/>
    </row>
    <row r="74" spans="1:10" x14ac:dyDescent="0.2">
      <c r="A74" s="29"/>
      <c r="B74" s="29"/>
      <c r="C74" s="31"/>
      <c r="D74" s="29"/>
      <c r="E74" s="31"/>
      <c r="F74" s="31"/>
      <c r="G74" s="31"/>
      <c r="H74" s="23"/>
      <c r="I74" s="23"/>
    </row>
    <row r="76" spans="1:10" x14ac:dyDescent="0.2">
      <c r="A76" s="6" t="s">
        <v>54</v>
      </c>
    </row>
    <row r="78" spans="1:10" x14ac:dyDescent="0.2">
      <c r="A78" s="8" t="s">
        <v>55</v>
      </c>
      <c r="B78" s="9"/>
      <c r="C78" s="9"/>
      <c r="D78" s="9"/>
      <c r="E78" s="9"/>
      <c r="F78" s="9"/>
      <c r="G78" s="9"/>
      <c r="H78" s="10"/>
      <c r="I78" s="11">
        <f>SUM(H80:H81)</f>
        <v>63.8</v>
      </c>
      <c r="J78" s="54" t="s">
        <v>71</v>
      </c>
    </row>
    <row r="79" spans="1:10" x14ac:dyDescent="0.2">
      <c r="A79" s="13"/>
      <c r="B79" s="13"/>
      <c r="C79" s="13"/>
      <c r="D79" s="13"/>
      <c r="E79" s="13"/>
      <c r="F79" s="13"/>
      <c r="G79" s="13"/>
      <c r="H79" s="14"/>
      <c r="I79" s="11"/>
    </row>
    <row r="80" spans="1:10" x14ac:dyDescent="0.2">
      <c r="A80" s="15"/>
      <c r="B80" s="15" t="s">
        <v>56</v>
      </c>
      <c r="C80" s="15"/>
      <c r="D80" s="15" t="s">
        <v>57</v>
      </c>
      <c r="E80" s="15"/>
      <c r="F80" s="15"/>
      <c r="G80" s="15"/>
      <c r="H80" s="16">
        <v>31.9</v>
      </c>
      <c r="I80" s="11"/>
    </row>
    <row r="81" spans="1:10" x14ac:dyDescent="0.2">
      <c r="A81" s="15"/>
      <c r="B81" s="15" t="s">
        <v>58</v>
      </c>
      <c r="C81" s="15"/>
      <c r="D81" s="15"/>
      <c r="E81" s="15"/>
      <c r="F81" s="15"/>
      <c r="G81" s="15"/>
      <c r="H81" s="16">
        <v>31.9</v>
      </c>
      <c r="I81" s="11"/>
    </row>
    <row r="84" spans="1:10" x14ac:dyDescent="0.2">
      <c r="A84" s="35" t="s">
        <v>30</v>
      </c>
      <c r="B84" s="1"/>
      <c r="C84" s="1"/>
      <c r="D84" s="1"/>
      <c r="E84" s="1"/>
      <c r="F84" s="1"/>
      <c r="G84" s="1"/>
      <c r="H84" s="36"/>
      <c r="I84" s="23"/>
    </row>
    <row r="85" spans="1:10" x14ac:dyDescent="0.2">
      <c r="A85" s="33" t="s">
        <v>31</v>
      </c>
      <c r="B85" s="33"/>
      <c r="C85" s="2"/>
      <c r="D85" s="12" t="s">
        <v>32</v>
      </c>
      <c r="E85" s="2"/>
      <c r="F85" s="2"/>
      <c r="G85" s="2"/>
      <c r="H85" s="37"/>
      <c r="I85" s="23">
        <f>H86</f>
        <v>960</v>
      </c>
      <c r="J85" s="54" t="s">
        <v>70</v>
      </c>
    </row>
    <row r="86" spans="1:10" ht="17" x14ac:dyDescent="0.2">
      <c r="A86" s="4"/>
      <c r="B86" s="4" t="s">
        <v>33</v>
      </c>
      <c r="C86" s="4"/>
      <c r="D86" s="38" t="s">
        <v>34</v>
      </c>
      <c r="E86" s="4"/>
      <c r="F86" s="4"/>
      <c r="G86" s="4"/>
      <c r="H86" s="23">
        <v>960</v>
      </c>
      <c r="I86" s="23"/>
    </row>
    <row r="87" spans="1:10" x14ac:dyDescent="0.2">
      <c r="A87" s="4"/>
      <c r="B87" s="4"/>
      <c r="C87" s="4"/>
      <c r="D87" s="39" t="s">
        <v>59</v>
      </c>
      <c r="E87" s="4"/>
      <c r="F87" s="4"/>
      <c r="G87" s="4"/>
      <c r="H87" s="40"/>
      <c r="I87" s="23"/>
    </row>
    <row r="89" spans="1:10" x14ac:dyDescent="0.2">
      <c r="A89" s="35" t="s">
        <v>64</v>
      </c>
      <c r="B89" s="1"/>
      <c r="C89" s="1"/>
      <c r="D89" s="1"/>
      <c r="E89" s="1"/>
      <c r="F89" s="1"/>
      <c r="G89" s="1"/>
      <c r="H89" s="36"/>
      <c r="I89" s="49">
        <v>498</v>
      </c>
      <c r="J89" s="54"/>
    </row>
    <row r="90" spans="1:10" ht="17" x14ac:dyDescent="0.2">
      <c r="A90" s="33" t="s">
        <v>65</v>
      </c>
      <c r="B90" s="33" t="s">
        <v>21</v>
      </c>
      <c r="C90" s="2"/>
      <c r="D90" s="3" t="s">
        <v>66</v>
      </c>
      <c r="E90" s="2"/>
      <c r="F90" s="2"/>
      <c r="G90" s="2"/>
      <c r="H90" s="37"/>
      <c r="I90" s="23"/>
    </row>
    <row r="91" spans="1:10" ht="17" x14ac:dyDescent="0.2">
      <c r="A91" s="4"/>
      <c r="B91" s="4" t="s">
        <v>67</v>
      </c>
      <c r="C91" s="4"/>
      <c r="D91" s="4" t="s">
        <v>68</v>
      </c>
      <c r="E91" s="4"/>
      <c r="F91" s="4"/>
      <c r="G91" s="4"/>
      <c r="H91" s="23">
        <v>498</v>
      </c>
      <c r="I91" s="23"/>
    </row>
  </sheetData>
  <mergeCells count="2">
    <mergeCell ref="D52:E52"/>
    <mergeCell ref="D61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dcterms:created xsi:type="dcterms:W3CDTF">2026-01-08T14:19:06Z</dcterms:created>
  <dcterms:modified xsi:type="dcterms:W3CDTF">2026-01-12T01:52:57Z</dcterms:modified>
</cp:coreProperties>
</file>