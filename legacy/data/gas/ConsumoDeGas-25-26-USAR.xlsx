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o Gas" sheetId="1" r:id="rId5"/>
    <sheet state="visible" name="Lecturas" sheetId="2" r:id="rId6"/>
    <sheet state="visible" name="Consumo" sheetId="3" r:id="rId7"/>
    <sheet state="visible" name="Facturacion" sheetId="4" r:id="rId8"/>
    <sheet state="visible" name="Resumen" sheetId="5" r:id="rId9"/>
    <sheet state="visible" name="Deuda" sheetId="6" r:id="rId10"/>
    <sheet state="visible" name="EC" sheetId="7" r:id="rId11"/>
    <sheet state="visible" name="CuECxDpto" sheetId="8" r:id="rId12"/>
    <sheet state="visible" name="ECxDpto" sheetId="9" r:id="rId13"/>
    <sheet state="visible" name="Deuda Corriente" sheetId="10" r:id="rId14"/>
    <sheet state="visible" name="Banco" sheetId="11" r:id="rId15"/>
    <sheet state="visible" name="Hoja 3" sheetId="12" r:id="rId16"/>
  </sheets>
  <definedNames>
    <definedName name="Periodo">#REF!</definedName>
    <definedName name="OwnerMeter">#REF!</definedName>
    <definedName localSheetId="8" name="owner">ECxDpto!$A$9</definedName>
    <definedName localSheetId="7" name="fecha">CuECxDpto!$G$3</definedName>
    <definedName name="department">EC!$E$9</definedName>
    <definedName name="Soles">#REF!</definedName>
    <definedName name="OwnerDpto">#REF!</definedName>
    <definedName name="owner">EC!$A$9</definedName>
    <definedName localSheetId="7" name="owner">CuECxDpto!$A$9</definedName>
    <definedName localSheetId="8" name="meter">ECxDpto!$G$9</definedName>
    <definedName name="Consumo">#REF!</definedName>
    <definedName localSheetId="7" name="meter">CuECxDpto!$G$9</definedName>
    <definedName name="meter">EC!$G$9</definedName>
    <definedName name="fecha">EC!$G$3</definedName>
    <definedName name="DPTOS">Deuda!$A$4:$A$64</definedName>
    <definedName localSheetId="8" name="fecha">ECxDpto!$G$3</definedName>
  </definedNames>
  <calcPr/>
</workbook>
</file>

<file path=xl/sharedStrings.xml><?xml version="1.0" encoding="utf-8"?>
<sst xmlns="http://schemas.openxmlformats.org/spreadsheetml/2006/main" count="1609" uniqueCount="447">
  <si>
    <t>CONSUMO DE GAS DESDE JULIO 2024</t>
  </si>
  <si>
    <t>Fecha</t>
  </si>
  <si>
    <t>Boleta</t>
  </si>
  <si>
    <t>Monto Pagado</t>
  </si>
  <si>
    <t>Total del Mes</t>
  </si>
  <si>
    <t>21/05/2024</t>
  </si>
  <si>
    <t>B002-1609</t>
  </si>
  <si>
    <t xml:space="preserve">FACTURADO </t>
  </si>
  <si>
    <t>CALCULO DE GAS 2024</t>
  </si>
  <si>
    <t>30/05/2024</t>
  </si>
  <si>
    <t>B002-1620/ 1621</t>
  </si>
  <si>
    <t>FACTURADO</t>
  </si>
  <si>
    <t>10/06/2024</t>
  </si>
  <si>
    <t>B002-1744/ 1745</t>
  </si>
  <si>
    <t>Junta de Propietarios</t>
  </si>
  <si>
    <t>CALCULO DE GAS 2025</t>
  </si>
  <si>
    <t>18/06/2024</t>
  </si>
  <si>
    <t>SERVICIO DE GAS</t>
  </si>
  <si>
    <t>B002-1761/ 1762</t>
  </si>
  <si>
    <t>JUN</t>
  </si>
  <si>
    <t>JUL</t>
  </si>
  <si>
    <t>AGO</t>
  </si>
  <si>
    <t>SET</t>
  </si>
  <si>
    <t>OCT</t>
  </si>
  <si>
    <t>NOV</t>
  </si>
  <si>
    <t>DIC</t>
  </si>
  <si>
    <t>ENE</t>
  </si>
  <si>
    <t>FEB</t>
  </si>
  <si>
    <t>MAR</t>
  </si>
  <si>
    <t>Periodo:</t>
  </si>
  <si>
    <t>26/06/2024</t>
  </si>
  <si>
    <t>02 JUNIO 2025 al 30 JUN 2025                                                          (28 dias)</t>
  </si>
  <si>
    <t>B002-1770/ 1771</t>
  </si>
  <si>
    <t>ABRIL</t>
  </si>
  <si>
    <t>MAYO</t>
  </si>
  <si>
    <t>11/07/2024</t>
  </si>
  <si>
    <t>B002-1841/ 1842</t>
  </si>
  <si>
    <t>JUNIO</t>
  </si>
  <si>
    <t>JULIO</t>
  </si>
  <si>
    <t>24/07/2024</t>
  </si>
  <si>
    <t>AGOSTO</t>
  </si>
  <si>
    <t>B002-1863</t>
  </si>
  <si>
    <t>SETIEMBRE</t>
  </si>
  <si>
    <t>OCTUBRE</t>
  </si>
  <si>
    <t>COSTO UNIT</t>
  </si>
  <si>
    <t>NOVIEMBRE</t>
  </si>
  <si>
    <t>DICIEMBRE</t>
  </si>
  <si>
    <t>B001-235534</t>
  </si>
  <si>
    <t>9/8/2024</t>
  </si>
  <si>
    <t>B002-00001944</t>
  </si>
  <si>
    <t>ABR</t>
  </si>
  <si>
    <t>Mayo</t>
  </si>
  <si>
    <t>17/8/2024</t>
  </si>
  <si>
    <t>Jun</t>
  </si>
  <si>
    <t>B002-00001953</t>
  </si>
  <si>
    <t>July</t>
  </si>
  <si>
    <t>Agust</t>
  </si>
  <si>
    <t>DEPARTAMENTO</t>
  </si>
  <si>
    <t>September</t>
  </si>
  <si>
    <t>Octob</t>
  </si>
  <si>
    <t>Nov</t>
  </si>
  <si>
    <t>B002-00001968</t>
  </si>
  <si>
    <t>Dic</t>
  </si>
  <si>
    <t>B001-00238613</t>
  </si>
  <si>
    <t>DPTO</t>
  </si>
  <si>
    <t>B002-002027</t>
  </si>
  <si>
    <t>No. Medidor</t>
  </si>
  <si>
    <t>N° MEDIDOR</t>
  </si>
  <si>
    <t>B002-002037</t>
  </si>
  <si>
    <t>27/9/2024</t>
  </si>
  <si>
    <t>B002-002048</t>
  </si>
  <si>
    <t>06/10/2024</t>
  </si>
  <si>
    <t>B001-00241730</t>
  </si>
  <si>
    <t>COSTO TOTAL:</t>
  </si>
  <si>
    <t>1/31/2025</t>
  </si>
  <si>
    <t>soles</t>
  </si>
  <si>
    <t>14/10/2024</t>
  </si>
  <si>
    <t>B002-002121</t>
  </si>
  <si>
    <t>23/10/2024</t>
  </si>
  <si>
    <t>B002-002138</t>
  </si>
  <si>
    <t>4/11/2024</t>
  </si>
  <si>
    <t>B001-244717</t>
  </si>
  <si>
    <t>9/11/2024</t>
  </si>
  <si>
    <t>B002-002263</t>
  </si>
  <si>
    <t>Consumo:  m3</t>
  </si>
  <si>
    <t>13/11/2024</t>
  </si>
  <si>
    <t>B002-002267</t>
  </si>
  <si>
    <t>23/11/2024</t>
  </si>
  <si>
    <t>ELIMINAR</t>
  </si>
  <si>
    <t>B002-002280</t>
  </si>
  <si>
    <t>2034049+B4:B51</t>
  </si>
  <si>
    <t>30/11/2024</t>
  </si>
  <si>
    <t>B002-002291</t>
  </si>
  <si>
    <t>Otros</t>
  </si>
  <si>
    <t>B001-00249213</t>
  </si>
  <si>
    <t>17/12/2024</t>
  </si>
  <si>
    <t>B001-00250092</t>
  </si>
  <si>
    <t>23/12/2024</t>
  </si>
  <si>
    <t>B001-00250721</t>
  </si>
  <si>
    <t>31/12/2024</t>
  </si>
  <si>
    <t>B001-00251367</t>
  </si>
  <si>
    <t>CTA. CTE  INTERBANK Nro. 164-3000726430 (CCI : 003-164-003000726430-19)</t>
  </si>
  <si>
    <t>B002-00002308</t>
  </si>
  <si>
    <t>Solicite su recibo en Recepción contrapresentación del voucher de pago</t>
  </si>
  <si>
    <t>1/13/2025</t>
  </si>
  <si>
    <t>B002-00002316</t>
  </si>
  <si>
    <t>1/22/2025</t>
  </si>
  <si>
    <t>B002-00002331</t>
  </si>
  <si>
    <t>B001-00253628</t>
  </si>
  <si>
    <t>B001-00254332</t>
  </si>
  <si>
    <t>B001-00255269</t>
  </si>
  <si>
    <t>B002-00002372</t>
  </si>
  <si>
    <t>Pago total x mes</t>
  </si>
  <si>
    <t>Consumo del mes</t>
  </si>
  <si>
    <t>B001-00256885</t>
  </si>
  <si>
    <t>Departam.</t>
  </si>
  <si>
    <t>Nombre</t>
  </si>
  <si>
    <t>B002-00002392</t>
  </si>
  <si>
    <t>Número de Medidor</t>
  </si>
  <si>
    <t>Consumo  Junio</t>
  </si>
  <si>
    <t>B001-00258563</t>
  </si>
  <si>
    <t>Consumo  Julio</t>
  </si>
  <si>
    <t>29/3/2025</t>
  </si>
  <si>
    <t>Consumo  Agosto</t>
  </si>
  <si>
    <t>B001-00259369</t>
  </si>
  <si>
    <t>Consumo  Setiembre</t>
  </si>
  <si>
    <t>B001-00260104</t>
  </si>
  <si>
    <t>Consumo  Octubre</t>
  </si>
  <si>
    <t>17/4/2025</t>
  </si>
  <si>
    <t>B001-00261018</t>
  </si>
  <si>
    <t>Consumo  Noviembre</t>
  </si>
  <si>
    <t>Consumo  Diciembre</t>
  </si>
  <si>
    <t>22/4/2025</t>
  </si>
  <si>
    <t>Consumo  ENERO</t>
  </si>
  <si>
    <t>B001-00261475</t>
  </si>
  <si>
    <t>Consumo  FEBRERO</t>
  </si>
  <si>
    <t>Consumo  MARZO</t>
  </si>
  <si>
    <t>27/4/2025</t>
  </si>
  <si>
    <t>B002-0002425</t>
  </si>
  <si>
    <t>Consumo ABRIL</t>
  </si>
  <si>
    <t>Consumo  ABRIL</t>
  </si>
  <si>
    <t>Consumo  MAYO</t>
  </si>
  <si>
    <t>B001-00262857</t>
  </si>
  <si>
    <t>B001-00262858</t>
  </si>
  <si>
    <t>B001-00265114</t>
  </si>
  <si>
    <t>Consumo  Enero</t>
  </si>
  <si>
    <t>B001-26679</t>
  </si>
  <si>
    <t>Consumo  Febrero</t>
  </si>
  <si>
    <t>Consumo  Marzo</t>
  </si>
  <si>
    <t>Consumo  Abril</t>
  </si>
  <si>
    <t>B001-267233</t>
  </si>
  <si>
    <t>Consumo  Mayo</t>
  </si>
  <si>
    <t>B001-267922</t>
  </si>
  <si>
    <t>Agosto</t>
  </si>
  <si>
    <t>B001-268606</t>
  </si>
  <si>
    <t>Septiembre</t>
  </si>
  <si>
    <t>Octubre</t>
  </si>
  <si>
    <t>Noviembre</t>
  </si>
  <si>
    <t>Diciembre</t>
  </si>
  <si>
    <t>B001-269243</t>
  </si>
  <si>
    <t>m3</t>
  </si>
  <si>
    <t>Soles</t>
  </si>
  <si>
    <t>B001-00270403</t>
  </si>
  <si>
    <t>B001-00270907</t>
  </si>
  <si>
    <t>B001-00273209</t>
  </si>
  <si>
    <t>B001-00273994</t>
  </si>
  <si>
    <t>B001-00274400</t>
  </si>
  <si>
    <t>B001-00275348</t>
  </si>
  <si>
    <t>B001-00276424</t>
  </si>
  <si>
    <t>B001-00277403</t>
  </si>
  <si>
    <t>B001-00277804</t>
  </si>
  <si>
    <t>B001-00278651</t>
  </si>
  <si>
    <t>B002-00002440</t>
  </si>
  <si>
    <t>B002-00002445</t>
  </si>
  <si>
    <t>B001-00281054</t>
  </si>
  <si>
    <t>HUGO LUCIO ADUVIRE PATACA</t>
  </si>
  <si>
    <t>B001-00281617</t>
  </si>
  <si>
    <t>B002-00002460</t>
  </si>
  <si>
    <t>B002-00002471</t>
  </si>
  <si>
    <t>B002-00002480</t>
  </si>
  <si>
    <t>GA170801166</t>
  </si>
  <si>
    <t>B002-00002493</t>
  </si>
  <si>
    <t>B002-00002501</t>
  </si>
  <si>
    <t>B002-00002513</t>
  </si>
  <si>
    <t>B002-00002521</t>
  </si>
  <si>
    <t>B002-00002531</t>
  </si>
  <si>
    <t>B002-00002537</t>
  </si>
  <si>
    <t>B002-00002543</t>
  </si>
  <si>
    <t>B002-00002559</t>
  </si>
  <si>
    <t>B002-00002566</t>
  </si>
  <si>
    <t>B002-00002569</t>
  </si>
  <si>
    <t>B002-00002575</t>
  </si>
  <si>
    <t>B002-00002580</t>
  </si>
  <si>
    <t>B002-00002586</t>
  </si>
  <si>
    <t>B001-00291821</t>
  </si>
  <si>
    <t>B002-00002594</t>
  </si>
  <si>
    <t>B002-00002604</t>
  </si>
  <si>
    <t>B002-00002608</t>
  </si>
  <si>
    <t>B002-00002614</t>
  </si>
  <si>
    <t>B002-00002622</t>
  </si>
  <si>
    <t>B002-00002623</t>
  </si>
  <si>
    <t>B002-00002631</t>
  </si>
  <si>
    <t>B002-00002635</t>
  </si>
  <si>
    <t>B002-00002643</t>
  </si>
  <si>
    <t>B002-00002646</t>
  </si>
  <si>
    <t>B002-00002658</t>
  </si>
  <si>
    <t>B002-00002660</t>
  </si>
  <si>
    <t>29/04/26 - 2 BALON GRANDE CENTRAL</t>
  </si>
  <si>
    <t>B002-00002668</t>
  </si>
  <si>
    <t>04/05/26 - 2 BALON GRANDE CENTRAL</t>
  </si>
  <si>
    <t>B002-00002673</t>
  </si>
  <si>
    <t>11/05/26 - 2 BALON GRANDE CENTRAL</t>
  </si>
  <si>
    <t>B002-00002676</t>
  </si>
  <si>
    <t>16/05/26 - 2 BALON GRANDE CENTRAL</t>
  </si>
  <si>
    <t>B002-00002681</t>
  </si>
  <si>
    <t>22/05/26 - 2 BALON GRANDE CENTRAL</t>
  </si>
  <si>
    <t>B002-00002689</t>
  </si>
  <si>
    <t>29/05/26 - 2 BALON GRANDE CENTRAL</t>
  </si>
  <si>
    <t>F002-00009372</t>
  </si>
  <si>
    <t>04/06/26 - 2 BALON GRANDE CENTRAL</t>
  </si>
  <si>
    <t>B002-00002713</t>
  </si>
  <si>
    <t>11/06/26 - 2 BALON GRANDE CENTRAL</t>
  </si>
  <si>
    <t>B002-00002722</t>
  </si>
  <si>
    <t>17/06/26 - 2 BALON GRANDE CENTRAL</t>
  </si>
  <si>
    <t>B002-00002727</t>
  </si>
  <si>
    <t>23/06/26 - 2 BALON GRANDE CENTRAL</t>
  </si>
  <si>
    <t>B002-00002734</t>
  </si>
  <si>
    <t>30/06/26 - 2 BALON GRANDE CENTRAL</t>
  </si>
  <si>
    <t>B001-00303049</t>
  </si>
  <si>
    <t>04/07/26 - 2 BALON GRANDE CENTRAL</t>
  </si>
  <si>
    <t>B002-00002747</t>
  </si>
  <si>
    <t>10/07/26 - 2 BALON GRANDE CENTRAL</t>
  </si>
  <si>
    <t>B002-00002754</t>
  </si>
  <si>
    <t>16/07/26 - 2 BALON GRANDE CENTRAL</t>
  </si>
  <si>
    <t>B002-00002761</t>
  </si>
  <si>
    <t>25/07/26 - 2 BALON GRANDE CENTRAL</t>
  </si>
  <si>
    <t>B002-00002767</t>
  </si>
  <si>
    <t>30/07/26 - 2 BALON GRANDE CENTRAL</t>
  </si>
  <si>
    <t>B002-00002771</t>
  </si>
  <si>
    <t>GA202101900335</t>
  </si>
  <si>
    <t>ELISABETH POTERICO HUAMAYALLI</t>
  </si>
  <si>
    <t>GA2003002006</t>
  </si>
  <si>
    <t>SANTIAGO MORAN VASQUEZ</t>
  </si>
  <si>
    <t>GA202101900062</t>
  </si>
  <si>
    <t>LILIA ISABEL GIL ARAUJO</t>
  </si>
  <si>
    <t>GA170800161</t>
  </si>
  <si>
    <t>GA2108000738</t>
  </si>
  <si>
    <t>HILDA LUZ VELEZ GHERSI</t>
  </si>
  <si>
    <t>GA202101900060</t>
  </si>
  <si>
    <t>GUSTAVO ENRIQUE LOPEZ CORDERO</t>
  </si>
  <si>
    <t>PAG1</t>
  </si>
  <si>
    <t>TRADEX INTERNACIONALSAC</t>
  </si>
  <si>
    <t>CONSUMO GAS</t>
  </si>
  <si>
    <t>31 Ene 25 - 3 Mar 25</t>
  </si>
  <si>
    <t>Grupo</t>
  </si>
  <si>
    <t>405 POSIBLE FOTO REPETIDA</t>
  </si>
  <si>
    <t>CUOTA TOTAL:</t>
  </si>
  <si>
    <t>CONTROL DE PAGOS SERVICIO DE GAS</t>
  </si>
  <si>
    <t>2 0 2 3</t>
  </si>
  <si>
    <t>2 0 2 4</t>
  </si>
  <si>
    <t xml:space="preserve">2 0 2 5 </t>
  </si>
  <si>
    <t>Payments</t>
  </si>
  <si>
    <t>ENERO</t>
  </si>
  <si>
    <t>FEBRERO</t>
  </si>
  <si>
    <t>ORELLANA HOLDAN OSCAR BRUNO</t>
  </si>
  <si>
    <t>MARZO</t>
  </si>
  <si>
    <t>PROPIETARIO</t>
  </si>
  <si>
    <t>MEDIDOR</t>
  </si>
  <si>
    <t>29/04/23 - 30/05/23</t>
  </si>
  <si>
    <t>30/05/23 - 30/06/23</t>
  </si>
  <si>
    <t>30/06/23 - 27/07/23</t>
  </si>
  <si>
    <t>27/07/23 - 31/08/23</t>
  </si>
  <si>
    <t>31/08/23 - 02/10/23</t>
  </si>
  <si>
    <t>03/10/23 - 01/11/23</t>
  </si>
  <si>
    <t>01/11/23 - 30/11/23</t>
  </si>
  <si>
    <t>01/12/23 - 02/01/24</t>
  </si>
  <si>
    <t>02/01/24 - 02/02/24</t>
  </si>
  <si>
    <t>02/02/24 - 29/02/24</t>
  </si>
  <si>
    <t>29/02/24 - 02/04/24</t>
  </si>
  <si>
    <t>02/04/24 - 02/05/24</t>
  </si>
  <si>
    <t>02/05/24 - 01/06/24</t>
  </si>
  <si>
    <t>01/06/24 - 01/07/24</t>
  </si>
  <si>
    <t>01/07/24 - 01/08/24</t>
  </si>
  <si>
    <t>01/08/24 - 02/09/24</t>
  </si>
  <si>
    <t>02/09/24 - 01/10/24</t>
  </si>
  <si>
    <t>01/10/24 - 02/11/24</t>
  </si>
  <si>
    <t>02/11/24 - 02/12/24</t>
  </si>
  <si>
    <t>02/12/2024 - 04/01/2025</t>
  </si>
  <si>
    <t>04/01/2025 - 31/01/2025</t>
  </si>
  <si>
    <t>31/01/2025 - 03/03/2025</t>
  </si>
  <si>
    <t>03/03/2025 - 03/04/2025</t>
  </si>
  <si>
    <t>03/04/2025 - 03/05/2025</t>
  </si>
  <si>
    <t>03/05/2025 - 02/06/2025</t>
  </si>
  <si>
    <t>2/06/2025   - 30/06/2025</t>
  </si>
  <si>
    <t>30/06/2025   - 1/08/2025</t>
  </si>
  <si>
    <t>1/08/2025   - 1/09/2025</t>
  </si>
  <si>
    <t>1/09/2025   - 1/10/2025</t>
  </si>
  <si>
    <t>1/10/2025   - 1/11/2025</t>
  </si>
  <si>
    <t>1/11/2025   - 1/12/2025</t>
  </si>
  <si>
    <t>1/12/2025   - 31/12/2025</t>
  </si>
  <si>
    <t>1/1/2026   - 1/2/2026</t>
  </si>
  <si>
    <t>1/2/2026   - 1/3/2026</t>
  </si>
  <si>
    <t>1/3/2026   - 1/4/2026</t>
  </si>
  <si>
    <t>1/4/2026   - 1/5/2026</t>
  </si>
  <si>
    <t>1/5/2026   - 1/6/2026</t>
  </si>
  <si>
    <t>1/6/2026   - 1/7/2026</t>
  </si>
  <si>
    <t>1/7/2026   - 1/8/2026</t>
  </si>
  <si>
    <t>1/8/2026   - 1/9/2026</t>
  </si>
  <si>
    <t>1/9/2026   - 1/10/2026</t>
  </si>
  <si>
    <t>1/10/2026   - 1/11/2026</t>
  </si>
  <si>
    <t>1/11/2026   - 1/12/2026</t>
  </si>
  <si>
    <t>1/12/2026   - 31/12/2026</t>
  </si>
  <si>
    <t>pagos 2025</t>
  </si>
  <si>
    <t>pagos2026</t>
  </si>
  <si>
    <t>KEEP BLANK</t>
  </si>
  <si>
    <t>Deuda</t>
  </si>
  <si>
    <t>MARGOT MEDINA CARDENAS</t>
  </si>
  <si>
    <t>101</t>
  </si>
  <si>
    <t>110</t>
  </si>
  <si>
    <t>120</t>
  </si>
  <si>
    <t>PAG2</t>
  </si>
  <si>
    <t>130</t>
  </si>
  <si>
    <t>140</t>
  </si>
  <si>
    <t>150</t>
  </si>
  <si>
    <t>OSCAR MARIMON PACHECO</t>
  </si>
  <si>
    <t>160</t>
  </si>
  <si>
    <t>170</t>
  </si>
  <si>
    <t>180</t>
  </si>
  <si>
    <t>VICTORIA CARLOTA FEBRES ORE</t>
  </si>
  <si>
    <t>190</t>
  </si>
  <si>
    <t>200</t>
  </si>
  <si>
    <t>ROSA MARIA MONTENEGRO TORIBIO</t>
  </si>
  <si>
    <t>JOSE LLERENA RODRIGUEZ</t>
  </si>
  <si>
    <t>GARREAUD INDACOCHEA MARIA ELENA</t>
  </si>
  <si>
    <t>220</t>
  </si>
  <si>
    <t>230</t>
  </si>
  <si>
    <t>CARMEN TERESA GANDARILLAS CARDENAS</t>
  </si>
  <si>
    <t>MARIA VIVANCO FIGALLO</t>
  </si>
  <si>
    <t>PAG3</t>
  </si>
  <si>
    <t>250</t>
  </si>
  <si>
    <t>261</t>
  </si>
  <si>
    <t>102</t>
  </si>
  <si>
    <t>ARMANDO CUETO DUTHURBURU</t>
  </si>
  <si>
    <t>WALTER PEREZ RENGIFO</t>
  </si>
  <si>
    <t>270</t>
  </si>
  <si>
    <t>280</t>
  </si>
  <si>
    <t>290</t>
  </si>
  <si>
    <t>GEHNI DELGADO VDA. DE MARINI</t>
  </si>
  <si>
    <t>300</t>
  </si>
  <si>
    <t>262</t>
  </si>
  <si>
    <t>310</t>
  </si>
  <si>
    <t>CAROLINA JONSSON</t>
  </si>
  <si>
    <t>CARLOS AVILA BOCANEGRA</t>
  </si>
  <si>
    <t>320</t>
  </si>
  <si>
    <t>330</t>
  </si>
  <si>
    <t>340</t>
  </si>
  <si>
    <t>VALEGA BAELLA ALICIA</t>
  </si>
  <si>
    <t>PAG4</t>
  </si>
  <si>
    <t>MONICA LIGARDA CASTRO</t>
  </si>
  <si>
    <t>350</t>
  </si>
  <si>
    <t>360</t>
  </si>
  <si>
    <t>370</t>
  </si>
  <si>
    <t>TELMO SALAZAR GONZALES</t>
  </si>
  <si>
    <t>380</t>
  </si>
  <si>
    <t>390</t>
  </si>
  <si>
    <t>103</t>
  </si>
  <si>
    <t>LUIGI FERNANDO RONCAGLIOLO</t>
  </si>
  <si>
    <t>POTERICO ROJAS JULIO ANTONIO</t>
  </si>
  <si>
    <t>400</t>
  </si>
  <si>
    <t>410</t>
  </si>
  <si>
    <t>420</t>
  </si>
  <si>
    <t>GRACIELA ORTIZ</t>
  </si>
  <si>
    <t>430</t>
  </si>
  <si>
    <t>412</t>
  </si>
  <si>
    <t>450</t>
  </si>
  <si>
    <t>RAFAEL BRISSOLESE D ANGELO</t>
  </si>
  <si>
    <t>PAG5</t>
  </si>
  <si>
    <t>JOHN MARTIN LLERENA SALAS</t>
  </si>
  <si>
    <t>471</t>
  </si>
  <si>
    <t>481</t>
  </si>
  <si>
    <t>LUIGI SCARIN</t>
  </si>
  <si>
    <t>Estacuinamiento</t>
  </si>
  <si>
    <t>RAMON FRANCISCO LABRIN FARIAS</t>
  </si>
  <si>
    <t>490</t>
  </si>
  <si>
    <t>500</t>
  </si>
  <si>
    <t>510</t>
  </si>
  <si>
    <t>NOE VELA CORRALES</t>
  </si>
  <si>
    <t>MERINO PEÑAFIEL KARINA MIA</t>
  </si>
  <si>
    <t>520</t>
  </si>
  <si>
    <t>530</t>
  </si>
  <si>
    <t>540</t>
  </si>
  <si>
    <t>CONDOR ARATA MARIA TERESA</t>
  </si>
  <si>
    <t>RICARDINA GUTIERREZ</t>
  </si>
  <si>
    <t>550</t>
  </si>
  <si>
    <t>560</t>
  </si>
  <si>
    <t>570</t>
  </si>
  <si>
    <t>MARIO CORNEJO VASQUEZ</t>
  </si>
  <si>
    <t>PENAGOS CUADROS NORA BEATRIZ</t>
  </si>
  <si>
    <t>VALENCIA BALAZAR BRENDA</t>
  </si>
  <si>
    <t>SERGIO RIOS CUELLAR - FELIPE</t>
  </si>
  <si>
    <t>SERGIO RIOS CUELLAR - MARIA FERNANDA</t>
  </si>
  <si>
    <t>JAVIER ENRIQUE ESPINOZA PAZ</t>
  </si>
  <si>
    <t>AMPARO AMALIA MEJIA BREÑA</t>
  </si>
  <si>
    <t>JULIO POTERICO</t>
  </si>
  <si>
    <t>JESUS MARGARITA ANTAYHUA</t>
  </si>
  <si>
    <t>CARMEN DE LA TORRE MAYORGA</t>
  </si>
  <si>
    <t>MARIA INDACOCHEA PALACIOS VDA DE</t>
  </si>
  <si>
    <t>MARIA VIRGINIA BARANDIARAN PAGADOR</t>
  </si>
  <si>
    <t>Laura Cristina Herrera Vega</t>
  </si>
  <si>
    <t>RANDY RUSSELL CIVELLO</t>
  </si>
  <si>
    <t>JUAN CARLOS RENGIFO SANTA MARIA</t>
  </si>
  <si>
    <t>SIMON VAINSTEIN TIMERMAN</t>
  </si>
  <si>
    <t>MARCO ANTONIO LAMA VALENCIA</t>
  </si>
  <si>
    <t>ISMENIA JUDITH SINKO</t>
  </si>
  <si>
    <t>JOSEFA TORRENT ALTAYO</t>
  </si>
  <si>
    <t>EDWARD MARTIN AEGERTER</t>
  </si>
  <si>
    <t>JORGE PAREDES</t>
  </si>
  <si>
    <t>GIOVANNI SACCO</t>
  </si>
  <si>
    <t>AGUIRRE BOULANGGER ANGEL MARTIN</t>
  </si>
  <si>
    <t>JEFF VILLACORTA</t>
  </si>
  <si>
    <t>Miraflores</t>
  </si>
  <si>
    <t>ESTADO DE CUENTA - CONSUMO DE GAS</t>
  </si>
  <si>
    <t>PERIODO</t>
  </si>
  <si>
    <t>TOTAL</t>
  </si>
  <si>
    <t>ULTIMO MES CONSUMO DE GAS</t>
  </si>
  <si>
    <t>Realizar depósito en:</t>
  </si>
  <si>
    <t>INTERBANK</t>
  </si>
  <si>
    <t>JUNTA DE PRPOPIETARIOS TORRE BALTA</t>
  </si>
  <si>
    <t>Nº Cta: 164-3000726430</t>
  </si>
  <si>
    <t>CCI: 003-164-003000726430-19</t>
  </si>
  <si>
    <t>Apt.</t>
  </si>
  <si>
    <t>Gas Deuda</t>
  </si>
  <si>
    <t>Deuda Total</t>
  </si>
  <si>
    <t>CESAR ENRIQUE MORGAN GOMEZ</t>
  </si>
  <si>
    <t>cerrado</t>
  </si>
  <si>
    <t>Rojo es deuda sujeto a corte</t>
  </si>
  <si>
    <t>Verde es Saldo a Favor</t>
  </si>
  <si>
    <t>deuda</t>
  </si>
  <si>
    <t>pagado (pagado en dolares $274)</t>
  </si>
  <si>
    <t>Julio</t>
  </si>
  <si>
    <t>(gas que no debias)</t>
  </si>
  <si>
    <t>saldo</t>
  </si>
  <si>
    <t>Costo Unitario:</t>
  </si>
  <si>
    <t>TM /  m³ del mes</t>
  </si>
  <si>
    <t>Total de Mes (Hoja CONSUMO) / m³ del mes (Hoja CALCULO GAS)</t>
  </si>
  <si>
    <t>Consumo Soles (Hoja CALCULO GAS):</t>
  </si>
  <si>
    <t>Costo Unitario * Consumo 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</si>
</sst>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S/.]#,##0.00"/>
    <numFmt numFmtId="165" formatCode="0.000"/>
    <numFmt numFmtId="166" formatCode="[$-280A]dd\-mmm"/>
    <numFmt numFmtId="167" formatCode="d/M/yyyy"/>
    <numFmt numFmtId="168" formatCode="dd-mm-yy"/>
    <numFmt numFmtId="169" formatCode="yyyy-mm-dd"/>
  </numFmts>
  <fonts count="36">
    <font>
      <sz val="12.0"/>
      <color rgb="FF000000"/>
      <name val="Calibri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b/>
      <sz val="12.0"/>
      <color theme="0"/>
      <name val="Calibri"/>
    </font>
    <font/>
    <font>
      <sz val="12.0"/>
      <color theme="1"/>
      <name val="Calibri"/>
    </font>
    <font>
      <b/>
      <sz val="14.0"/>
      <color theme="1"/>
      <name val="Arial"/>
    </font>
    <font>
      <sz val="12.0"/>
      <color theme="0"/>
      <name val="Calibri"/>
    </font>
    <font>
      <b/>
      <sz val="14.0"/>
      <color theme="1"/>
      <name val="Calibri"/>
    </font>
    <font>
      <b/>
      <sz val="12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b/>
      <sz val="14.0"/>
      <color rgb="FF000000"/>
      <name val="Calibri"/>
    </font>
    <font>
      <b/>
      <sz val="14.0"/>
      <color rgb="FFFF0000"/>
      <name val="Calibri"/>
    </font>
    <font>
      <sz val="12.0"/>
      <color rgb="FFFF0000"/>
      <name val="Calibri"/>
    </font>
    <font>
      <sz val="14.0"/>
      <color rgb="FF000000"/>
      <name val="Calibri"/>
    </font>
    <font>
      <sz val="12.0"/>
      <color rgb="FF254061"/>
      <name val="Calibri"/>
    </font>
    <font>
      <b/>
      <sz val="14.0"/>
      <color rgb="FF254061"/>
      <name val="Arial"/>
    </font>
    <font>
      <b/>
      <sz val="12.0"/>
      <color rgb="FF254061"/>
      <name val="Calibri"/>
    </font>
    <font>
      <b/>
      <sz val="12.0"/>
      <color rgb="FF254061"/>
      <name val="Arial"/>
    </font>
    <font>
      <sz val="12.0"/>
      <color rgb="FF254061"/>
      <name val="Arial"/>
    </font>
    <font>
      <sz val="12.0"/>
      <color rgb="FF000000"/>
      <name val="Arial"/>
    </font>
    <font>
      <b/>
      <sz val="10.0"/>
      <color rgb="FF000000"/>
      <name val="Calibri"/>
    </font>
    <font>
      <sz val="10.0"/>
      <color rgb="FF000000"/>
      <name val="Calibri"/>
    </font>
    <font>
      <b/>
      <sz val="9.0"/>
      <color rgb="FF000000"/>
      <name val="Calibri"/>
    </font>
    <font>
      <b/>
      <sz val="9.0"/>
      <color theme="0"/>
      <name val="Calibri"/>
    </font>
    <font>
      <b/>
      <sz val="9.0"/>
      <color rgb="FFFFFFFF"/>
      <name val="Calibri"/>
    </font>
    <font>
      <sz val="9.0"/>
      <color rgb="FF000000"/>
      <name val="Calibri"/>
    </font>
    <font>
      <b/>
      <color rgb="FF70AD47"/>
      <name val="Calibri"/>
    </font>
    <font>
      <b/>
      <sz val="10.0"/>
      <color rgb="FFFF0000"/>
      <name val="Calibri"/>
    </font>
    <font>
      <color rgb="FFFF0000"/>
      <name val="Calibri"/>
      <scheme val="minor"/>
    </font>
    <font>
      <sz val="10.0"/>
      <color rgb="FFFF0000"/>
      <name val="Calibri"/>
    </font>
    <font>
      <color rgb="FF000000"/>
      <name val="Calibri"/>
      <scheme val="minor"/>
    </font>
    <font>
      <b/>
      <color theme="1"/>
      <name val="Calibri"/>
      <scheme val="minor"/>
    </font>
    <font>
      <b/>
      <color rgb="FFFF0000"/>
      <name val="Calibri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theme="4"/>
        <bgColor theme="4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theme="0"/>
      </patternFill>
    </fill>
    <fill>
      <patternFill patternType="solid">
        <fgColor rgb="FFFF66FF"/>
        <bgColor rgb="FFFF66FF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E6B9B8"/>
        <bgColor rgb="FFE6B9B8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D7E4BD"/>
        <bgColor rgb="FFD7E4BD"/>
      </patternFill>
    </fill>
    <fill>
      <patternFill patternType="solid">
        <fgColor rgb="FFFDEADA"/>
        <bgColor rgb="FFFDEADA"/>
      </patternFill>
    </fill>
    <fill>
      <patternFill patternType="solid">
        <fgColor rgb="FFF6B26B"/>
        <bgColor rgb="FFF6B26B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2F5496"/>
        <bgColor rgb="FF2F5496"/>
      </patternFill>
    </fill>
    <fill>
      <patternFill patternType="solid">
        <fgColor rgb="FFFF9900"/>
        <bgColor rgb="FFFF9900"/>
      </patternFill>
    </fill>
    <fill>
      <patternFill patternType="solid">
        <fgColor rgb="FFF7CAAC"/>
        <bgColor rgb="FFF7CAAC"/>
      </patternFill>
    </fill>
    <fill>
      <patternFill patternType="solid">
        <fgColor rgb="FF595959"/>
        <bgColor rgb="FF595959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</fills>
  <borders count="45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thick">
        <color rgb="FF000000"/>
      </top>
    </border>
    <border>
      <top style="thin">
        <color rgb="FF000000"/>
      </top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bottom style="thick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medium">
        <color rgb="FF000000"/>
      </right>
      <top/>
      <bottom/>
    </border>
    <border>
      <right style="thick">
        <color rgb="FF000000"/>
      </right>
      <top style="medium">
        <color rgb="FF000000"/>
      </top>
    </border>
    <border>
      <right style="thick">
        <color rgb="FF000000"/>
      </right>
    </border>
    <border>
      <right style="thick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</borders>
  <cellStyleXfs count="1">
    <xf borderId="0" fillId="0" fontId="0" numFmtId="0" applyAlignment="1" applyFont="1"/>
  </cellStyleXfs>
  <cellXfs count="3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0" fillId="0" fontId="3" numFmtId="164" xfId="0" applyFont="1" applyNumberFormat="1"/>
    <xf borderId="2" fillId="0" fontId="5" numFmtId="0" xfId="0" applyBorder="1" applyFont="1"/>
    <xf borderId="3" fillId="0" fontId="5" numFmtId="0" xfId="0" applyBorder="1" applyFont="1"/>
    <xf borderId="4" fillId="0" fontId="2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/>
    </xf>
    <xf borderId="6" fillId="0" fontId="5" numFmtId="0" xfId="0" applyBorder="1" applyFont="1"/>
    <xf borderId="4" fillId="0" fontId="1" numFmtId="0" xfId="0" applyBorder="1" applyFont="1"/>
    <xf borderId="0" fillId="0" fontId="1" numFmtId="0" xfId="0" applyFont="1"/>
    <xf borderId="7" fillId="0" fontId="5" numFmtId="0" xfId="0" applyBorder="1" applyFont="1"/>
    <xf borderId="0" fillId="0" fontId="2" numFmtId="164" xfId="0" applyAlignment="1" applyFont="1" applyNumberFormat="1">
      <alignment horizontal="center"/>
    </xf>
    <xf borderId="0" fillId="0" fontId="1" numFmtId="49" xfId="0" applyFont="1" applyNumberFormat="1"/>
    <xf borderId="8" fillId="4" fontId="4" numFmtId="0" xfId="0" applyAlignment="1" applyBorder="1" applyFill="1" applyFont="1">
      <alignment horizontal="center"/>
    </xf>
    <xf borderId="9" fillId="0" fontId="1" numFmtId="0" xfId="0" applyBorder="1" applyFont="1"/>
    <xf borderId="10" fillId="0" fontId="5" numFmtId="0" xfId="0" applyBorder="1" applyFont="1"/>
    <xf borderId="0" fillId="0" fontId="1" numFmtId="4" xfId="0" applyAlignment="1" applyFont="1" applyNumberFormat="1">
      <alignment horizontal="center"/>
    </xf>
    <xf borderId="11" fillId="5" fontId="1" numFmtId="0" xfId="0" applyBorder="1" applyFill="1" applyFont="1"/>
    <xf borderId="12" fillId="0" fontId="5" numFmtId="0" xfId="0" applyBorder="1" applyFont="1"/>
    <xf borderId="11" fillId="6" fontId="4" numFmtId="0" xfId="0" applyAlignment="1" applyBorder="1" applyFill="1" applyFont="1">
      <alignment horizontal="center"/>
    </xf>
    <xf borderId="0" fillId="0" fontId="6" numFmtId="0" xfId="0" applyFont="1"/>
    <xf borderId="5" fillId="7" fontId="4" numFmtId="0" xfId="0" applyAlignment="1" applyBorder="1" applyFill="1" applyFont="1">
      <alignment horizontal="center"/>
    </xf>
    <xf borderId="0" fillId="0" fontId="1" numFmtId="49" xfId="0" applyAlignment="1" applyFont="1" applyNumberFormat="1">
      <alignment horizontal="left"/>
    </xf>
    <xf borderId="13" fillId="0" fontId="7" numFmtId="0" xfId="0" applyBorder="1" applyFont="1"/>
    <xf borderId="14" fillId="0" fontId="1" numFmtId="49" xfId="0" applyAlignment="1" applyBorder="1" applyFont="1" applyNumberFormat="1">
      <alignment horizontal="left"/>
    </xf>
    <xf borderId="5" fillId="3" fontId="8" numFmtId="0" xfId="0" applyAlignment="1" applyBorder="1" applyFont="1">
      <alignment horizontal="center"/>
    </xf>
    <xf borderId="15" fillId="0" fontId="9" numFmtId="0" xfId="0" applyAlignment="1" applyBorder="1" applyFont="1">
      <alignment horizontal="left" shrinkToFit="0" wrapText="1"/>
    </xf>
    <xf borderId="14" fillId="0" fontId="1" numFmtId="0" xfId="0" applyBorder="1" applyFont="1"/>
    <xf borderId="16" fillId="0" fontId="1" numFmtId="0" xfId="0" applyBorder="1" applyFont="1"/>
    <xf borderId="17" fillId="0" fontId="5" numFmtId="0" xfId="0" applyBorder="1" applyFont="1"/>
    <xf borderId="14" fillId="0" fontId="1" numFmtId="4" xfId="0" applyAlignment="1" applyBorder="1" applyFont="1" applyNumberFormat="1">
      <alignment horizontal="center"/>
    </xf>
    <xf borderId="18" fillId="5" fontId="1" numFmtId="0" xfId="0" applyBorder="1" applyFont="1"/>
    <xf borderId="19" fillId="0" fontId="2" numFmtId="0" xfId="0" applyAlignment="1" applyBorder="1" applyFont="1">
      <alignment horizontal="center"/>
    </xf>
    <xf borderId="11" fillId="8" fontId="8" numFmtId="0" xfId="0" applyBorder="1" applyFill="1" applyFont="1"/>
    <xf borderId="11" fillId="8" fontId="8" numFmtId="0" xfId="0" applyBorder="1" applyFont="1"/>
    <xf borderId="20" fillId="0" fontId="10" numFmtId="2" xfId="0" applyAlignment="1" applyBorder="1" applyFont="1" applyNumberFormat="1">
      <alignment horizontal="right" shrinkToFit="0" wrapText="1"/>
    </xf>
    <xf borderId="0" fillId="0" fontId="2" numFmtId="164" xfId="0" applyFont="1" applyNumberFormat="1"/>
    <xf borderId="0" fillId="0" fontId="11" numFmtId="49" xfId="0" applyAlignment="1" applyFont="1" applyNumberFormat="1">
      <alignment horizontal="right" vertical="center"/>
    </xf>
    <xf borderId="21" fillId="0" fontId="12" numFmtId="2" xfId="0" applyAlignment="1" applyBorder="1" applyFont="1" applyNumberFormat="1">
      <alignment horizontal="center" shrinkToFit="0" vertical="center" wrapText="1"/>
    </xf>
    <xf borderId="11" fillId="8" fontId="4" numFmtId="0" xfId="0" applyBorder="1" applyFont="1"/>
    <xf borderId="0" fillId="0" fontId="2" numFmtId="0" xfId="0" applyAlignment="1" applyFont="1">
      <alignment horizontal="right"/>
    </xf>
    <xf borderId="19" fillId="0" fontId="2" numFmtId="0" xfId="0" applyAlignment="1" applyBorder="1" applyFont="1">
      <alignment horizontal="right"/>
    </xf>
    <xf borderId="0" fillId="0" fontId="1" numFmtId="14" xfId="0" applyAlignment="1" applyFont="1" applyNumberFormat="1">
      <alignment horizontal="left"/>
    </xf>
    <xf borderId="22" fillId="0" fontId="2" numFmtId="0" xfId="0" applyAlignment="1" applyBorder="1" applyFont="1">
      <alignment horizontal="right"/>
    </xf>
    <xf borderId="20" fillId="0" fontId="6" numFmtId="0" xfId="0" applyBorder="1" applyFont="1"/>
    <xf borderId="0" fillId="0" fontId="10" numFmtId="0" xfId="0" applyAlignment="1" applyFont="1">
      <alignment horizontal="center"/>
    </xf>
    <xf borderId="19" fillId="0" fontId="2" numFmtId="2" xfId="0" applyBorder="1" applyFont="1" applyNumberFormat="1"/>
    <xf borderId="21" fillId="0" fontId="12" numFmtId="2" xfId="0" applyAlignment="1" applyBorder="1" applyFont="1" applyNumberFormat="1">
      <alignment horizontal="right"/>
    </xf>
    <xf borderId="0" fillId="0" fontId="12" numFmtId="1" xfId="0" applyAlignment="1" applyFont="1" applyNumberFormat="1">
      <alignment horizontal="right"/>
    </xf>
    <xf borderId="21" fillId="0" fontId="12" numFmtId="0" xfId="0" applyAlignment="1" applyBorder="1" applyFont="1">
      <alignment horizontal="left"/>
    </xf>
    <xf borderId="23" fillId="0" fontId="2" numFmtId="0" xfId="0" applyBorder="1" applyFont="1"/>
    <xf borderId="14" fillId="0" fontId="1" numFmtId="14" xfId="0" applyAlignment="1" applyBorder="1" applyFont="1" applyNumberFormat="1">
      <alignment horizontal="left"/>
    </xf>
    <xf borderId="19" fillId="0" fontId="2" numFmtId="14" xfId="0" applyBorder="1" applyFont="1" applyNumberFormat="1"/>
    <xf quotePrefix="1" borderId="0" fillId="0" fontId="1" numFmtId="14" xfId="0" applyAlignment="1" applyFont="1" applyNumberFormat="1">
      <alignment horizontal="left"/>
    </xf>
    <xf borderId="0" fillId="0" fontId="1" numFmtId="4" xfId="0" applyFont="1" applyNumberFormat="1"/>
    <xf borderId="0" fillId="0" fontId="1" numFmtId="164" xfId="0" applyFont="1" applyNumberFormat="1"/>
    <xf borderId="19" fillId="0" fontId="1" numFmtId="14" xfId="0" applyBorder="1" applyFont="1" applyNumberFormat="1"/>
    <xf borderId="20" fillId="0" fontId="12" numFmtId="0" xfId="0" applyAlignment="1" applyBorder="1" applyFont="1">
      <alignment horizontal="left" shrinkToFit="0" wrapText="1"/>
    </xf>
    <xf borderId="0" fillId="0" fontId="2" numFmtId="4" xfId="0" applyFont="1" applyNumberFormat="1"/>
    <xf borderId="0" fillId="0" fontId="6" numFmtId="0" xfId="0" applyAlignment="1" applyFont="1">
      <alignment horizontal="right"/>
    </xf>
    <xf borderId="0" fillId="0" fontId="1" numFmtId="14" xfId="0" applyFont="1" applyNumberFormat="1"/>
    <xf borderId="21" fillId="0" fontId="10" numFmtId="2" xfId="0" applyAlignment="1" applyBorder="1" applyFont="1" applyNumberFormat="1">
      <alignment horizontal="center"/>
    </xf>
    <xf quotePrefix="1" borderId="14" fillId="0" fontId="1" numFmtId="14" xfId="0" applyAlignment="1" applyBorder="1" applyFont="1" applyNumberFormat="1">
      <alignment horizontal="left"/>
    </xf>
    <xf borderId="0" fillId="0" fontId="1" numFmtId="14" xfId="0" applyAlignment="1" applyFont="1" applyNumberFormat="1">
      <alignment horizontal="right"/>
    </xf>
    <xf borderId="19" fillId="0" fontId="1" numFmtId="14" xfId="0" applyAlignment="1" applyBorder="1" applyFont="1" applyNumberFormat="1">
      <alignment horizontal="right"/>
    </xf>
    <xf quotePrefix="1" borderId="0" fillId="0" fontId="1" numFmtId="0" xfId="0" applyFont="1"/>
    <xf borderId="20" fillId="0" fontId="12" numFmtId="0" xfId="0" applyAlignment="1" applyBorder="1" applyFont="1">
      <alignment horizontal="right"/>
    </xf>
    <xf borderId="0" fillId="0" fontId="12" numFmtId="2" xfId="0" applyAlignment="1" applyFont="1" applyNumberFormat="1">
      <alignment horizontal="right"/>
    </xf>
    <xf borderId="21" fillId="0" fontId="12" numFmtId="1" xfId="0" applyBorder="1" applyFont="1" applyNumberFormat="1"/>
    <xf borderId="20" fillId="0" fontId="12" numFmtId="0" xfId="0" applyAlignment="1" applyBorder="1" applyFont="1">
      <alignment horizontal="left"/>
    </xf>
    <xf quotePrefix="1" borderId="14" fillId="0" fontId="1" numFmtId="0" xfId="0" applyBorder="1" applyFont="1"/>
    <xf borderId="19" fillId="9" fontId="13" numFmtId="1" xfId="0" applyAlignment="1" applyBorder="1" applyFill="1" applyFont="1" applyNumberFormat="1">
      <alignment horizontal="center"/>
    </xf>
    <xf borderId="19" fillId="9" fontId="1" numFmtId="0" xfId="0" applyAlignment="1" applyBorder="1" applyFont="1">
      <alignment horizontal="right"/>
    </xf>
    <xf borderId="0" fillId="0" fontId="1" numFmtId="165" xfId="0" applyFont="1" applyNumberFormat="1"/>
    <xf borderId="20" fillId="0" fontId="10" numFmtId="0" xfId="0" applyAlignment="1" applyBorder="1" applyFont="1">
      <alignment horizontal="right"/>
    </xf>
    <xf borderId="0" fillId="0" fontId="1" numFmtId="165" xfId="0" applyAlignment="1" applyFont="1" applyNumberFormat="1">
      <alignment horizontal="right"/>
    </xf>
    <xf borderId="19" fillId="0" fontId="1" numFmtId="0" xfId="0" applyAlignment="1" applyBorder="1" applyFont="1">
      <alignment horizontal="right"/>
    </xf>
    <xf borderId="19" fillId="0" fontId="1" numFmtId="165" xfId="0" applyBorder="1" applyFont="1" applyNumberFormat="1"/>
    <xf borderId="14" fillId="0" fontId="1" numFmtId="14" xfId="0" applyBorder="1" applyFont="1" applyNumberFormat="1"/>
    <xf borderId="19" fillId="0" fontId="2" numFmtId="4" xfId="0" applyBorder="1" applyFont="1" applyNumberFormat="1"/>
    <xf borderId="20" fillId="0" fontId="12" numFmtId="0" xfId="0" applyAlignment="1" applyBorder="1" applyFont="1">
      <alignment horizontal="center" shrinkToFit="0" vertical="center" wrapText="1"/>
    </xf>
    <xf borderId="21" fillId="0" fontId="5" numFmtId="0" xfId="0" applyBorder="1" applyFont="1"/>
    <xf borderId="24" fillId="0" fontId="12" numFmtId="0" xfId="0" applyAlignment="1" applyBorder="1" applyFont="1">
      <alignment horizontal="center" shrinkToFit="0" vertical="center" wrapText="1"/>
    </xf>
    <xf borderId="19" fillId="0" fontId="1" numFmtId="165" xfId="0" applyAlignment="1" applyBorder="1" applyFont="1" applyNumberFormat="1">
      <alignment readingOrder="0"/>
    </xf>
    <xf borderId="25" fillId="0" fontId="5" numFmtId="0" xfId="0" applyBorder="1" applyFont="1"/>
    <xf borderId="26" fillId="0" fontId="5" numFmtId="0" xfId="0" applyBorder="1" applyFont="1"/>
    <xf borderId="25" fillId="0" fontId="1" numFmtId="0" xfId="0" applyBorder="1" applyFont="1"/>
    <xf borderId="25" fillId="0" fontId="1" numFmtId="4" xfId="0" applyAlignment="1" applyBorder="1" applyFont="1" applyNumberFormat="1">
      <alignment horizontal="center"/>
    </xf>
    <xf borderId="27" fillId="9" fontId="13" numFmtId="1" xfId="0" applyAlignment="1" applyBorder="1" applyFont="1" applyNumberFormat="1">
      <alignment horizontal="center"/>
    </xf>
    <xf borderId="28" fillId="5" fontId="1" numFmtId="0" xfId="0" applyBorder="1" applyFont="1"/>
    <xf borderId="29" fillId="9" fontId="13" numFmtId="1" xfId="0" applyAlignment="1" applyBorder="1" applyFont="1" applyNumberFormat="1">
      <alignment horizontal="center"/>
    </xf>
    <xf borderId="19" fillId="10" fontId="2" numFmtId="0" xfId="0" applyAlignment="1" applyBorder="1" applyFill="1" applyFont="1">
      <alignment horizontal="center" shrinkToFit="0" wrapText="1"/>
    </xf>
    <xf borderId="19" fillId="11" fontId="2" numFmtId="0" xfId="0" applyAlignment="1" applyBorder="1" applyFill="1" applyFont="1">
      <alignment horizontal="center" shrinkToFit="0" wrapText="1"/>
    </xf>
    <xf borderId="19" fillId="9" fontId="2" numFmtId="0" xfId="0" applyAlignment="1" applyBorder="1" applyFont="1">
      <alignment horizontal="center" shrinkToFit="0" wrapText="1"/>
    </xf>
    <xf borderId="11" fillId="12" fontId="1" numFmtId="165" xfId="0" applyBorder="1" applyFill="1" applyFont="1" applyNumberFormat="1"/>
    <xf borderId="25" fillId="0" fontId="1" numFmtId="14" xfId="0" applyAlignment="1" applyBorder="1" applyFont="1" applyNumberFormat="1">
      <alignment horizontal="left"/>
    </xf>
    <xf borderId="30" fillId="9" fontId="2" numFmtId="0" xfId="0" applyAlignment="1" applyBorder="1" applyFont="1">
      <alignment horizontal="center" shrinkToFit="0" wrapText="1"/>
    </xf>
    <xf borderId="0" fillId="13" fontId="1" numFmtId="0" xfId="0" applyAlignment="1" applyFill="1" applyFont="1">
      <alignment horizontal="right" readingOrder="0"/>
    </xf>
    <xf borderId="19" fillId="9" fontId="2" numFmtId="0" xfId="0" applyAlignment="1" applyBorder="1" applyFont="1">
      <alignment horizontal="center" shrinkToFit="0" wrapText="1"/>
    </xf>
    <xf borderId="31" fillId="0" fontId="1" numFmtId="14" xfId="0" applyAlignment="1" applyBorder="1" applyFont="1" applyNumberFormat="1">
      <alignment horizontal="left"/>
    </xf>
    <xf borderId="31" fillId="0" fontId="6" numFmtId="0" xfId="0" applyBorder="1" applyFont="1"/>
    <xf borderId="11" fillId="9" fontId="1" numFmtId="0" xfId="0" applyBorder="1" applyFont="1"/>
    <xf borderId="19" fillId="14" fontId="13" numFmtId="1" xfId="0" applyAlignment="1" applyBorder="1" applyFill="1" applyFont="1" applyNumberFormat="1">
      <alignment horizontal="center"/>
    </xf>
    <xf borderId="19" fillId="9" fontId="1" numFmtId="165" xfId="0" applyBorder="1" applyFont="1" applyNumberFormat="1"/>
    <xf borderId="19" fillId="9" fontId="1" numFmtId="165" xfId="0" applyAlignment="1" applyBorder="1" applyFont="1" applyNumberFormat="1">
      <alignment readingOrder="0"/>
    </xf>
    <xf borderId="19" fillId="15" fontId="1" numFmtId="165" xfId="0" applyAlignment="1" applyBorder="1" applyFill="1" applyFont="1" applyNumberFormat="1">
      <alignment readingOrder="0"/>
    </xf>
    <xf borderId="19" fillId="13" fontId="1" numFmtId="165" xfId="0" applyAlignment="1" applyBorder="1" applyFont="1" applyNumberFormat="1">
      <alignment readingOrder="0"/>
    </xf>
    <xf borderId="32" fillId="0" fontId="1" numFmtId="14" xfId="0" applyAlignment="1" applyBorder="1" applyFont="1" applyNumberFormat="1">
      <alignment horizontal="left"/>
    </xf>
    <xf borderId="32" fillId="0" fontId="1" numFmtId="0" xfId="0" applyBorder="1" applyFont="1"/>
    <xf borderId="31" fillId="0" fontId="1" numFmtId="0" xfId="0" applyBorder="1" applyFont="1"/>
    <xf borderId="31" fillId="0" fontId="1" numFmtId="4" xfId="0" applyAlignment="1" applyBorder="1" applyFont="1" applyNumberFormat="1">
      <alignment horizontal="center"/>
    </xf>
    <xf borderId="32" fillId="0" fontId="1" numFmtId="4" xfId="0" applyAlignment="1" applyBorder="1" applyFont="1" applyNumberFormat="1">
      <alignment horizontal="center"/>
    </xf>
    <xf borderId="19" fillId="14" fontId="13" numFmtId="0" xfId="0" applyAlignment="1" applyBorder="1" applyFont="1">
      <alignment horizontal="center"/>
    </xf>
    <xf borderId="19" fillId="16" fontId="14" numFmtId="1" xfId="0" applyAlignment="1" applyBorder="1" applyFill="1" applyFont="1" applyNumberFormat="1">
      <alignment horizontal="center"/>
    </xf>
    <xf borderId="19" fillId="16" fontId="15" numFmtId="1" xfId="0" applyAlignment="1" applyBorder="1" applyFont="1" applyNumberFormat="1">
      <alignment horizontal="right"/>
    </xf>
    <xf borderId="19" fillId="16" fontId="15" numFmtId="165" xfId="0" applyAlignment="1" applyBorder="1" applyFont="1" applyNumberFormat="1">
      <alignment horizontal="center"/>
    </xf>
    <xf borderId="33" fillId="16" fontId="15" numFmtId="165" xfId="0" applyAlignment="1" applyBorder="1" applyFont="1" applyNumberFormat="1">
      <alignment horizontal="center"/>
    </xf>
    <xf borderId="11" fillId="10" fontId="16" numFmtId="2" xfId="0" applyBorder="1" applyFont="1" applyNumberFormat="1"/>
    <xf borderId="19" fillId="17" fontId="16" numFmtId="2" xfId="0" applyAlignment="1" applyBorder="1" applyFill="1" applyFont="1" applyNumberFormat="1">
      <alignment horizontal="center"/>
    </xf>
    <xf borderId="11" fillId="16" fontId="15" numFmtId="165" xfId="0" applyAlignment="1" applyBorder="1" applyFont="1" applyNumberFormat="1">
      <alignment horizontal="center"/>
    </xf>
    <xf borderId="19" fillId="0" fontId="1" numFmtId="0" xfId="0" applyBorder="1" applyFont="1"/>
    <xf borderId="11" fillId="16" fontId="15" numFmtId="165" xfId="0" applyAlignment="1" applyBorder="1" applyFont="1" applyNumberFormat="1">
      <alignment horizontal="right"/>
    </xf>
    <xf borderId="19" fillId="16" fontId="1" numFmtId="0" xfId="0" applyAlignment="1" applyBorder="1" applyFont="1">
      <alignment horizontal="right" readingOrder="0"/>
    </xf>
    <xf borderId="29" fillId="18" fontId="16" numFmtId="2" xfId="0" applyAlignment="1" applyBorder="1" applyFill="1" applyFont="1" applyNumberFormat="1">
      <alignment horizontal="right"/>
    </xf>
    <xf borderId="27" fillId="16" fontId="14" numFmtId="1" xfId="0" applyAlignment="1" applyBorder="1" applyFont="1" applyNumberFormat="1">
      <alignment horizontal="center"/>
    </xf>
    <xf borderId="29" fillId="16" fontId="14" numFmtId="1" xfId="0" applyAlignment="1" applyBorder="1" applyFont="1" applyNumberFormat="1">
      <alignment horizontal="center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6" numFmtId="164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32" fillId="0" fontId="16" numFmtId="0" xfId="0" applyAlignment="1" applyBorder="1" applyFont="1">
      <alignment readingOrder="0" shrinkToFit="0" vertical="bottom" wrapText="0"/>
    </xf>
    <xf borderId="32" fillId="0" fontId="16" numFmtId="0" xfId="0" applyAlignment="1" applyBorder="1" applyFont="1">
      <alignment horizontal="center" readingOrder="0" shrinkToFit="0" vertical="bottom" wrapText="0"/>
    </xf>
    <xf borderId="32" fillId="0" fontId="3" numFmtId="0" xfId="0" applyBorder="1" applyFont="1"/>
    <xf borderId="19" fillId="9" fontId="14" numFmtId="1" xfId="0" applyAlignment="1" applyBorder="1" applyFont="1" applyNumberFormat="1">
      <alignment horizontal="center"/>
    </xf>
    <xf borderId="32" fillId="0" fontId="16" numFmtId="164" xfId="0" applyAlignment="1" applyBorder="1" applyFont="1" applyNumberFormat="1">
      <alignment shrinkToFit="0" vertical="bottom" wrapText="0"/>
    </xf>
    <xf borderId="32" fillId="0" fontId="16" numFmtId="0" xfId="0" applyAlignment="1" applyBorder="1" applyFont="1">
      <alignment shrinkToFit="0" vertical="bottom" wrapText="0"/>
    </xf>
    <xf borderId="11" fillId="16" fontId="15" numFmtId="165" xfId="0" applyBorder="1" applyFont="1" applyNumberFormat="1"/>
    <xf borderId="19" fillId="16" fontId="1" numFmtId="165" xfId="0" applyBorder="1" applyFont="1" applyNumberFormat="1"/>
    <xf borderId="19" fillId="16" fontId="15" numFmtId="0" xfId="0" applyAlignment="1" applyBorder="1" applyFont="1">
      <alignment horizontal="right"/>
    </xf>
    <xf borderId="19" fillId="16" fontId="1" numFmtId="0" xfId="0" applyAlignment="1" applyBorder="1" applyFont="1">
      <alignment horizontal="right"/>
    </xf>
    <xf borderId="19" fillId="16" fontId="15" numFmtId="165" xfId="0" applyBorder="1" applyFont="1" applyNumberFormat="1"/>
    <xf borderId="19" fillId="17" fontId="16" numFmtId="165" xfId="0" applyAlignment="1" applyBorder="1" applyFont="1" applyNumberFormat="1">
      <alignment horizontal="center"/>
    </xf>
    <xf borderId="19" fillId="19" fontId="14" numFmtId="1" xfId="0" applyAlignment="1" applyBorder="1" applyFill="1" applyFont="1" applyNumberFormat="1">
      <alignment horizontal="center"/>
    </xf>
    <xf borderId="19" fillId="19" fontId="1" numFmtId="0" xfId="0" applyAlignment="1" applyBorder="1" applyFont="1">
      <alignment horizontal="right"/>
    </xf>
    <xf borderId="0" fillId="19" fontId="1" numFmtId="165" xfId="0" applyFont="1" applyNumberFormat="1"/>
    <xf borderId="0" fillId="19" fontId="1" numFmtId="165" xfId="0" applyAlignment="1" applyFont="1" applyNumberFormat="1">
      <alignment horizontal="right"/>
    </xf>
    <xf borderId="19" fillId="19" fontId="1" numFmtId="165" xfId="0" applyBorder="1" applyFont="1" applyNumberFormat="1"/>
    <xf borderId="19" fillId="19" fontId="1" numFmtId="165" xfId="0" applyAlignment="1" applyBorder="1" applyFont="1" applyNumberFormat="1">
      <alignment readingOrder="0"/>
    </xf>
    <xf borderId="27" fillId="19" fontId="13" numFmtId="1" xfId="0" applyAlignment="1" applyBorder="1" applyFont="1" applyNumberFormat="1">
      <alignment horizontal="center"/>
    </xf>
    <xf borderId="29" fillId="19" fontId="13" numFmtId="1" xfId="0" applyAlignment="1" applyBorder="1" applyFont="1" applyNumberFormat="1">
      <alignment horizontal="center"/>
    </xf>
    <xf borderId="0" fillId="0" fontId="3" numFmtId="0" xfId="0" applyFont="1"/>
    <xf borderId="0" fillId="0" fontId="1" numFmtId="0" xfId="0" applyAlignment="1" applyFont="1">
      <alignment horizontal="right"/>
    </xf>
    <xf borderId="0" fillId="0" fontId="10" numFmtId="2" xfId="0" applyAlignment="1" applyFont="1" applyNumberFormat="1">
      <alignment horizontal="right"/>
    </xf>
    <xf borderId="11" fillId="5" fontId="1" numFmtId="165" xfId="0" applyBorder="1" applyFont="1" applyNumberFormat="1"/>
    <xf borderId="19" fillId="5" fontId="13" numFmtId="1" xfId="0" applyAlignment="1" applyBorder="1" applyFont="1" applyNumberFormat="1">
      <alignment horizontal="center" readingOrder="0"/>
    </xf>
    <xf borderId="19" fillId="5" fontId="1" numFmtId="0" xfId="0" applyAlignment="1" applyBorder="1" applyFont="1">
      <alignment horizontal="right" readingOrder="0"/>
    </xf>
    <xf borderId="19" fillId="17" fontId="16" numFmtId="0" xfId="0" applyAlignment="1" applyBorder="1" applyFont="1">
      <alignment horizontal="center"/>
    </xf>
    <xf borderId="11" fillId="5" fontId="1" numFmtId="165" xfId="0" applyAlignment="1" applyBorder="1" applyFont="1" applyNumberFormat="1">
      <alignment horizontal="right"/>
    </xf>
    <xf borderId="19" fillId="5" fontId="1" numFmtId="0" xfId="0" applyAlignment="1" applyBorder="1" applyFont="1">
      <alignment horizontal="right"/>
    </xf>
    <xf borderId="19" fillId="5" fontId="1" numFmtId="165" xfId="0" applyBorder="1" applyFont="1" applyNumberFormat="1"/>
    <xf borderId="19" fillId="5" fontId="1" numFmtId="165" xfId="0" applyAlignment="1" applyBorder="1" applyFont="1" applyNumberFormat="1">
      <alignment readingOrder="0"/>
    </xf>
    <xf borderId="27" fillId="5" fontId="13" numFmtId="1" xfId="0" applyAlignment="1" applyBorder="1" applyFont="1" applyNumberFormat="1">
      <alignment horizontal="center"/>
    </xf>
    <xf borderId="29" fillId="5" fontId="13" numFmtId="1" xfId="0" applyAlignment="1" applyBorder="1" applyFont="1" applyNumberFormat="1">
      <alignment horizontal="center" readingOrder="0"/>
    </xf>
    <xf borderId="19" fillId="15" fontId="1" numFmtId="165" xfId="0" applyBorder="1" applyFont="1" applyNumberFormat="1"/>
    <xf borderId="11" fillId="5" fontId="17" numFmtId="0" xfId="0" applyBorder="1" applyFont="1"/>
    <xf borderId="11" fillId="5" fontId="17" numFmtId="0" xfId="0" applyAlignment="1" applyBorder="1" applyFont="1">
      <alignment horizontal="center"/>
    </xf>
    <xf borderId="11" fillId="5" fontId="17" numFmtId="2" xfId="0" applyAlignment="1" applyBorder="1" applyFont="1" applyNumberFormat="1">
      <alignment horizontal="center"/>
    </xf>
    <xf borderId="19" fillId="16" fontId="13" numFmtId="1" xfId="0" applyAlignment="1" applyBorder="1" applyFont="1" applyNumberFormat="1">
      <alignment horizontal="center"/>
    </xf>
    <xf borderId="19" fillId="16" fontId="1" numFmtId="0" xfId="0" applyBorder="1" applyFont="1"/>
    <xf borderId="13" fillId="0" fontId="18" numFmtId="0" xfId="0" applyAlignment="1" applyBorder="1" applyFont="1">
      <alignment horizontal="center"/>
    </xf>
    <xf borderId="15" fillId="0" fontId="18" numFmtId="0" xfId="0" applyAlignment="1" applyBorder="1" applyFont="1">
      <alignment horizontal="left"/>
    </xf>
    <xf borderId="17" fillId="0" fontId="17" numFmtId="0" xfId="0" applyAlignment="1" applyBorder="1" applyFont="1">
      <alignment horizontal="center"/>
    </xf>
    <xf borderId="15" fillId="0" fontId="18" numFmtId="0" xfId="0" applyAlignment="1" applyBorder="1" applyFont="1">
      <alignment horizontal="center"/>
    </xf>
    <xf borderId="17" fillId="0" fontId="17" numFmtId="2" xfId="0" applyAlignment="1" applyBorder="1" applyFont="1" applyNumberFormat="1">
      <alignment horizontal="center"/>
    </xf>
    <xf borderId="20" fillId="0" fontId="19" numFmtId="0" xfId="0" applyBorder="1" applyFont="1"/>
    <xf borderId="0" fillId="0" fontId="17" numFmtId="0" xfId="0" applyFont="1"/>
    <xf borderId="21" fillId="0" fontId="17" numFmtId="0" xfId="0" applyAlignment="1" applyBorder="1" applyFont="1">
      <alignment horizontal="center"/>
    </xf>
    <xf borderId="21" fillId="0" fontId="17" numFmtId="2" xfId="0" applyAlignment="1" applyBorder="1" applyFont="1" applyNumberFormat="1">
      <alignment horizontal="center"/>
    </xf>
    <xf borderId="20" fillId="0" fontId="20" numFmtId="0" xfId="0" applyBorder="1" applyFont="1"/>
    <xf borderId="0" fillId="0" fontId="1" numFmtId="0" xfId="0" applyAlignment="1" applyFont="1">
      <alignment horizontal="right" readingOrder="0"/>
    </xf>
    <xf borderId="0" fillId="0" fontId="21" numFmtId="1" xfId="0" applyFont="1" applyNumberFormat="1"/>
    <xf borderId="21" fillId="0" fontId="21" numFmtId="0" xfId="0" applyAlignment="1" applyBorder="1" applyFont="1">
      <alignment horizontal="center"/>
    </xf>
    <xf borderId="21" fillId="0" fontId="21" numFmtId="2" xfId="0" applyAlignment="1" applyBorder="1" applyFont="1" applyNumberFormat="1">
      <alignment horizontal="center"/>
    </xf>
    <xf borderId="0" fillId="0" fontId="22" numFmtId="0" xfId="0" applyFont="1"/>
    <xf borderId="0" fillId="0" fontId="1" numFmtId="165" xfId="0" applyAlignment="1" applyFont="1" applyNumberFormat="1">
      <alignment readingOrder="0"/>
    </xf>
    <xf borderId="0" fillId="0" fontId="12" numFmtId="0" xfId="0" applyAlignment="1" applyFont="1">
      <alignment horizontal="right"/>
    </xf>
    <xf borderId="0" fillId="0" fontId="21" numFmtId="0" xfId="0" applyFont="1"/>
    <xf borderId="20" fillId="0" fontId="20" numFmtId="0" xfId="0" applyAlignment="1" applyBorder="1" applyFont="1">
      <alignment horizontal="left" shrinkToFit="0" wrapText="1"/>
    </xf>
    <xf borderId="0" fillId="0" fontId="12" numFmtId="2" xfId="0" applyAlignment="1" applyFont="1" applyNumberFormat="1">
      <alignment horizontal="center"/>
    </xf>
    <xf borderId="21" fillId="0" fontId="12" numFmtId="2" xfId="0" applyAlignment="1" applyBorder="1" applyFont="1" applyNumberFormat="1">
      <alignment horizontal="center"/>
    </xf>
    <xf borderId="0" fillId="0" fontId="1" numFmtId="0" xfId="0" applyAlignment="1" applyFont="1">
      <alignment shrinkToFit="0" wrapText="1"/>
    </xf>
    <xf borderId="24" fillId="0" fontId="20" numFmtId="0" xfId="0" applyBorder="1" applyFont="1"/>
    <xf borderId="25" fillId="0" fontId="17" numFmtId="0" xfId="0" applyBorder="1" applyFont="1"/>
    <xf borderId="26" fillId="0" fontId="17" numFmtId="0" xfId="0" applyAlignment="1" applyBorder="1" applyFont="1">
      <alignment horizontal="center"/>
    </xf>
    <xf borderId="24" fillId="0" fontId="19" numFmtId="0" xfId="0" applyBorder="1" applyFont="1"/>
    <xf borderId="26" fillId="0" fontId="17" numFmtId="2" xfId="0" applyAlignment="1" applyBorder="1" applyFont="1" applyNumberFormat="1">
      <alignment horizontal="center"/>
    </xf>
    <xf borderId="0" fillId="0" fontId="23" numFmtId="0" xfId="0" applyFont="1"/>
    <xf borderId="0" fillId="0" fontId="24" numFmtId="0" xfId="0" applyFont="1"/>
    <xf borderId="5" fillId="20" fontId="23" numFmtId="0" xfId="0" applyAlignment="1" applyBorder="1" applyFill="1" applyFont="1">
      <alignment horizontal="center"/>
    </xf>
    <xf borderId="5" fillId="21" fontId="25" numFmtId="0" xfId="0" applyAlignment="1" applyBorder="1" applyFill="1" applyFont="1">
      <alignment horizontal="center"/>
    </xf>
    <xf borderId="34" fillId="0" fontId="5" numFmtId="0" xfId="0" applyBorder="1" applyFont="1"/>
    <xf borderId="35" fillId="21" fontId="25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11" fillId="22" fontId="26" numFmtId="0" xfId="0" applyAlignment="1" applyBorder="1" applyFill="1" applyFont="1">
      <alignment horizontal="center"/>
    </xf>
    <xf borderId="36" fillId="22" fontId="26" numFmtId="0" xfId="0" applyAlignment="1" applyBorder="1" applyFont="1">
      <alignment horizontal="center"/>
    </xf>
    <xf borderId="0" fillId="0" fontId="12" numFmtId="0" xfId="0" applyAlignment="1" applyFont="1">
      <alignment horizontal="left"/>
    </xf>
    <xf borderId="11" fillId="22" fontId="27" numFmtId="0" xfId="0" applyAlignment="1" applyBorder="1" applyFont="1">
      <alignment horizontal="center" readingOrder="0"/>
    </xf>
    <xf borderId="0" fillId="22" fontId="27" numFmtId="0" xfId="0" applyAlignment="1" applyFont="1">
      <alignment horizontal="center" readingOrder="0"/>
    </xf>
    <xf borderId="19" fillId="11" fontId="23" numFmtId="0" xfId="0" applyAlignment="1" applyBorder="1" applyFont="1">
      <alignment horizontal="center"/>
    </xf>
    <xf borderId="19" fillId="11" fontId="23" numFmtId="0" xfId="0" applyBorder="1" applyFont="1"/>
    <xf borderId="19" fillId="0" fontId="24" numFmtId="0" xfId="0" applyAlignment="1" applyBorder="1" applyFont="1">
      <alignment horizontal="center" shrinkToFit="0" wrapText="1"/>
    </xf>
    <xf borderId="37" fillId="0" fontId="28" numFmtId="0" xfId="0" applyAlignment="1" applyBorder="1" applyFont="1">
      <alignment horizontal="center" shrinkToFit="0" wrapText="1"/>
    </xf>
    <xf borderId="27" fillId="0" fontId="28" numFmtId="0" xfId="0" applyAlignment="1" applyBorder="1" applyFont="1">
      <alignment horizontal="center" shrinkToFit="0" wrapText="1"/>
    </xf>
    <xf borderId="19" fillId="0" fontId="28" numFmtId="0" xfId="0" applyAlignment="1" applyBorder="1" applyFont="1">
      <alignment horizontal="left" shrinkToFit="0" wrapText="1"/>
    </xf>
    <xf borderId="19" fillId="0" fontId="28" numFmtId="14" xfId="0" applyAlignment="1" applyBorder="1" applyFont="1" applyNumberFormat="1">
      <alignment horizontal="left" shrinkToFit="0" wrapText="1"/>
    </xf>
    <xf borderId="16" fillId="0" fontId="28" numFmtId="14" xfId="0" applyAlignment="1" applyBorder="1" applyFont="1" applyNumberFormat="1">
      <alignment horizontal="left" shrinkToFit="0" wrapText="1"/>
    </xf>
    <xf borderId="38" fillId="0" fontId="28" numFmtId="14" xfId="0" applyAlignment="1" applyBorder="1" applyFont="1" applyNumberFormat="1">
      <alignment horizontal="left" shrinkToFit="0" wrapText="1"/>
    </xf>
    <xf borderId="22" fillId="0" fontId="28" numFmtId="14" xfId="0" applyAlignment="1" applyBorder="1" applyFont="1" applyNumberFormat="1">
      <alignment horizontal="left" shrinkToFit="0" wrapText="1"/>
    </xf>
    <xf borderId="22" fillId="0" fontId="28" numFmtId="0" xfId="0" applyAlignment="1" applyBorder="1" applyFont="1">
      <alignment horizontal="left" readingOrder="0" shrinkToFit="0" wrapText="1"/>
    </xf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19" fillId="9" fontId="23" numFmtId="1" xfId="0" applyAlignment="1" applyBorder="1" applyFont="1" applyNumberFormat="1">
      <alignment horizontal="center"/>
    </xf>
    <xf borderId="19" fillId="0" fontId="24" numFmtId="0" xfId="0" applyBorder="1" applyFont="1"/>
    <xf borderId="19" fillId="9" fontId="24" numFmtId="0" xfId="0" applyAlignment="1" applyBorder="1" applyFont="1">
      <alignment horizontal="right"/>
    </xf>
    <xf borderId="29" fillId="9" fontId="24" numFmtId="0" xfId="0" applyAlignment="1" applyBorder="1" applyFont="1">
      <alignment horizontal="right"/>
    </xf>
    <xf borderId="27" fillId="0" fontId="24" numFmtId="2" xfId="0" applyAlignment="1" applyBorder="1" applyFont="1" applyNumberFormat="1">
      <alignment horizontal="right" readingOrder="0"/>
    </xf>
    <xf borderId="19" fillId="0" fontId="24" numFmtId="2" xfId="0" applyAlignment="1" applyBorder="1" applyFont="1" applyNumberFormat="1">
      <alignment horizontal="right"/>
    </xf>
    <xf borderId="22" fillId="0" fontId="24" numFmtId="2" xfId="0" applyAlignment="1" applyBorder="1" applyFont="1" applyNumberFormat="1">
      <alignment horizontal="right"/>
    </xf>
    <xf borderId="19" fillId="0" fontId="24" numFmtId="2" xfId="0" applyBorder="1" applyFont="1" applyNumberFormat="1"/>
    <xf borderId="22" fillId="0" fontId="24" numFmtId="2" xfId="0" applyBorder="1" applyFont="1" applyNumberFormat="1"/>
    <xf borderId="22" fillId="0" fontId="6" numFmtId="4" xfId="0" applyAlignment="1" applyBorder="1" applyFont="1" applyNumberFormat="1">
      <alignment vertical="bottom"/>
    </xf>
    <xf borderId="0" fillId="0" fontId="29" numFmtId="4" xfId="0" applyAlignment="1" applyFont="1" applyNumberFormat="1">
      <alignment horizontal="right" vertical="bottom"/>
    </xf>
    <xf borderId="0" fillId="0" fontId="30" numFmtId="4" xfId="0" applyFont="1" applyNumberFormat="1"/>
    <xf borderId="19" fillId="0" fontId="24" numFmtId="2" xfId="0" applyAlignment="1" applyBorder="1" applyFont="1" applyNumberFormat="1">
      <alignment horizontal="right" readingOrder="0"/>
    </xf>
    <xf borderId="19" fillId="19" fontId="23" numFmtId="1" xfId="0" applyAlignment="1" applyBorder="1" applyFont="1" applyNumberFormat="1">
      <alignment horizontal="center"/>
    </xf>
    <xf borderId="19" fillId="19" fontId="24" numFmtId="0" xfId="0" applyBorder="1" applyFont="1"/>
    <xf borderId="19" fillId="19" fontId="24" numFmtId="0" xfId="0" applyAlignment="1" applyBorder="1" applyFont="1">
      <alignment horizontal="right"/>
    </xf>
    <xf borderId="29" fillId="19" fontId="24" numFmtId="0" xfId="0" applyAlignment="1" applyBorder="1" applyFont="1">
      <alignment horizontal="right"/>
    </xf>
    <xf borderId="29" fillId="19" fontId="24" numFmtId="0" xfId="0" applyAlignment="1" applyBorder="1" applyFont="1">
      <alignment horizontal="right" readingOrder="0"/>
    </xf>
    <xf borderId="27" fillId="19" fontId="24" numFmtId="2" xfId="0" applyAlignment="1" applyBorder="1" applyFont="1" applyNumberFormat="1">
      <alignment horizontal="right" readingOrder="0"/>
    </xf>
    <xf borderId="19" fillId="19" fontId="24" numFmtId="2" xfId="0" applyAlignment="1" applyBorder="1" applyFont="1" applyNumberFormat="1">
      <alignment horizontal="right"/>
    </xf>
    <xf borderId="22" fillId="19" fontId="24" numFmtId="2" xfId="0" applyAlignment="1" applyBorder="1" applyFont="1" applyNumberFormat="1">
      <alignment horizontal="right"/>
    </xf>
    <xf borderId="19" fillId="19" fontId="24" numFmtId="2" xfId="0" applyBorder="1" applyFont="1" applyNumberFormat="1"/>
    <xf borderId="22" fillId="19" fontId="24" numFmtId="2" xfId="0" applyBorder="1" applyFont="1" applyNumberFormat="1"/>
    <xf borderId="22" fillId="19" fontId="6" numFmtId="4" xfId="0" applyAlignment="1" applyBorder="1" applyFont="1" applyNumberFormat="1">
      <alignment vertical="bottom"/>
    </xf>
    <xf borderId="0" fillId="19" fontId="30" numFmtId="4" xfId="0" applyFont="1" applyNumberFormat="1"/>
    <xf borderId="35" fillId="5" fontId="20" numFmtId="0" xfId="0" applyBorder="1" applyFont="1"/>
    <xf borderId="39" fillId="5" fontId="17" numFmtId="0" xfId="0" applyAlignment="1" applyBorder="1" applyFont="1">
      <alignment horizontal="center"/>
    </xf>
    <xf borderId="35" fillId="5" fontId="19" numFmtId="0" xfId="0" applyBorder="1" applyFont="1"/>
    <xf borderId="39" fillId="5" fontId="17" numFmtId="2" xfId="0" applyAlignment="1" applyBorder="1" applyFont="1" applyNumberFormat="1">
      <alignment horizontal="center"/>
    </xf>
    <xf borderId="29" fillId="9" fontId="24" numFmtId="0" xfId="0" applyAlignment="1" applyBorder="1" applyFont="1">
      <alignment horizontal="right" readingOrder="0"/>
    </xf>
    <xf borderId="19" fillId="16" fontId="23" numFmtId="1" xfId="0" applyAlignment="1" applyBorder="1" applyFont="1" applyNumberFormat="1">
      <alignment horizontal="center"/>
    </xf>
    <xf borderId="19" fillId="16" fontId="24" numFmtId="0" xfId="0" applyBorder="1" applyFont="1"/>
    <xf borderId="19" fillId="16" fontId="24" numFmtId="0" xfId="0" applyAlignment="1" applyBorder="1" applyFont="1">
      <alignment horizontal="right"/>
    </xf>
    <xf borderId="19" fillId="23" fontId="24" numFmtId="2" xfId="0" applyBorder="1" applyFill="1" applyFont="1" applyNumberFormat="1"/>
    <xf borderId="22" fillId="23" fontId="24" numFmtId="2" xfId="0" applyBorder="1" applyFont="1" applyNumberFormat="1"/>
    <xf borderId="22" fillId="23" fontId="6" numFmtId="4" xfId="0" applyAlignment="1" applyBorder="1" applyFont="1" applyNumberFormat="1">
      <alignment vertical="bottom"/>
    </xf>
    <xf borderId="40" fillId="0" fontId="17" numFmtId="0" xfId="0" applyAlignment="1" applyBorder="1" applyFont="1">
      <alignment horizontal="center"/>
    </xf>
    <xf borderId="41" fillId="0" fontId="17" numFmtId="0" xfId="0" applyAlignment="1" applyBorder="1" applyFont="1">
      <alignment horizontal="center"/>
    </xf>
    <xf borderId="0" fillId="0" fontId="19" numFmtId="0" xfId="0" applyFont="1"/>
    <xf borderId="41" fillId="0" fontId="21" numFmtId="0" xfId="0" applyAlignment="1" applyBorder="1" applyFont="1">
      <alignment horizontal="center"/>
    </xf>
    <xf borderId="0" fillId="0" fontId="20" numFmtId="0" xfId="0" applyFont="1"/>
    <xf borderId="41" fillId="0" fontId="12" numFmtId="2" xfId="0" applyAlignment="1" applyBorder="1" applyFont="1" applyNumberFormat="1">
      <alignment horizontal="center"/>
    </xf>
    <xf borderId="0" fillId="0" fontId="20" numFmtId="0" xfId="0" applyAlignment="1" applyFont="1">
      <alignment horizontal="left" shrinkToFit="0" wrapText="1"/>
    </xf>
    <xf borderId="42" fillId="0" fontId="17" numFmtId="0" xfId="0" applyAlignment="1" applyBorder="1" applyFont="1">
      <alignment horizontal="center"/>
    </xf>
    <xf borderId="25" fillId="0" fontId="19" numFmtId="0" xfId="0" applyBorder="1" applyFont="1"/>
    <xf borderId="19" fillId="0" fontId="24" numFmtId="0" xfId="0" applyAlignment="1" applyBorder="1" applyFont="1">
      <alignment readingOrder="0"/>
    </xf>
    <xf borderId="21" fillId="0" fontId="20" numFmtId="0" xfId="0" applyAlignment="1" applyBorder="1" applyFont="1">
      <alignment horizontal="center"/>
    </xf>
    <xf borderId="0" fillId="0" fontId="21" numFmtId="0" xfId="0" applyAlignment="1" applyFont="1">
      <alignment horizontal="right"/>
    </xf>
    <xf borderId="19" fillId="5" fontId="23" numFmtId="1" xfId="0" applyAlignment="1" applyBorder="1" applyFont="1" applyNumberFormat="1">
      <alignment horizontal="center"/>
    </xf>
    <xf borderId="19" fillId="5" fontId="24" numFmtId="0" xfId="0" applyBorder="1" applyFont="1"/>
    <xf borderId="19" fillId="5" fontId="24" numFmtId="0" xfId="0" applyAlignment="1" applyBorder="1" applyFont="1">
      <alignment horizontal="right"/>
    </xf>
    <xf borderId="19" fillId="5" fontId="24" numFmtId="2" xfId="0" applyAlignment="1" applyBorder="1" applyFont="1" applyNumberFormat="1">
      <alignment horizontal="right"/>
    </xf>
    <xf borderId="33" fillId="5" fontId="24" numFmtId="2" xfId="0" applyAlignment="1" applyBorder="1" applyFont="1" applyNumberFormat="1">
      <alignment horizontal="right"/>
    </xf>
    <xf borderId="26" fillId="0" fontId="19" numFmtId="0" xfId="0" applyAlignment="1" applyBorder="1" applyFont="1">
      <alignment horizontal="center"/>
    </xf>
    <xf borderId="0" fillId="0" fontId="21" numFmtId="166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19" fillId="5" fontId="23" numFmtId="1" xfId="0" applyAlignment="1" applyBorder="1" applyFont="1" applyNumberFormat="1">
      <alignment horizontal="center" readingOrder="0"/>
    </xf>
    <xf borderId="19" fillId="5" fontId="24" numFmtId="0" xfId="0" applyAlignment="1" applyBorder="1" applyFont="1">
      <alignment readingOrder="0"/>
    </xf>
    <xf borderId="29" fillId="5" fontId="24" numFmtId="0" xfId="0" applyAlignment="1" applyBorder="1" applyFont="1">
      <alignment horizontal="right"/>
    </xf>
    <xf borderId="27" fillId="5" fontId="24" numFmtId="2" xfId="0" applyAlignment="1" applyBorder="1" applyFont="1" applyNumberFormat="1">
      <alignment horizontal="right" readingOrder="0"/>
    </xf>
    <xf borderId="0" fillId="5" fontId="24" numFmtId="2" xfId="0" applyFont="1" applyNumberFormat="1"/>
    <xf borderId="0" fillId="5" fontId="3" numFmtId="2" xfId="0" applyFont="1" applyNumberFormat="1"/>
    <xf borderId="22" fillId="5" fontId="24" numFmtId="2" xfId="0" applyBorder="1" applyFont="1" applyNumberFormat="1"/>
    <xf borderId="22" fillId="5" fontId="6" numFmtId="4" xfId="0" applyAlignment="1" applyBorder="1" applyFont="1" applyNumberFormat="1">
      <alignment vertical="bottom"/>
    </xf>
    <xf borderId="0" fillId="5" fontId="30" numFmtId="4" xfId="0" applyFont="1" applyNumberFormat="1"/>
    <xf borderId="22" fillId="5" fontId="24" numFmtId="2" xfId="0" applyAlignment="1" applyBorder="1" applyFont="1" applyNumberFormat="1">
      <alignment horizontal="right"/>
    </xf>
    <xf borderId="19" fillId="5" fontId="24" numFmtId="2" xfId="0" applyBorder="1" applyFont="1" applyNumberFormat="1"/>
    <xf borderId="19" fillId="24" fontId="24" numFmtId="0" xfId="0" applyBorder="1" applyFill="1" applyFont="1"/>
    <xf borderId="19" fillId="16" fontId="25" numFmtId="1" xfId="0" applyAlignment="1" applyBorder="1" applyFont="1" applyNumberFormat="1">
      <alignment horizontal="center"/>
    </xf>
    <xf borderId="19" fillId="0" fontId="1" numFmtId="0" xfId="0" applyAlignment="1" applyBorder="1" applyFont="1">
      <alignment readingOrder="0"/>
    </xf>
    <xf borderId="27" fillId="0" fontId="24" numFmtId="2" xfId="0" applyAlignment="1" applyBorder="1" applyFont="1" applyNumberFormat="1">
      <alignment horizontal="right"/>
    </xf>
    <xf borderId="37" fillId="0" fontId="24" numFmtId="2" xfId="0" applyAlignment="1" applyBorder="1" applyFont="1" applyNumberFormat="1">
      <alignment horizontal="right"/>
    </xf>
    <xf borderId="19" fillId="23" fontId="24" numFmtId="2" xfId="0" applyAlignment="1" applyBorder="1" applyFont="1" applyNumberFormat="1">
      <alignment horizontal="right"/>
    </xf>
    <xf borderId="0" fillId="0" fontId="24" numFmtId="2" xfId="0" applyFont="1" applyNumberFormat="1"/>
    <xf borderId="0" fillId="0" fontId="1" numFmtId="2" xfId="0" applyFont="1" applyNumberFormat="1"/>
    <xf borderId="0" fillId="0" fontId="1" numFmtId="167" xfId="0" applyAlignment="1" applyFont="1" applyNumberFormat="1">
      <alignment readingOrder="0"/>
    </xf>
    <xf borderId="0" fillId="0" fontId="24" numFmtId="14" xfId="0" applyFont="1" applyNumberFormat="1"/>
    <xf borderId="0" fillId="0" fontId="23" numFmtId="0" xfId="0" applyAlignment="1" applyFont="1">
      <alignment horizontal="center"/>
    </xf>
    <xf borderId="11" fillId="25" fontId="26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0" fillId="0" fontId="24" numFmtId="0" xfId="0" applyAlignment="1" applyFont="1">
      <alignment horizontal="left"/>
    </xf>
    <xf borderId="0" fillId="0" fontId="1" numFmtId="1" xfId="0" applyFont="1" applyNumberFormat="1"/>
    <xf borderId="22" fillId="0" fontId="25" numFmtId="0" xfId="0" applyBorder="1" applyFont="1"/>
    <xf borderId="43" fillId="0" fontId="25" numFmtId="0" xfId="0" applyBorder="1" applyFont="1"/>
    <xf borderId="27" fillId="0" fontId="25" numFmtId="0" xfId="0" applyBorder="1" applyFont="1"/>
    <xf borderId="11" fillId="5" fontId="16" numFmtId="2" xfId="0" applyBorder="1" applyFont="1" applyNumberFormat="1"/>
    <xf borderId="19" fillId="5" fontId="16" numFmtId="2" xfId="0" applyAlignment="1" applyBorder="1" applyFont="1" applyNumberFormat="1">
      <alignment horizontal="center"/>
    </xf>
    <xf borderId="19" fillId="5" fontId="1" numFmtId="0" xfId="0" applyAlignment="1" applyBorder="1" applyFont="1">
      <alignment readingOrder="0"/>
    </xf>
    <xf borderId="29" fillId="5" fontId="16" numFmtId="2" xfId="0" applyAlignment="1" applyBorder="1" applyFont="1" applyNumberFormat="1">
      <alignment horizontal="right"/>
    </xf>
    <xf borderId="0" fillId="0" fontId="3" numFmtId="4" xfId="0" applyFont="1" applyNumberFormat="1"/>
    <xf borderId="0" fillId="0" fontId="24" numFmtId="4" xfId="0" applyFont="1" applyNumberFormat="1"/>
    <xf borderId="0" fillId="0" fontId="3" numFmtId="168" xfId="0" applyAlignment="1" applyFont="1" applyNumberFormat="1">
      <alignment readingOrder="0"/>
    </xf>
    <xf borderId="0" fillId="0" fontId="23" numFmtId="0" xfId="0" applyAlignment="1" applyFont="1">
      <alignment horizontal="center" readingOrder="0"/>
    </xf>
    <xf borderId="11" fillId="25" fontId="26" numFmtId="4" xfId="0" applyAlignment="1" applyBorder="1" applyFont="1" applyNumberFormat="1">
      <alignment vertical="center"/>
    </xf>
    <xf borderId="0" fillId="0" fontId="24" numFmtId="0" xfId="0" applyAlignment="1" applyFont="1">
      <alignment readingOrder="0"/>
    </xf>
    <xf borderId="0" fillId="0" fontId="24" numFmtId="0" xfId="0" applyAlignment="1" applyFont="1">
      <alignment horizontal="left" readingOrder="0"/>
    </xf>
    <xf borderId="43" fillId="0" fontId="25" numFmtId="4" xfId="0" applyBorder="1" applyFont="1" applyNumberFormat="1"/>
    <xf borderId="0" fillId="0" fontId="3" numFmtId="0" xfId="0" applyAlignment="1" applyFont="1">
      <alignment readingOrder="0"/>
    </xf>
    <xf borderId="0" fillId="0" fontId="31" numFmtId="4" xfId="0" applyAlignment="1" applyFont="1" applyNumberForma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32" numFmtId="0" xfId="0" applyAlignment="1" applyFont="1">
      <alignment readingOrder="0"/>
    </xf>
    <xf borderId="22" fillId="0" fontId="1" numFmtId="0" xfId="0" applyAlignment="1" applyBorder="1" applyFont="1">
      <alignment readingOrder="0"/>
    </xf>
    <xf borderId="43" fillId="0" fontId="1" numFmtId="0" xfId="0" applyAlignment="1" applyBorder="1" applyFont="1">
      <alignment readingOrder="0"/>
    </xf>
    <xf borderId="43" fillId="0" fontId="1" numFmtId="0" xfId="0" applyAlignment="1" applyBorder="1" applyFont="1">
      <alignment readingOrder="0"/>
    </xf>
    <xf borderId="43" fillId="0" fontId="1" numFmtId="0" xfId="0" applyBorder="1" applyFont="1"/>
    <xf borderId="43" fillId="0" fontId="1" numFmtId="0" xfId="0" applyAlignment="1" applyBorder="1" applyFont="1">
      <alignment readingOrder="0"/>
    </xf>
    <xf borderId="43" fillId="0" fontId="15" numFmtId="4" xfId="0" applyAlignment="1" applyBorder="1" applyFont="1" applyNumberFormat="1">
      <alignment readingOrder="0"/>
    </xf>
    <xf borderId="27" fillId="0" fontId="3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4" numFmtId="4" xfId="0" applyAlignment="1" applyFont="1" applyNumberFormat="1">
      <alignment readingOrder="0"/>
    </xf>
    <xf borderId="0" fillId="0" fontId="34" numFmtId="0" xfId="0" applyAlignment="1" applyFont="1">
      <alignment readingOrder="0"/>
    </xf>
    <xf borderId="0" fillId="0" fontId="33" numFmtId="4" xfId="0" applyAlignment="1" applyFont="1" applyNumberFormat="1">
      <alignment readingOrder="0"/>
    </xf>
    <xf borderId="0" fillId="0" fontId="31" numFmtId="0" xfId="0" applyFont="1"/>
    <xf borderId="0" fillId="0" fontId="33" numFmtId="4" xfId="0" applyFont="1" applyNumberFormat="1"/>
    <xf borderId="0" fillId="0" fontId="1" numFmtId="4" xfId="0" applyFont="1" applyNumberFormat="1"/>
    <xf borderId="0" fillId="0" fontId="1" numFmtId="169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35" numFmtId="0" xfId="0" applyAlignment="1" applyFont="1">
      <alignment readingOrder="0"/>
    </xf>
    <xf borderId="0" fillId="0" fontId="35" numFmtId="4" xfId="0" applyAlignment="1" applyFont="1" applyNumberFormat="1">
      <alignment readingOrder="0"/>
    </xf>
    <xf borderId="0" fillId="0" fontId="3" numFmtId="164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horizontal="right"/>
    </xf>
    <xf borderId="0" fillId="0" fontId="3" numFmtId="1" xfId="0" applyFont="1" applyNumberFormat="1"/>
    <xf borderId="0" fillId="0" fontId="3" numFmtId="164" xfId="0" applyFont="1" applyNumberFormat="1"/>
    <xf borderId="44" fillId="0" fontId="31" numFmtId="164" xfId="0" applyBorder="1" applyFont="1" applyNumberFormat="1"/>
    <xf borderId="0" fillId="0" fontId="3" numFmtId="0" xfId="0" applyAlignment="1" applyFont="1">
      <alignment horizontal="right"/>
    </xf>
    <xf borderId="0" fillId="26" fontId="3" numFmtId="0" xfId="0" applyAlignment="1" applyFill="1" applyFont="1">
      <alignment horizontal="right" readingOrder="0"/>
    </xf>
    <xf borderId="0" fillId="26" fontId="3" numFmtId="1" xfId="0" applyFont="1" applyNumberFormat="1"/>
    <xf borderId="0" fillId="26" fontId="3" numFmtId="164" xfId="0" applyAlignment="1" applyFont="1" applyNumberFormat="1">
      <alignment horizontal="right" readingOrder="0"/>
    </xf>
    <xf borderId="0" fillId="26" fontId="3" numFmtId="164" xfId="0" applyFont="1" applyNumberFormat="1"/>
    <xf borderId="0" fillId="15" fontId="3" numFmtId="164" xfId="0" applyAlignment="1" applyFont="1" applyNumberFormat="1">
      <alignment horizontal="right" readingOrder="0"/>
    </xf>
    <xf borderId="0" fillId="15" fontId="3" numFmtId="1" xfId="0" applyFont="1" applyNumberFormat="1"/>
    <xf borderId="0" fillId="15" fontId="3" numFmtId="164" xfId="0" applyFont="1" applyNumberFormat="1"/>
    <xf borderId="0" fillId="0" fontId="3" numFmtId="0" xfId="0" applyFont="1"/>
    <xf borderId="0" fillId="12" fontId="31" numFmtId="164" xfId="0" applyAlignment="1" applyFont="1" applyNumberFormat="1">
      <alignment horizontal="right"/>
    </xf>
    <xf borderId="0" fillId="27" fontId="3" numFmtId="164" xfId="0" applyAlignment="1" applyFill="1" applyFont="1" applyNumberFormat="1">
      <alignment horizontal="right"/>
    </xf>
    <xf borderId="0" fillId="0" fontId="3" numFmtId="4" xfId="0" applyAlignment="1" applyFont="1" applyNumberFormat="1">
      <alignment horizontal="right" readingOrder="0"/>
    </xf>
    <xf borderId="0" fillId="0" fontId="3" numFmtId="0" xfId="0" applyAlignment="1" applyFont="1">
      <alignment horizontal="right" readingOrder="0"/>
    </xf>
    <xf borderId="0" fillId="0" fontId="31" numFmtId="0" xfId="0" applyAlignment="1" applyFont="1">
      <alignment readingOrder="0"/>
    </xf>
    <xf borderId="19" fillId="10" fontId="13" numFmtId="2" xfId="0" applyBorder="1" applyFont="1" applyNumberFormat="1"/>
    <xf borderId="19" fillId="17" fontId="13" numFmtId="2" xfId="0" applyAlignment="1" applyBorder="1" applyFont="1" applyNumberFormat="1">
      <alignment horizontal="center"/>
    </xf>
    <xf borderId="19" fillId="15" fontId="2" numFmtId="0" xfId="0" applyBorder="1" applyFont="1"/>
    <xf borderId="19" fillId="9" fontId="1" numFmtId="0" xfId="0" applyBorder="1" applyFont="1"/>
    <xf borderId="19" fillId="9" fontId="2" numFmtId="0" xfId="0" applyBorder="1" applyFont="1"/>
    <xf borderId="11" fillId="18" fontId="13" numFmtId="2" xfId="0" applyAlignment="1" applyBorder="1" applyFont="1" applyNumberFormat="1">
      <alignment horizontal="right"/>
    </xf>
    <xf borderId="29" fillId="18" fontId="13" numFmtId="2" xfId="0" applyAlignment="1" applyBorder="1" applyFont="1" applyNumberFormat="1">
      <alignment horizontal="right"/>
    </xf>
    <xf borderId="11" fillId="9" fontId="2" numFmtId="2" xfId="0" applyBorder="1" applyFont="1" applyNumberFormat="1"/>
    <xf borderId="11" fillId="9" fontId="2" numFmtId="0" xfId="0" applyBorder="1" applyFont="1"/>
    <xf borderId="19" fillId="0" fontId="16" numFmtId="2" xfId="0" applyAlignment="1" applyBorder="1" applyFont="1" applyNumberFormat="1">
      <alignment horizontal="center"/>
    </xf>
    <xf borderId="11" fillId="9" fontId="1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theme="9"/>
      </font>
      <fill>
        <patternFill patternType="none"/>
      </fill>
      <border/>
    </dxf>
  </dxfs>
  <tableStyles count="2">
    <tableStyle count="3" pivot="0" name="Deuda Corriente-style">
      <tableStyleElement dxfId="1" type="headerRow"/>
      <tableStyleElement dxfId="2" type="firstRowStripe"/>
      <tableStyleElement dxfId="3" type="secondRowStripe"/>
    </tableStyle>
    <tableStyle count="3" pivot="0" name="Deuda Corriente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543050" cy="561975"/>
    <xdr:pic>
      <xdr:nvPicPr>
        <xdr:cNvPr descr="C:\Users\Marco\AppData\Local\Packages\Microsoft.Windows.Photos_8wekyb3d8bbwe\TempState\ShareServiceTempFolder\balta_logo_145.jpe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152400</xdr:colOff>
      <xdr:row>7</xdr:row>
      <xdr:rowOff>152400</xdr:rowOff>
    </xdr:from>
    <xdr:ext cx="2324100" cy="790575"/>
    <xdr:grpSp>
      <xdr:nvGrpSpPr>
        <xdr:cNvPr id="2" name="Shape 2" title="Dibujo"/>
        <xdr:cNvGrpSpPr/>
      </xdr:nvGrpSpPr>
      <xdr:grpSpPr>
        <a:xfrm>
          <a:off x="1377725" y="1417550"/>
          <a:ext cx="3592500" cy="1204200"/>
          <a:chOff x="1377725" y="1417550"/>
          <a:chExt cx="3592500" cy="1204200"/>
        </a:xfrm>
      </xdr:grpSpPr>
      <xdr:sp>
        <xdr:nvSpPr>
          <xdr:cNvPr id="3" name="Shape 3"/>
          <xdr:cNvSpPr/>
        </xdr:nvSpPr>
        <xdr:spPr>
          <a:xfrm>
            <a:off x="1377725" y="1417550"/>
            <a:ext cx="3592500" cy="120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173825" y="1727150"/>
            <a:ext cx="1811100" cy="585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600"/>
              <a:t>Make PDF</a:t>
            </a:r>
            <a:endParaRPr sz="2600"/>
          </a:p>
        </xdr:txBody>
      </xdr:sp>
    </xdr:grpSp>
    <xdr:clientData fLocksWithSheet="0"/>
  </xdr:oneCellAnchor>
  <xdr:oneCellAnchor>
    <xdr:from>
      <xdr:col>0</xdr:col>
      <xdr:colOff>85725</xdr:colOff>
      <xdr:row>0</xdr:row>
      <xdr:rowOff>38100</xdr:rowOff>
    </xdr:from>
    <xdr:ext cx="1685925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38100</xdr:rowOff>
    </xdr:from>
    <xdr:ext cx="1685925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0</xdr:row>
      <xdr:rowOff>180975</xdr:rowOff>
    </xdr:from>
    <xdr:ext cx="6848475" cy="2400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100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Deuda Corrien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1000" displayName="Table_2" name="Table_2" id="2">
  <tableColumns count="2">
    <tableColumn name="Apt." id="1"/>
    <tableColumn name="Gas Deuda" id="2"/>
  </tableColumns>
  <tableStyleInfo name="Deuda Corrient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1.22" defaultRowHeight="15.0"/>
  <cols>
    <col customWidth="1" min="1" max="2" width="14.11"/>
    <col customWidth="1" min="3" max="3" width="14.78"/>
    <col customWidth="1" min="4" max="4" width="35.11"/>
    <col customWidth="1" min="5" max="5" width="16.67"/>
    <col customWidth="1" min="6" max="19" width="11.0"/>
    <col customWidth="1" min="20" max="39" width="9.67"/>
    <col customWidth="1" min="40" max="41" width="10.44"/>
    <col customWidth="1" min="42" max="42" width="13.67"/>
    <col customWidth="1" min="43" max="43" width="9.67"/>
    <col customWidth="1" min="44" max="44" width="13.67"/>
    <col customWidth="1" min="45" max="45" width="9.67"/>
    <col customWidth="1" min="46" max="46" width="13.67"/>
    <col customWidth="1" min="47" max="47" width="9.67"/>
    <col customWidth="1" min="48" max="48" width="13.67"/>
    <col customWidth="1" min="49" max="49" width="9.67"/>
    <col customWidth="1" min="50" max="50" width="13.67"/>
    <col customWidth="1" min="51" max="51" width="9.67"/>
    <col customWidth="1" min="52" max="52" width="13.67"/>
    <col customWidth="1" min="53" max="53" width="9.67"/>
    <col customWidth="1" min="54" max="54" width="13.67"/>
    <col customWidth="1" min="55" max="55" width="9.67"/>
    <col customWidth="1" min="56" max="56" width="13.67"/>
    <col customWidth="1" min="57" max="57" width="9.67"/>
    <col customWidth="1" min="58" max="58" width="13.67"/>
    <col customWidth="1" min="59" max="59" width="9.67"/>
    <col customWidth="1" min="60" max="60" width="13.67"/>
    <col customWidth="1" min="61" max="61" width="9.67"/>
    <col customWidth="1" min="62" max="62" width="13.67"/>
    <col customWidth="1" min="63" max="63" width="9.67"/>
    <col customWidth="1" min="64" max="64" width="13.67"/>
    <col customWidth="1" min="65" max="65" width="9.67"/>
    <col customWidth="1" min="66" max="66" width="13.67"/>
    <col customWidth="1" min="67" max="67" width="9.67"/>
  </cols>
  <sheetData>
    <row r="1" ht="15.75" customHeigh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2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C2" s="1"/>
      <c r="D2" s="1"/>
      <c r="E2" s="1"/>
      <c r="F2" s="24" t="s">
        <v>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3"/>
      <c r="T2" s="28" t="s">
        <v>15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3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7"/>
      <c r="BC2" s="36"/>
      <c r="BD2" s="42">
        <v>2026.0</v>
      </c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</row>
    <row r="3">
      <c r="C3" s="1"/>
      <c r="D3" s="1"/>
      <c r="E3" s="43" t="s">
        <v>44</v>
      </c>
      <c r="F3" s="1"/>
      <c r="G3" s="49">
        <f>Consumo!$E$7/'Calculo Gas'!$F$66</f>
        <v>22.33592723</v>
      </c>
      <c r="H3" s="1"/>
      <c r="I3" s="49">
        <f>Consumo!E10/'Calculo Gas'!H66</f>
        <v>17.86568956</v>
      </c>
      <c r="J3" s="1"/>
      <c r="K3" s="49">
        <f>Consumo!E13/J66</f>
        <v>12.16082496</v>
      </c>
      <c r="L3" s="1"/>
      <c r="M3" s="49">
        <f>Consumo!E17/'Calculo Gas'!L66</f>
        <v>15.61063663</v>
      </c>
      <c r="N3" s="1"/>
      <c r="O3" s="49">
        <f>Consumo!E21/'Calculo Gas'!N66</f>
        <v>15.19667219</v>
      </c>
      <c r="P3" s="1"/>
      <c r="Q3" s="57">
        <f>Consumo!E25/P66</f>
        <v>14.84094687</v>
      </c>
      <c r="R3" s="1"/>
      <c r="S3" s="61">
        <f>Consumo!E30/R66</f>
        <v>16.57152765</v>
      </c>
      <c r="T3" s="1"/>
      <c r="U3" s="61">
        <f>Consumo!E34/T66</f>
        <v>17.56206387</v>
      </c>
      <c r="V3" s="1"/>
      <c r="W3" s="61">
        <f>Consumo!E37/V66</f>
        <v>12.22347443</v>
      </c>
      <c r="X3" s="1"/>
      <c r="Y3" s="61">
        <f>Consumo!E40/X66</f>
        <v>12.13437638</v>
      </c>
      <c r="Z3" s="1"/>
      <c r="AA3" s="61">
        <f>Consumo!E44/'Calculo Gas'!Z66</f>
        <v>14.08632167</v>
      </c>
      <c r="AB3" s="1"/>
      <c r="AC3" s="61">
        <f>Consumo!E48/'Calculo Gas'!AB66</f>
        <v>12.8470391</v>
      </c>
      <c r="AD3" s="1"/>
      <c r="AE3" s="61">
        <f>Consumo!E52/'Calculo Gas'!AD66</f>
        <v>12.57818642</v>
      </c>
      <c r="AF3" s="1"/>
      <c r="AG3" s="49">
        <f>Consumo!E57/'Calculo Gas'!AF66</f>
        <v>14.24790081</v>
      </c>
      <c r="AH3" s="1"/>
      <c r="AI3" s="49">
        <f>Consumo!E62/'Calculo Gas'!AH66</f>
        <v>13.91395662</v>
      </c>
      <c r="AJ3" s="1"/>
      <c r="AK3" s="49">
        <f>Consumo!E67/'Calculo Gas'!AJ66</f>
        <v>14.40773901</v>
      </c>
      <c r="AL3" s="1"/>
      <c r="AM3" s="49">
        <f>Consumo!E71/'Calculo Gas'!AL66</f>
        <v>9.928823494</v>
      </c>
      <c r="AN3" s="1"/>
      <c r="AO3" s="82">
        <f>Consumo!E76/'Calculo Gas'!AN66</f>
        <v>16.2629392</v>
      </c>
      <c r="AP3" s="1"/>
      <c r="AQ3" s="57">
        <f>Consumo!E80/'Calculo Gas'!AP66</f>
        <v>13.32322988</v>
      </c>
      <c r="AR3" s="1"/>
      <c r="AS3" s="57">
        <f>Consumo!E84/'Calculo Gas'!AR66</f>
        <v>11.81692627</v>
      </c>
      <c r="AT3" s="1"/>
      <c r="AU3" s="57">
        <f>Consumo!E88/'Calculo Gas'!AT66</f>
        <v>12.02519278</v>
      </c>
      <c r="AV3" s="1"/>
      <c r="AW3" s="57">
        <f>Consumo!E93/'Calculo Gas'!AV66</f>
        <v>12.25845276</v>
      </c>
      <c r="AX3" s="1"/>
      <c r="AY3" s="57">
        <f>Consumo!E97/'Calculo Gas'!AX66</f>
        <v>11.60406406</v>
      </c>
      <c r="AZ3" s="1"/>
      <c r="BA3" s="57">
        <f>Consumo!E102/'Calculo Gas'!AZ66</f>
        <v>13.80403078</v>
      </c>
      <c r="BB3" s="12"/>
      <c r="BC3" s="57">
        <f>Consumo!E107/'Calculo Gas'!BB66</f>
        <v>14.98566588</v>
      </c>
      <c r="BD3" s="1"/>
      <c r="BE3" s="57">
        <f>Consumo!E113/'Calculo Gas'!BD66</f>
        <v>21.61501774</v>
      </c>
      <c r="BF3" s="1"/>
      <c r="BG3" s="57" t="str">
        <f>Consumo!U80/'Calculo Gas'!BF66</f>
        <v>#DIV/0!</v>
      </c>
      <c r="BH3" s="1"/>
      <c r="BI3" s="57" t="str">
        <f>Consumo!W80/'Calculo Gas'!BH66</f>
        <v>#DIV/0!</v>
      </c>
      <c r="BJ3" s="1"/>
      <c r="BK3" s="57" t="str">
        <f>Consumo!Y80/'Calculo Gas'!BJ66</f>
        <v>#DIV/0!</v>
      </c>
      <c r="BL3" s="1"/>
      <c r="BM3" s="57" t="str">
        <f>Consumo!AA80/'Calculo Gas'!BL66</f>
        <v>#DIV/0!</v>
      </c>
      <c r="BN3" s="1"/>
      <c r="BO3" s="57" t="str">
        <f>Consumo!AC80/'Calculo Gas'!BN66</f>
        <v>#DIV/0!</v>
      </c>
    </row>
    <row r="4" ht="41.25" customHeight="1">
      <c r="A4" s="94" t="s">
        <v>112</v>
      </c>
      <c r="B4" s="94" t="s">
        <v>113</v>
      </c>
      <c r="C4" s="95" t="s">
        <v>115</v>
      </c>
      <c r="D4" s="95" t="s">
        <v>116</v>
      </c>
      <c r="E4" s="95" t="s">
        <v>118</v>
      </c>
      <c r="F4" s="96" t="s">
        <v>119</v>
      </c>
      <c r="G4" s="96" t="s">
        <v>119</v>
      </c>
      <c r="H4" s="96" t="s">
        <v>121</v>
      </c>
      <c r="I4" s="96" t="s">
        <v>121</v>
      </c>
      <c r="J4" s="96" t="s">
        <v>123</v>
      </c>
      <c r="K4" s="96" t="s">
        <v>123</v>
      </c>
      <c r="L4" s="96" t="s">
        <v>125</v>
      </c>
      <c r="M4" s="96" t="s">
        <v>125</v>
      </c>
      <c r="N4" s="96" t="s">
        <v>127</v>
      </c>
      <c r="O4" s="96" t="s">
        <v>127</v>
      </c>
      <c r="P4" s="96" t="s">
        <v>130</v>
      </c>
      <c r="Q4" s="96" t="s">
        <v>130</v>
      </c>
      <c r="R4" s="96" t="s">
        <v>131</v>
      </c>
      <c r="S4" s="96" t="s">
        <v>131</v>
      </c>
      <c r="T4" s="96" t="s">
        <v>133</v>
      </c>
      <c r="U4" s="96" t="s">
        <v>133</v>
      </c>
      <c r="V4" s="96" t="s">
        <v>135</v>
      </c>
      <c r="W4" s="96" t="s">
        <v>135</v>
      </c>
      <c r="X4" s="96" t="s">
        <v>136</v>
      </c>
      <c r="Y4" s="96" t="s">
        <v>136</v>
      </c>
      <c r="Z4" s="96" t="s">
        <v>139</v>
      </c>
      <c r="AA4" s="96" t="s">
        <v>140</v>
      </c>
      <c r="AB4" s="96" t="s">
        <v>141</v>
      </c>
      <c r="AC4" s="96" t="s">
        <v>141</v>
      </c>
      <c r="AD4" s="96" t="s">
        <v>119</v>
      </c>
      <c r="AE4" s="96" t="s">
        <v>119</v>
      </c>
      <c r="AF4" s="96" t="s">
        <v>121</v>
      </c>
      <c r="AG4" s="96" t="s">
        <v>121</v>
      </c>
      <c r="AH4" s="96" t="s">
        <v>123</v>
      </c>
      <c r="AI4" s="96" t="s">
        <v>123</v>
      </c>
      <c r="AJ4" s="96" t="s">
        <v>125</v>
      </c>
      <c r="AK4" s="96" t="s">
        <v>125</v>
      </c>
      <c r="AL4" s="96" t="s">
        <v>127</v>
      </c>
      <c r="AM4" s="96" t="s">
        <v>127</v>
      </c>
      <c r="AN4" s="96" t="s">
        <v>130</v>
      </c>
      <c r="AO4" s="99" t="s">
        <v>130</v>
      </c>
      <c r="AP4" s="96" t="s">
        <v>131</v>
      </c>
      <c r="AQ4" s="96" t="s">
        <v>131</v>
      </c>
      <c r="AR4" s="96" t="s">
        <v>145</v>
      </c>
      <c r="AS4" s="96" t="s">
        <v>145</v>
      </c>
      <c r="AT4" s="96" t="s">
        <v>147</v>
      </c>
      <c r="AU4" s="96" t="s">
        <v>147</v>
      </c>
      <c r="AV4" s="96" t="s">
        <v>148</v>
      </c>
      <c r="AW4" s="96" t="s">
        <v>148</v>
      </c>
      <c r="AX4" s="96" t="s">
        <v>149</v>
      </c>
      <c r="AY4" s="96" t="s">
        <v>149</v>
      </c>
      <c r="AZ4" s="96" t="s">
        <v>151</v>
      </c>
      <c r="BA4" s="96" t="s">
        <v>151</v>
      </c>
      <c r="BB4" s="101" t="s">
        <v>119</v>
      </c>
      <c r="BC4" s="96" t="s">
        <v>119</v>
      </c>
      <c r="BD4" s="96" t="s">
        <v>121</v>
      </c>
      <c r="BE4" s="96" t="s">
        <v>121</v>
      </c>
      <c r="BF4" s="96" t="s">
        <v>153</v>
      </c>
      <c r="BG4" s="96" t="s">
        <v>153</v>
      </c>
      <c r="BH4" s="96" t="s">
        <v>155</v>
      </c>
      <c r="BI4" s="96" t="s">
        <v>155</v>
      </c>
      <c r="BJ4" s="96" t="s">
        <v>156</v>
      </c>
      <c r="BK4" s="96" t="s">
        <v>156</v>
      </c>
      <c r="BL4" s="96" t="s">
        <v>157</v>
      </c>
      <c r="BM4" s="96" t="s">
        <v>157</v>
      </c>
      <c r="BN4" s="96" t="s">
        <v>158</v>
      </c>
      <c r="BO4" s="96" t="s">
        <v>158</v>
      </c>
    </row>
    <row r="5" ht="15.75" customHeight="1">
      <c r="C5" s="1"/>
      <c r="D5" s="104"/>
      <c r="E5" s="104"/>
      <c r="F5" s="105" t="s">
        <v>160</v>
      </c>
      <c r="G5" s="93" t="s">
        <v>161</v>
      </c>
      <c r="H5" s="105" t="s">
        <v>160</v>
      </c>
      <c r="I5" s="93" t="s">
        <v>161</v>
      </c>
      <c r="J5" s="105" t="s">
        <v>160</v>
      </c>
      <c r="K5" s="93" t="s">
        <v>161</v>
      </c>
      <c r="L5" s="105" t="s">
        <v>160</v>
      </c>
      <c r="M5" s="93" t="s">
        <v>161</v>
      </c>
      <c r="N5" s="105" t="s">
        <v>160</v>
      </c>
      <c r="O5" s="93" t="s">
        <v>161</v>
      </c>
      <c r="P5" s="105" t="s">
        <v>160</v>
      </c>
      <c r="Q5" s="93" t="s">
        <v>161</v>
      </c>
      <c r="R5" s="105" t="s">
        <v>160</v>
      </c>
      <c r="S5" s="93" t="s">
        <v>161</v>
      </c>
      <c r="T5" s="105" t="s">
        <v>160</v>
      </c>
      <c r="U5" s="93" t="s">
        <v>161</v>
      </c>
      <c r="V5" s="105" t="s">
        <v>160</v>
      </c>
      <c r="W5" s="93" t="s">
        <v>161</v>
      </c>
      <c r="X5" s="105" t="s">
        <v>160</v>
      </c>
      <c r="Y5" s="93" t="s">
        <v>161</v>
      </c>
      <c r="Z5" s="105" t="s">
        <v>160</v>
      </c>
      <c r="AA5" s="93" t="s">
        <v>161</v>
      </c>
      <c r="AB5" s="105" t="s">
        <v>160</v>
      </c>
      <c r="AC5" s="93" t="s">
        <v>161</v>
      </c>
      <c r="AD5" s="105" t="s">
        <v>160</v>
      </c>
      <c r="AE5" s="93" t="s">
        <v>161</v>
      </c>
      <c r="AF5" s="105" t="s">
        <v>160</v>
      </c>
      <c r="AG5" s="93" t="s">
        <v>161</v>
      </c>
      <c r="AH5" s="105" t="s">
        <v>160</v>
      </c>
      <c r="AI5" s="93" t="s">
        <v>161</v>
      </c>
      <c r="AJ5" s="105" t="s">
        <v>160</v>
      </c>
      <c r="AK5" s="93" t="s">
        <v>161</v>
      </c>
      <c r="AL5" s="105" t="s">
        <v>160</v>
      </c>
      <c r="AM5" s="93" t="s">
        <v>161</v>
      </c>
      <c r="AN5" s="105" t="s">
        <v>160</v>
      </c>
      <c r="AO5" s="93" t="s">
        <v>161</v>
      </c>
      <c r="AP5" s="105" t="s">
        <v>160</v>
      </c>
      <c r="AQ5" s="93" t="s">
        <v>161</v>
      </c>
      <c r="AR5" s="105" t="s">
        <v>160</v>
      </c>
      <c r="AS5" s="93" t="s">
        <v>161</v>
      </c>
      <c r="AT5" s="105" t="s">
        <v>160</v>
      </c>
      <c r="AU5" s="93" t="s">
        <v>161</v>
      </c>
      <c r="AV5" s="105" t="s">
        <v>160</v>
      </c>
      <c r="AW5" s="93" t="s">
        <v>161</v>
      </c>
      <c r="AX5" s="105" t="s">
        <v>160</v>
      </c>
      <c r="AY5" s="93" t="s">
        <v>161</v>
      </c>
      <c r="AZ5" s="105" t="s">
        <v>160</v>
      </c>
      <c r="BA5" s="93" t="s">
        <v>161</v>
      </c>
      <c r="BB5" s="115" t="s">
        <v>160</v>
      </c>
      <c r="BC5" s="93" t="s">
        <v>161</v>
      </c>
      <c r="BD5" s="105" t="s">
        <v>160</v>
      </c>
      <c r="BE5" s="93" t="s">
        <v>161</v>
      </c>
      <c r="BF5" s="105" t="s">
        <v>160</v>
      </c>
      <c r="BG5" s="93" t="s">
        <v>161</v>
      </c>
      <c r="BH5" s="105" t="s">
        <v>160</v>
      </c>
      <c r="BI5" s="93" t="s">
        <v>161</v>
      </c>
      <c r="BJ5" s="105" t="s">
        <v>160</v>
      </c>
      <c r="BK5" s="93" t="s">
        <v>161</v>
      </c>
      <c r="BL5" s="105" t="s">
        <v>160</v>
      </c>
      <c r="BM5" s="93" t="s">
        <v>161</v>
      </c>
      <c r="BN5" s="105" t="s">
        <v>160</v>
      </c>
      <c r="BO5" s="93" t="s">
        <v>161</v>
      </c>
    </row>
    <row r="6" ht="15.75" customHeight="1">
      <c r="A6" s="120">
        <f t="shared" ref="A6:A65" si="1">ROUND(AG6,1)</f>
        <v>12.5</v>
      </c>
      <c r="B6" s="121">
        <f t="shared" ref="B6:B65" si="2">AF6</f>
        <v>0.876</v>
      </c>
      <c r="C6" s="74">
        <v>201.0</v>
      </c>
      <c r="D6" s="123" t="s">
        <v>175</v>
      </c>
      <c r="E6" s="75">
        <v>2034049.0</v>
      </c>
      <c r="F6" s="121">
        <f>Lecturas!D4-Lecturas!C4</f>
        <v>0.754</v>
      </c>
      <c r="G6" s="126">
        <f t="shared" ref="G6:G65" si="3">F6*$G$3</f>
        <v>16.84128913</v>
      </c>
      <c r="H6" s="121">
        <f>IF((Lecturas!E4-Lecturas!D4) &lt; 0, "", Lecturas!E4-Lecturas!D4)</f>
        <v>0.611</v>
      </c>
      <c r="I6" s="126">
        <f t="shared" ref="I6:I65" si="4">IFERROR(H6*$I$3,"")</f>
        <v>10.91593632</v>
      </c>
      <c r="J6" s="121">
        <f>IF(OR((Lecturas!F4-Lecturas!E4) &lt;= 0), "", Lecturas!F4-Lecturas!E4)</f>
        <v>0.601</v>
      </c>
      <c r="K6" s="126">
        <f t="shared" ref="K6:K65" si="5">IFERROR(J6*$K$3,"")</f>
        <v>7.308655799</v>
      </c>
      <c r="L6" s="121">
        <f>IF(OR((Lecturas!G4-Lecturas!F4) &lt;= 0), "", Lecturas!G4-Lecturas!F4)</f>
        <v>0.867</v>
      </c>
      <c r="M6" s="126">
        <f t="shared" ref="M6:M65" si="6">IFERROR(L6*$M$3,"")</f>
        <v>13.53442196</v>
      </c>
      <c r="N6" s="121">
        <f>IF(OR((Lecturas!H4-Lecturas!G4) &lt;= 0), "", Lecturas!H4-Lecturas!G4)</f>
        <v>0.583</v>
      </c>
      <c r="O6" s="126">
        <f t="shared" ref="O6:O65" si="7">IFERROR(N6*$O$3,"")</f>
        <v>8.859659888</v>
      </c>
      <c r="P6" s="121">
        <f>IF(OR((Lecturas!I4-Lecturas!H4) &lt;= 0), "", Lecturas!I4-Lecturas!H4)</f>
        <v>0.663</v>
      </c>
      <c r="Q6" s="126">
        <f t="shared" ref="Q6:Q65" si="8">IFERROR(P6*$Q$3,"")</f>
        <v>9.839547776</v>
      </c>
      <c r="R6" s="121">
        <f>IF(OR((Lecturas!J4-Lecturas!I4) &lt;= 0), "", Lecturas!J4-Lecturas!I4)</f>
        <v>0.502</v>
      </c>
      <c r="S6" s="126">
        <f t="shared" ref="S6:S65" si="9">IFERROR(R6*$S$3,"")</f>
        <v>8.318906879</v>
      </c>
      <c r="T6" s="121">
        <f>IF(OR((Lecturas!K4-Lecturas!J4) &lt;= 0), "", Lecturas!K4-Lecturas!J4)</f>
        <v>0.359</v>
      </c>
      <c r="U6" s="126">
        <f t="shared" ref="U6:U65" si="10">IFERROR(T6*$U$3,"")</f>
        <v>6.304780928</v>
      </c>
      <c r="V6" s="121">
        <f>IF(OR((Lecturas!L4-Lecturas!K4) &lt;= 0), "", Lecturas!L4-Lecturas!K4)</f>
        <v>0.394</v>
      </c>
      <c r="W6" s="126">
        <f t="shared" ref="W6:W65" si="11">IFERROR(V6*$W$3,"")</f>
        <v>4.816048925</v>
      </c>
      <c r="X6" s="121">
        <f>IF(OR((Lecturas!M4-Lecturas!L4) &lt; 0), "", Lecturas!M4-Lecturas!L4)</f>
        <v>0.181</v>
      </c>
      <c r="Y6" s="126">
        <f t="shared" ref="Y6:Y65" si="12">IFERROR(X6*$Y$3,"")</f>
        <v>2.196322124</v>
      </c>
      <c r="Z6" s="121">
        <f>IF(OR((Lecturas!N4-Lecturas!M4) &lt;= 0), "", Lecturas!N4-Lecturas!M4)</f>
        <v>0.496</v>
      </c>
      <c r="AA6" s="126">
        <f t="shared" ref="AA6:AA65" si="13">IFERROR(Z6*$AA$3,"")</f>
        <v>6.986815546</v>
      </c>
      <c r="AB6" s="121">
        <f>IF(OR((Lecturas!O4-Lecturas!N4) &lt; 0), "", Lecturas!O4-Lecturas!N4)</f>
        <v>0.901</v>
      </c>
      <c r="AC6" s="126">
        <f t="shared" ref="AC6:AC65" si="14">IFERROR(AB6*$AC$3,"")</f>
        <v>11.57518223</v>
      </c>
      <c r="AD6" s="121">
        <f>IF(OR((Lecturas!P4-Lecturas!O4) &lt; 0), "", Lecturas!P4-Lecturas!O4)</f>
        <v>0.966</v>
      </c>
      <c r="AE6" s="126">
        <f t="shared" ref="AE6:AE65" si="15">IFERROR(AD6*$AE$3,"")</f>
        <v>12.15052808</v>
      </c>
      <c r="AF6" s="121">
        <f>IF((Lecturas!Q4-Lecturas!P4)&lt;= 0,"",Lecturas!Q4-Lecturas!P4)</f>
        <v>0.876</v>
      </c>
      <c r="AG6" s="126">
        <f t="shared" ref="AG6:AG65" si="16">IFERROR(AF6*$AG$3,"")</f>
        <v>12.48116111</v>
      </c>
      <c r="AH6" s="121">
        <f>IF((Lecturas!R4-Lecturas!Q4)&lt;= 0,"",Lecturas!R4-Lecturas!Q4)</f>
        <v>0.735</v>
      </c>
      <c r="AI6" s="126">
        <f t="shared" ref="AI6:AI65" si="17">IFERROR(AH6*$AI$3,"")</f>
        <v>10.22675811</v>
      </c>
      <c r="AJ6" s="121">
        <f>IF((Lecturas!S4-Lecturas!R4)&lt;= 0,"",Lecturas!S4-Lecturas!R4)</f>
        <v>0.894</v>
      </c>
      <c r="AK6" s="126">
        <f t="shared" ref="AK6:AK65" si="18">IFERROR(AJ6*$AK$3,"")</f>
        <v>12.88051868</v>
      </c>
      <c r="AL6" s="121">
        <f>IF((Lecturas!T4-Lecturas!S4)&lt;= 0,"",Lecturas!T4-Lecturas!S4)</f>
        <v>1.271</v>
      </c>
      <c r="AM6" s="126">
        <f t="shared" ref="AM6:AM65" si="19">IFERROR(AL6*$AM$3,"")</f>
        <v>12.61953466</v>
      </c>
      <c r="AN6" s="121">
        <f>IF((Lecturas!U4-Lecturas!T4)&lt;= 0,"",Lecturas!U4-Lecturas!T4)</f>
        <v>0.102</v>
      </c>
      <c r="AO6" s="126">
        <f t="shared" ref="AO6:AO65" si="20">IFERROR(AN6*$AO$3,"")</f>
        <v>1.658819799</v>
      </c>
      <c r="AP6" s="121">
        <f>IF((Lecturas!V4-Lecturas!U4)&lt;= 0,"",Lecturas!V4-Lecturas!U4)</f>
        <v>0.043</v>
      </c>
      <c r="AQ6" s="126">
        <f t="shared" ref="AQ6:AQ65" si="21">IFERROR(AP6*$AQ$3,"")</f>
        <v>0.572898885</v>
      </c>
      <c r="AR6" s="121">
        <f>IF((Lecturas!W4-Lecturas!V4)&lt;= 0,"",Lecturas!W4-Lecturas!V4)</f>
        <v>0.215</v>
      </c>
      <c r="AS6" s="126">
        <f t="shared" ref="AS6:AS65" si="22">IFERROR(AR6*$AS$3,"")</f>
        <v>2.540639148</v>
      </c>
      <c r="AT6" s="121">
        <f>IF((Lecturas!X4-Lecturas!W4)&lt;= 0,"",Lecturas!X4-Lecturas!W4)</f>
        <v>0.128</v>
      </c>
      <c r="AU6" s="126">
        <f t="shared" ref="AU6:AU65" si="23">IFERROR(AT6*$AU$3,"")</f>
        <v>1.539224676</v>
      </c>
      <c r="AV6" s="121">
        <f>IF((Lecturas!Y4-Lecturas!X4)&lt;= 0,"",Lecturas!Y4-Lecturas!X4)</f>
        <v>0.087</v>
      </c>
      <c r="AW6" s="126">
        <f t="shared" ref="AW6:AW65" si="24">IFERROR(AV6*$AW$3,"")</f>
        <v>1.06648539</v>
      </c>
      <c r="AX6" s="121">
        <f>IF((Lecturas!Z4-Lecturas!Y4)&lt;= 0,"0",Lecturas!Z4-Lecturas!Y4)</f>
        <v>0.218</v>
      </c>
      <c r="AY6" s="126">
        <f t="shared" ref="AY6:AY65" si="25">IFERROR(AX6*$AY$3,"0")</f>
        <v>2.529685965</v>
      </c>
      <c r="AZ6" s="121">
        <f>IF((Lecturas!AA4-Lecturas!Z4)&lt;= 0,"0",Lecturas!AA4-Lecturas!Z4)</f>
        <v>0.187</v>
      </c>
      <c r="BA6" s="126">
        <f t="shared" ref="BA6:BA65" si="26">IFERROR(AZ6*$BA$3,"0")</f>
        <v>2.581353755</v>
      </c>
      <c r="BB6" s="144">
        <f>IF((Lecturas!AB4-Lecturas!AA4)&lt;= 0,"0",Lecturas!AB4-Lecturas!AA4)</f>
        <v>0.094</v>
      </c>
      <c r="BC6" s="126">
        <f t="shared" ref="BC6:BC65" si="27">IFERROR(BB6*$BC$3,"0")</f>
        <v>1.408652593</v>
      </c>
      <c r="BD6" s="121">
        <f>IF((Lecturas!AC4-Lecturas!AB4)&lt;= 0,"0",Lecturas!AC4-Lecturas!AB4)</f>
        <v>0.254</v>
      </c>
      <c r="BE6" s="126">
        <f t="shared" ref="BE6:BE65" si="28">IFERROR(BD6*$BE$3,"0")</f>
        <v>5.490214506</v>
      </c>
      <c r="BF6" s="121" t="str">
        <f>IF((Lecturas!AD4-Lecturas!AC4)&lt;= 0,"0",Lecturas!AD4-Lecturas!AC4)</f>
        <v>0</v>
      </c>
      <c r="BG6" s="126" t="str">
        <f t="shared" ref="BG6:BG65" si="29">IFERROR(BF6*$BG$3,"0")</f>
        <v>0</v>
      </c>
      <c r="BH6" s="121" t="str">
        <f>IF((Lecturas!AE4-Lecturas!AD4)&lt;= 0,"0",Lecturas!AE4-Lecturas!AD4)</f>
        <v>0</v>
      </c>
      <c r="BI6" s="126" t="str">
        <f t="shared" ref="BI6:BI65" si="30">IFERROR(BH6*$BI$3,"0")</f>
        <v>0</v>
      </c>
      <c r="BJ6" s="121" t="str">
        <f>IF((Lecturas!AF4-Lecturas!AE4)&lt;= 0,"0",Lecturas!AF4-Lecturas!AE4)</f>
        <v>0</v>
      </c>
      <c r="BK6" s="126" t="str">
        <f t="shared" ref="BK6:BK65" si="31">IFERROR(BJ6*$BK$3,"0")</f>
        <v>0</v>
      </c>
      <c r="BL6" s="121" t="str">
        <f>IF((Lecturas!AG4-Lecturas!AF4)&lt;= 0,"0",Lecturas!AG4-Lecturas!AF4)</f>
        <v>0</v>
      </c>
      <c r="BM6" s="126" t="str">
        <f t="shared" ref="BM6:BM65" si="32">IFERROR(BL6*$BM$3,"0")</f>
        <v>0</v>
      </c>
      <c r="BN6" s="121" t="str">
        <f>IF((Lecturas!AH4-Lecturas!AG4)&lt;= 0,"0",Lecturas!AH4-Lecturas!AG4)</f>
        <v>0</v>
      </c>
      <c r="BO6" s="126" t="str">
        <f t="shared" ref="BO6:BO65" si="33">IFERROR(BN6*$BO$3,"0")</f>
        <v>0</v>
      </c>
    </row>
    <row r="7" ht="15.75" customHeight="1">
      <c r="A7" s="120">
        <f t="shared" si="1"/>
        <v>22.3</v>
      </c>
      <c r="B7" s="121">
        <f t="shared" si="2"/>
        <v>1.564</v>
      </c>
      <c r="C7" s="74">
        <v>202.0</v>
      </c>
      <c r="D7" s="123" t="s">
        <v>240</v>
      </c>
      <c r="E7" s="75">
        <v>2034056.0</v>
      </c>
      <c r="F7" s="121">
        <f>Lecturas!D5-Lecturas!C5</f>
        <v>0.847</v>
      </c>
      <c r="G7" s="126">
        <f t="shared" si="3"/>
        <v>18.91853036</v>
      </c>
      <c r="H7" s="121">
        <f>IF((Lecturas!E5-Lecturas!D5) &lt; 0, "", Lecturas!E5-Lecturas!D5)</f>
        <v>0.608</v>
      </c>
      <c r="I7" s="126">
        <f t="shared" si="4"/>
        <v>10.86233925</v>
      </c>
      <c r="J7" s="121">
        <f>IF(OR((Lecturas!F5-Lecturas!E5) &lt;= 0), "", Lecturas!F5-Lecturas!E5)</f>
        <v>0.915</v>
      </c>
      <c r="K7" s="126">
        <f t="shared" si="5"/>
        <v>11.12715484</v>
      </c>
      <c r="L7" s="121">
        <f>IF(OR((Lecturas!G5-Lecturas!F5) &lt;= 0), "", Lecturas!G5-Lecturas!F5)</f>
        <v>0.576</v>
      </c>
      <c r="M7" s="126">
        <f t="shared" si="6"/>
        <v>8.991726697</v>
      </c>
      <c r="N7" s="121">
        <f>IF(OR((Lecturas!H5-Lecturas!G5) &lt;= 0), "", Lecturas!H5-Lecturas!G5)</f>
        <v>0.738</v>
      </c>
      <c r="O7" s="126">
        <f t="shared" si="7"/>
        <v>11.21514408</v>
      </c>
      <c r="P7" s="121">
        <f>IF(OR((Lecturas!I5-Lecturas!H5) &lt;= 0), "", Lecturas!I5-Lecturas!H5)</f>
        <v>0.701</v>
      </c>
      <c r="Q7" s="126">
        <f t="shared" si="8"/>
        <v>10.40350376</v>
      </c>
      <c r="R7" s="121">
        <f>IF(OR((Lecturas!J5-Lecturas!I5) &lt;= 0), "", Lecturas!J5-Lecturas!I5)</f>
        <v>0.189</v>
      </c>
      <c r="S7" s="126">
        <f t="shared" si="9"/>
        <v>3.132018725</v>
      </c>
      <c r="T7" s="121">
        <f>IF(OR((Lecturas!K5-Lecturas!J5) &lt;= 0), "", Lecturas!K5-Lecturas!J5)</f>
        <v>0.562</v>
      </c>
      <c r="U7" s="126">
        <f t="shared" si="10"/>
        <v>9.869879893</v>
      </c>
      <c r="V7" s="121">
        <f>IF(OR((Lecturas!L5-Lecturas!K5) &lt;= 0), "", Lecturas!L5-Lecturas!K5)</f>
        <v>1.962</v>
      </c>
      <c r="W7" s="126">
        <f t="shared" si="11"/>
        <v>23.98245683</v>
      </c>
      <c r="X7" s="121">
        <f>IF(OR((Lecturas!M5-Lecturas!L5) &lt; 0), "", Lecturas!M5-Lecturas!L5)</f>
        <v>1.805</v>
      </c>
      <c r="Y7" s="126">
        <f t="shared" si="12"/>
        <v>21.90254936</v>
      </c>
      <c r="Z7" s="121">
        <f>IF(OR((Lecturas!N5-Lecturas!M5) &lt;= 0), "", Lecturas!N5-Lecturas!M5)</f>
        <v>1.727</v>
      </c>
      <c r="AA7" s="126">
        <f t="shared" si="13"/>
        <v>24.32707752</v>
      </c>
      <c r="AB7" s="121">
        <f>IF(OR((Lecturas!O5-Lecturas!N5) &lt; 0), "", Lecturas!O5-Lecturas!N5)</f>
        <v>1.681</v>
      </c>
      <c r="AC7" s="126">
        <f t="shared" si="14"/>
        <v>21.59587272</v>
      </c>
      <c r="AD7" s="121">
        <f>IF(OR((Lecturas!P5-Lecturas!O5) &lt; 0), "", Lecturas!P5-Lecturas!O5)</f>
        <v>1.287</v>
      </c>
      <c r="AE7" s="126">
        <f t="shared" si="15"/>
        <v>16.18812592</v>
      </c>
      <c r="AF7" s="121">
        <f>IF((Lecturas!Q5-Lecturas!P5)&lt;= 0,"",Lecturas!Q5-Lecturas!P5)</f>
        <v>1.564</v>
      </c>
      <c r="AG7" s="126">
        <f t="shared" si="16"/>
        <v>22.28371687</v>
      </c>
      <c r="AH7" s="121">
        <f>IF((Lecturas!R5-Lecturas!Q5)&lt;= 0,"",Lecturas!R5-Lecturas!Q5)</f>
        <v>1.851</v>
      </c>
      <c r="AI7" s="126">
        <f t="shared" si="17"/>
        <v>25.7547337</v>
      </c>
      <c r="AJ7" s="121">
        <f>IF((Lecturas!S5-Lecturas!R5)&lt;= 0,"",Lecturas!S5-Lecturas!R5)</f>
        <v>1.715</v>
      </c>
      <c r="AK7" s="126">
        <f t="shared" si="18"/>
        <v>24.70927241</v>
      </c>
      <c r="AL7" s="121">
        <f>IF((Lecturas!T5-Lecturas!S5)&lt;= 0,"",Lecturas!T5-Lecturas!S5)</f>
        <v>0.02</v>
      </c>
      <c r="AM7" s="126">
        <f t="shared" si="19"/>
        <v>0.1985764699</v>
      </c>
      <c r="AN7" s="121">
        <f>IF((Lecturas!U5-Lecturas!T5)&lt;= 0,"",Lecturas!U5-Lecturas!T5)</f>
        <v>0.005</v>
      </c>
      <c r="AO7" s="126">
        <f t="shared" si="20"/>
        <v>0.08131469601</v>
      </c>
      <c r="AP7" s="121">
        <f>IF((Lecturas!V5-Lecturas!U5)&lt;= 0,"",Lecturas!V5-Lecturas!U5)</f>
        <v>0.742</v>
      </c>
      <c r="AQ7" s="126">
        <f t="shared" si="21"/>
        <v>9.885836574</v>
      </c>
      <c r="AR7" s="121">
        <f>IF((Lecturas!W5-Lecturas!V5)&lt;= 0,"",Lecturas!W5-Lecturas!V5)</f>
        <v>1.196</v>
      </c>
      <c r="AS7" s="126">
        <f t="shared" si="22"/>
        <v>14.13304382</v>
      </c>
      <c r="AT7" s="121">
        <f>IF((Lecturas!X5-Lecturas!W5)&lt;= 0,"",Lecturas!X5-Lecturas!W5)</f>
        <v>1.543</v>
      </c>
      <c r="AU7" s="126">
        <f t="shared" si="23"/>
        <v>18.55487246</v>
      </c>
      <c r="AV7" s="121">
        <f>IF((Lecturas!Y5-Lecturas!X5)&lt;= 0,"",Lecturas!Y5-Lecturas!X5)</f>
        <v>0.952</v>
      </c>
      <c r="AW7" s="126">
        <f t="shared" si="24"/>
        <v>11.67004703</v>
      </c>
      <c r="AX7" s="121">
        <f>IF((Lecturas!Z5-Lecturas!Y5)&lt;= 0,"0",Lecturas!Z5-Lecturas!Y5)</f>
        <v>0.022</v>
      </c>
      <c r="AY7" s="126">
        <f t="shared" si="25"/>
        <v>0.2552894093</v>
      </c>
      <c r="AZ7" s="121" t="str">
        <f>IF((Lecturas!AA5-Lecturas!Z5)&lt;= 0,"0",Lecturas!AA5-Lecturas!Z5)</f>
        <v>0</v>
      </c>
      <c r="BA7" s="126">
        <f t="shared" si="26"/>
        <v>0</v>
      </c>
      <c r="BB7" s="144">
        <f>IF((Lecturas!AB5-Lecturas!AA5)&lt;= 0,"0",Lecturas!AB5-Lecturas!AA5)</f>
        <v>0.004</v>
      </c>
      <c r="BC7" s="126">
        <f t="shared" si="27"/>
        <v>0.05994266354</v>
      </c>
      <c r="BD7" s="121">
        <f>IF((Lecturas!AC5-Lecturas!AB5)&lt;= 0,"0",Lecturas!AC5-Lecturas!AB5)</f>
        <v>0.028</v>
      </c>
      <c r="BE7" s="126">
        <f t="shared" si="28"/>
        <v>0.6052204967</v>
      </c>
      <c r="BF7" s="121" t="str">
        <f>IF((Lecturas!AD5-Lecturas!AC5)&lt;= 0,"0",Lecturas!AD5-Lecturas!AC5)</f>
        <v>0</v>
      </c>
      <c r="BG7" s="126" t="str">
        <f t="shared" si="29"/>
        <v>0</v>
      </c>
      <c r="BH7" s="121" t="str">
        <f>IF((Lecturas!AE5-Lecturas!AD5)&lt;= 0,"0",Lecturas!AE5-Lecturas!AD5)</f>
        <v>0</v>
      </c>
      <c r="BI7" s="126" t="str">
        <f t="shared" si="30"/>
        <v>0</v>
      </c>
      <c r="BJ7" s="121" t="str">
        <f>IF((Lecturas!AF5-Lecturas!AE5)&lt;= 0,"0",Lecturas!AF5-Lecturas!AE5)</f>
        <v>0</v>
      </c>
      <c r="BK7" s="126" t="str">
        <f t="shared" si="31"/>
        <v>0</v>
      </c>
      <c r="BL7" s="121" t="str">
        <f>IF((Lecturas!AG5-Lecturas!AF5)&lt;= 0,"0",Lecturas!AG5-Lecturas!AF5)</f>
        <v>0</v>
      </c>
      <c r="BM7" s="126" t="str">
        <f t="shared" si="32"/>
        <v>0</v>
      </c>
      <c r="BN7" s="121" t="str">
        <f>IF((Lecturas!AH5-Lecturas!AG5)&lt;= 0,"0",Lecturas!AH5-Lecturas!AG5)</f>
        <v>0</v>
      </c>
      <c r="BO7" s="126" t="str">
        <f t="shared" si="33"/>
        <v>0</v>
      </c>
    </row>
    <row r="8" ht="15.75" customHeight="1">
      <c r="A8" s="120">
        <f t="shared" si="1"/>
        <v>0</v>
      </c>
      <c r="B8" s="121">
        <f t="shared" si="2"/>
        <v>0</v>
      </c>
      <c r="C8" s="74">
        <v>203.0</v>
      </c>
      <c r="D8" s="123" t="s">
        <v>242</v>
      </c>
      <c r="E8" s="75">
        <v>2034020.0</v>
      </c>
      <c r="F8" s="121">
        <f>Lecturas!D6-Lecturas!C6</f>
        <v>0.018</v>
      </c>
      <c r="G8" s="126">
        <f t="shared" si="3"/>
        <v>0.4020466901</v>
      </c>
      <c r="H8" s="121">
        <f>IF((Lecturas!E6-Lecturas!D6) &lt; 0, "", Lecturas!E6-Lecturas!D6)</f>
        <v>0.674</v>
      </c>
      <c r="I8" s="126">
        <f t="shared" si="4"/>
        <v>12.04147476</v>
      </c>
      <c r="J8" s="121">
        <f>IF(OR((Lecturas!F6-Lecturas!E6) &lt;= 0), "", Lecturas!F6-Lecturas!E6)</f>
        <v>0.911</v>
      </c>
      <c r="K8" s="126">
        <f t="shared" si="5"/>
        <v>11.07851154</v>
      </c>
      <c r="L8" s="121">
        <f>IF(OR((Lecturas!G6-Lecturas!F6) &lt; 0), "", Lecturas!G6-Lecturas!F6)</f>
        <v>0</v>
      </c>
      <c r="M8" s="126">
        <f t="shared" si="6"/>
        <v>0</v>
      </c>
      <c r="N8" s="121">
        <f>IF(OR((Lecturas!H6-Lecturas!G6) &lt; 0), "", Lecturas!H6-Lecturas!G6)</f>
        <v>0</v>
      </c>
      <c r="O8" s="126">
        <f t="shared" si="7"/>
        <v>0</v>
      </c>
      <c r="P8" s="121">
        <f>IF(OR((Lecturas!I6-Lecturas!H6) &lt;= 0), "", Lecturas!I6-Lecturas!H6)</f>
        <v>0.318</v>
      </c>
      <c r="Q8" s="126">
        <f t="shared" si="8"/>
        <v>4.719421105</v>
      </c>
      <c r="R8" s="121">
        <f>IF(OR((Lecturas!J6-Lecturas!I6) &lt;= 0), "", Lecturas!J6-Lecturas!I6)</f>
        <v>0.001</v>
      </c>
      <c r="S8" s="126">
        <f t="shared" si="9"/>
        <v>0.01657152765</v>
      </c>
      <c r="T8" s="121">
        <f>IF(OR((Lecturas!K6-Lecturas!J6) &lt; 0), "", Lecturas!K6-Lecturas!J6)</f>
        <v>0</v>
      </c>
      <c r="U8" s="126">
        <f t="shared" si="10"/>
        <v>0</v>
      </c>
      <c r="V8" s="121">
        <f>IF(OR((Lecturas!L6-Lecturas!K6) &lt;0), "", Lecturas!L6-Lecturas!K6)</f>
        <v>0</v>
      </c>
      <c r="W8" s="126">
        <f t="shared" si="11"/>
        <v>0</v>
      </c>
      <c r="X8" s="121">
        <f>IF(OR((Lecturas!M6-Lecturas!L6) &lt; 0), "", Lecturas!M6-Lecturas!L6)</f>
        <v>0</v>
      </c>
      <c r="Y8" s="126">
        <f t="shared" si="12"/>
        <v>0</v>
      </c>
      <c r="Z8" s="121">
        <f>IF(OR((Lecturas!N6-Lecturas!M6) &lt;0), "", Lecturas!N6-Lecturas!M6)</f>
        <v>0</v>
      </c>
      <c r="AA8" s="126">
        <f t="shared" si="13"/>
        <v>0</v>
      </c>
      <c r="AB8" s="121">
        <f>IF(OR((Lecturas!O6-Lecturas!N6) &lt; 0), "", Lecturas!O6-Lecturas!N6)</f>
        <v>0</v>
      </c>
      <c r="AC8" s="126">
        <f t="shared" si="14"/>
        <v>0</v>
      </c>
      <c r="AD8" s="121">
        <f>IF(OR((Lecturas!P6-Lecturas!O6) &lt; 0), "", Lecturas!P6-Lecturas!O6)</f>
        <v>0</v>
      </c>
      <c r="AE8" s="126">
        <f t="shared" si="15"/>
        <v>0</v>
      </c>
      <c r="AF8" s="121">
        <f>IF((Lecturas!Q6-Lecturas!P6)&lt; 0,"",Lecturas!Q6-Lecturas!P6)</f>
        <v>0</v>
      </c>
      <c r="AG8" s="126">
        <f t="shared" si="16"/>
        <v>0</v>
      </c>
      <c r="AH8" s="121">
        <f>IF((Lecturas!R6-Lecturas!Q6)&lt;= 0,"",Lecturas!R6-Lecturas!Q6)</f>
        <v>0.36</v>
      </c>
      <c r="AI8" s="126">
        <f t="shared" si="17"/>
        <v>5.009024382</v>
      </c>
      <c r="AJ8" s="121">
        <f>IF((Lecturas!S6-Lecturas!R6)&lt;= 0,"",Lecturas!S6-Lecturas!R6)</f>
        <v>0.008</v>
      </c>
      <c r="AK8" s="126">
        <f t="shared" si="18"/>
        <v>0.1152619121</v>
      </c>
      <c r="AL8" s="121">
        <f>IF((Lecturas!T6-Lecturas!S6)&lt;= 0,"",Lecturas!T6-Lecturas!S6)</f>
        <v>0.005</v>
      </c>
      <c r="AM8" s="126">
        <f t="shared" si="19"/>
        <v>0.04964411747</v>
      </c>
      <c r="AN8" s="121">
        <f>IF((Lecturas!U6-Lecturas!T6)&lt;= 0,"",Lecturas!U6-Lecturas!T6)</f>
        <v>0.003</v>
      </c>
      <c r="AO8" s="126">
        <f t="shared" si="20"/>
        <v>0.0487888176</v>
      </c>
      <c r="AP8" s="121">
        <f>IF((Lecturas!V6-Lecturas!U6)&lt;= 0,"",Lecturas!V6-Lecturas!U6)</f>
        <v>0.127</v>
      </c>
      <c r="AQ8" s="126">
        <f t="shared" si="21"/>
        <v>1.692050195</v>
      </c>
      <c r="AR8" s="121">
        <f>IF((Lecturas!W6-Lecturas!V6)&lt;= 0,"",Lecturas!W6-Lecturas!V6)</f>
        <v>0.231</v>
      </c>
      <c r="AS8" s="126">
        <f t="shared" si="22"/>
        <v>2.729709968</v>
      </c>
      <c r="AT8" s="121">
        <f>IF((Lecturas!X6-Lecturas!W6)&lt;= 0,"",Lecturas!X6-Lecturas!W6)</f>
        <v>0.114</v>
      </c>
      <c r="AU8" s="126">
        <f t="shared" si="23"/>
        <v>1.370871977</v>
      </c>
      <c r="AV8" s="121">
        <f>IF((Lecturas!Y6-Lecturas!X6)&lt;= 0,"",Lecturas!Y6-Lecturas!X6)</f>
        <v>0.002</v>
      </c>
      <c r="AW8" s="126">
        <f t="shared" si="24"/>
        <v>0.02451690552</v>
      </c>
      <c r="AX8" s="121">
        <f>IF((Lecturas!Z6-Lecturas!Y6)&lt;= 0,"0",Lecturas!Z6-Lecturas!Y6)</f>
        <v>0.003</v>
      </c>
      <c r="AY8" s="126">
        <f t="shared" si="25"/>
        <v>0.03481219218</v>
      </c>
      <c r="AZ8" s="121" t="str">
        <f>IF((Lecturas!AA6-Lecturas!Z6)&lt;= 0,"0",Lecturas!AA6-Lecturas!Z6)</f>
        <v>0</v>
      </c>
      <c r="BA8" s="126">
        <f t="shared" si="26"/>
        <v>0</v>
      </c>
      <c r="BB8" s="144">
        <f>IF((Lecturas!AB6-Lecturas!AA6)&lt;= 0,"0",Lecturas!AB6-Lecturas!AA6)</f>
        <v>0.004</v>
      </c>
      <c r="BC8" s="126">
        <f t="shared" si="27"/>
        <v>0.05994266354</v>
      </c>
      <c r="BD8" s="121">
        <f>IF((Lecturas!AC6-Lecturas!AB6)&lt;= 0,"0",Lecturas!AC6-Lecturas!AB6)</f>
        <v>0.04</v>
      </c>
      <c r="BE8" s="126">
        <f t="shared" si="28"/>
        <v>0.8646007095</v>
      </c>
      <c r="BF8" s="121" t="str">
        <f>IF((Lecturas!AD6-Lecturas!AC6)&lt;= 0,"0",Lecturas!AD6-Lecturas!AC6)</f>
        <v>0</v>
      </c>
      <c r="BG8" s="126" t="str">
        <f t="shared" si="29"/>
        <v>0</v>
      </c>
      <c r="BH8" s="121" t="str">
        <f>IF((Lecturas!AE6-Lecturas!AD6)&lt;= 0,"0",Lecturas!AE6-Lecturas!AD6)</f>
        <v>0</v>
      </c>
      <c r="BI8" s="126" t="str">
        <f t="shared" si="30"/>
        <v>0</v>
      </c>
      <c r="BJ8" s="121" t="str">
        <f>IF((Lecturas!AF6-Lecturas!AE6)&lt;= 0,"0",Lecturas!AF6-Lecturas!AE6)</f>
        <v>0</v>
      </c>
      <c r="BK8" s="126" t="str">
        <f t="shared" si="31"/>
        <v>0</v>
      </c>
      <c r="BL8" s="121" t="str">
        <f>IF((Lecturas!AG6-Lecturas!AF6)&lt;= 0,"0",Lecturas!AG6-Lecturas!AF6)</f>
        <v>0</v>
      </c>
      <c r="BM8" s="126" t="str">
        <f t="shared" si="32"/>
        <v>0</v>
      </c>
      <c r="BN8" s="121" t="str">
        <f>IF((Lecturas!AH6-Lecturas!AG6)&lt;= 0,"0",Lecturas!AH6-Lecturas!AG6)</f>
        <v>0</v>
      </c>
      <c r="BO8" s="126" t="str">
        <f t="shared" si="33"/>
        <v>0</v>
      </c>
    </row>
    <row r="9" ht="15.75" customHeight="1">
      <c r="A9" s="120">
        <f t="shared" si="1"/>
        <v>12.3</v>
      </c>
      <c r="B9" s="121">
        <f t="shared" si="2"/>
        <v>0.86</v>
      </c>
      <c r="C9" s="74">
        <v>204.0</v>
      </c>
      <c r="D9" s="123" t="s">
        <v>244</v>
      </c>
      <c r="E9" s="75">
        <v>2034040.0</v>
      </c>
      <c r="F9" s="121">
        <f>Lecturas!D7-Lecturas!C7</f>
        <v>0.185</v>
      </c>
      <c r="G9" s="126">
        <f t="shared" si="3"/>
        <v>4.132146537</v>
      </c>
      <c r="H9" s="121">
        <f>IF((Lecturas!E7-Lecturas!D7) &lt; 0, "", Lecturas!E7-Lecturas!D7)</f>
        <v>0.138</v>
      </c>
      <c r="I9" s="126">
        <f t="shared" si="4"/>
        <v>2.465465159</v>
      </c>
      <c r="J9" s="121">
        <f>IF(OR((Lecturas!F7-Lecturas!E7) &lt; 0), "", Lecturas!F7-Lecturas!E7)</f>
        <v>0</v>
      </c>
      <c r="K9" s="126">
        <f t="shared" si="5"/>
        <v>0</v>
      </c>
      <c r="L9" s="121">
        <f>IF(OR((Lecturas!G7-Lecturas!F7) &lt;= 0), "", Lecturas!G7-Lecturas!F7)</f>
        <v>0.296</v>
      </c>
      <c r="M9" s="126">
        <f t="shared" si="6"/>
        <v>4.620748441</v>
      </c>
      <c r="N9" s="121">
        <f>IF(OR((Lecturas!H7-Lecturas!G7) &lt;= 0), "", Lecturas!H7-Lecturas!G7)</f>
        <v>0.183</v>
      </c>
      <c r="O9" s="126">
        <f t="shared" si="7"/>
        <v>2.780991011</v>
      </c>
      <c r="P9" s="121">
        <f>IF(OR((Lecturas!I7-Lecturas!H7) &lt;= 0), "", Lecturas!I7-Lecturas!H7)</f>
        <v>0.214</v>
      </c>
      <c r="Q9" s="126">
        <f t="shared" si="8"/>
        <v>3.175962631</v>
      </c>
      <c r="R9" s="121">
        <f>IF(OR((Lecturas!J7-Lecturas!I7) &lt;= 0), "", Lecturas!J7-Lecturas!I7)</f>
        <v>0.324</v>
      </c>
      <c r="S9" s="126">
        <f t="shared" si="9"/>
        <v>5.369174958</v>
      </c>
      <c r="T9" s="121">
        <f>IF(OR((Lecturas!K7-Lecturas!J7) &lt;= 0), "", Lecturas!K7-Lecturas!J7)</f>
        <v>0.513</v>
      </c>
      <c r="U9" s="126">
        <f t="shared" si="10"/>
        <v>9.009338764</v>
      </c>
      <c r="V9" s="121">
        <f>IF(OR((Lecturas!L7-Lecturas!K7) &lt;= 0), "", Lecturas!L7-Lecturas!K7)</f>
        <v>0.524</v>
      </c>
      <c r="W9" s="126">
        <f t="shared" si="11"/>
        <v>6.405100601</v>
      </c>
      <c r="X9" s="121">
        <f>IF(OR((Lecturas!M7-Lecturas!L7) &lt; 0), "", Lecturas!M7-Lecturas!L7)</f>
        <v>0.443</v>
      </c>
      <c r="Y9" s="126">
        <f t="shared" si="12"/>
        <v>5.375528735</v>
      </c>
      <c r="Z9" s="121">
        <f>IF(OR((Lecturas!N7-Lecturas!M7) &lt;= 0), "", Lecturas!N7-Lecturas!M7)</f>
        <v>0.811</v>
      </c>
      <c r="AA9" s="126">
        <f t="shared" si="13"/>
        <v>11.42400687</v>
      </c>
      <c r="AB9" s="121">
        <f>IF(OR((Lecturas!O7-Lecturas!N7) &lt; 0), "", Lecturas!O7-Lecturas!N7)</f>
        <v>0.749</v>
      </c>
      <c r="AC9" s="126">
        <f t="shared" si="14"/>
        <v>9.622432283</v>
      </c>
      <c r="AD9" s="121">
        <f>IF(OR((Lecturas!P7-Lecturas!O7) &lt; 0), "", Lecturas!P7-Lecturas!O7)</f>
        <v>0.811</v>
      </c>
      <c r="AE9" s="126">
        <f t="shared" si="15"/>
        <v>10.20090918</v>
      </c>
      <c r="AF9" s="121">
        <f>IF((Lecturas!Q7-Lecturas!P7)&lt;= 0,"",Lecturas!Q7-Lecturas!P7)</f>
        <v>0.86</v>
      </c>
      <c r="AG9" s="126">
        <f t="shared" si="16"/>
        <v>12.2531947</v>
      </c>
      <c r="AH9" s="121">
        <f>IF((Lecturas!R7-Lecturas!Q7)&lt;= 0,"",Lecturas!R7-Lecturas!Q7)</f>
        <v>0.706</v>
      </c>
      <c r="AI9" s="126">
        <f t="shared" si="17"/>
        <v>9.823253372</v>
      </c>
      <c r="AJ9" s="121">
        <f>IF((Lecturas!S7-Lecturas!R7)&lt;= 0,"",Lecturas!S7-Lecturas!R7)</f>
        <v>0.164</v>
      </c>
      <c r="AK9" s="126">
        <f t="shared" si="18"/>
        <v>2.362869198</v>
      </c>
      <c r="AL9" s="121">
        <f>IF((Lecturas!T7-Lecturas!S7)&lt;= 0,"",Lecturas!T7-Lecturas!S7)</f>
        <v>1.253</v>
      </c>
      <c r="AM9" s="126">
        <f t="shared" si="19"/>
        <v>12.44081584</v>
      </c>
      <c r="AN9" s="121">
        <f>IF((Lecturas!U7-Lecturas!T7)&lt;= 0,"",Lecturas!U7-Lecturas!T7)</f>
        <v>0.386</v>
      </c>
      <c r="AO9" s="126">
        <f t="shared" si="20"/>
        <v>6.277494532</v>
      </c>
      <c r="AP9" s="121">
        <f>IF((Lecturas!V7-Lecturas!U7)&lt;= 0,"",Lecturas!V7-Lecturas!U7)</f>
        <v>0.265</v>
      </c>
      <c r="AQ9" s="126">
        <f t="shared" si="21"/>
        <v>3.530655919</v>
      </c>
      <c r="AR9" s="121">
        <f>IF((Lecturas!W7-Lecturas!V7)&lt;= 0,"",Lecturas!W7-Lecturas!V7)</f>
        <v>1.305</v>
      </c>
      <c r="AS9" s="126">
        <f t="shared" si="22"/>
        <v>15.42108878</v>
      </c>
      <c r="AT9" s="121">
        <f>IF((Lecturas!X7-Lecturas!W7)&lt;= 0,"",Lecturas!X7-Lecturas!W7)</f>
        <v>0.324</v>
      </c>
      <c r="AU9" s="126">
        <f t="shared" si="23"/>
        <v>3.89616246</v>
      </c>
      <c r="AV9" s="121">
        <f>IF((Lecturas!Y7-Lecturas!X7)&lt;= 0,"",Lecturas!Y7-Lecturas!X7)</f>
        <v>0.041</v>
      </c>
      <c r="AW9" s="126">
        <f t="shared" si="24"/>
        <v>0.5025965632</v>
      </c>
      <c r="AX9" s="121">
        <f>IF((Lecturas!Z7-Lecturas!Y7)&lt;= 0,"0",Lecturas!Z7-Lecturas!Y7)</f>
        <v>2.764</v>
      </c>
      <c r="AY9" s="126">
        <f t="shared" si="25"/>
        <v>32.07363306</v>
      </c>
      <c r="AZ9" s="121">
        <f>IF((Lecturas!AA7-Lecturas!Z7)&lt;= 0,"0",Lecturas!AA7-Lecturas!Z7)</f>
        <v>4.434</v>
      </c>
      <c r="BA9" s="126">
        <f t="shared" si="26"/>
        <v>61.20707247</v>
      </c>
      <c r="BB9" s="159">
        <f>IF((Lecturas!AB7-Lecturas!AA7)&lt;= 0,"0",Lecturas!AB7-Lecturas!AA7)</f>
        <v>5.065</v>
      </c>
      <c r="BC9" s="126">
        <f t="shared" si="27"/>
        <v>75.90239771</v>
      </c>
      <c r="BD9" s="121">
        <f>IF((Lecturas!AC7-Lecturas!AB7)&lt;= 0,"0",Lecturas!AC7-Lecturas!AB7)</f>
        <v>5.037</v>
      </c>
      <c r="BE9" s="126">
        <f t="shared" si="28"/>
        <v>108.8748443</v>
      </c>
      <c r="BF9" s="121" t="str">
        <f>IF((Lecturas!AD7-Lecturas!AC7)&lt;= 0,"0",Lecturas!AD7-Lecturas!AC7)</f>
        <v>0</v>
      </c>
      <c r="BG9" s="126" t="str">
        <f t="shared" si="29"/>
        <v>0</v>
      </c>
      <c r="BH9" s="121" t="str">
        <f>IF((Lecturas!AE7-Lecturas!AD7)&lt;= 0,"0",Lecturas!AE7-Lecturas!AD7)</f>
        <v>0</v>
      </c>
      <c r="BI9" s="126" t="str">
        <f t="shared" si="30"/>
        <v>0</v>
      </c>
      <c r="BJ9" s="121" t="str">
        <f>IF((Lecturas!AF7-Lecturas!AE7)&lt;= 0,"0",Lecturas!AF7-Lecturas!AE7)</f>
        <v>0</v>
      </c>
      <c r="BK9" s="126" t="str">
        <f t="shared" si="31"/>
        <v>0</v>
      </c>
      <c r="BL9" s="121" t="str">
        <f>IF((Lecturas!AG7-Lecturas!AF7)&lt;= 0,"0",Lecturas!AG7-Lecturas!AF7)</f>
        <v>0</v>
      </c>
      <c r="BM9" s="126" t="str">
        <f t="shared" si="32"/>
        <v>0</v>
      </c>
      <c r="BN9" s="121" t="str">
        <f>IF((Lecturas!AH7-Lecturas!AG7)&lt;= 0,"0",Lecturas!AH7-Lecturas!AG7)</f>
        <v>0</v>
      </c>
      <c r="BO9" s="126" t="str">
        <f t="shared" si="33"/>
        <v>0</v>
      </c>
    </row>
    <row r="10" ht="15.75" customHeight="1">
      <c r="A10" s="120">
        <f t="shared" si="1"/>
        <v>47.3</v>
      </c>
      <c r="B10" s="121">
        <f t="shared" si="2"/>
        <v>3.319</v>
      </c>
      <c r="C10" s="74">
        <v>205.0</v>
      </c>
      <c r="D10" s="123" t="s">
        <v>247</v>
      </c>
      <c r="E10" s="75">
        <v>2034039.0</v>
      </c>
      <c r="F10" s="121">
        <f>Lecturas!D8-Lecturas!C8</f>
        <v>2.259</v>
      </c>
      <c r="G10" s="126">
        <f t="shared" si="3"/>
        <v>50.45685961</v>
      </c>
      <c r="H10" s="121">
        <f>IF((Lecturas!E8-Lecturas!D8) &lt; 0, "", Lecturas!E8-Lecturas!D8)</f>
        <v>2.372</v>
      </c>
      <c r="I10" s="126">
        <f t="shared" si="4"/>
        <v>42.37741563</v>
      </c>
      <c r="J10" s="121">
        <f>IF(OR((Lecturas!F8-Lecturas!E8) &lt;= 0), "", Lecturas!F8-Lecturas!E8)</f>
        <v>2.51</v>
      </c>
      <c r="K10" s="126">
        <f t="shared" si="5"/>
        <v>30.52367064</v>
      </c>
      <c r="L10" s="121">
        <f>IF(OR((Lecturas!G8-Lecturas!F8) &lt;= 0), "", Lecturas!G8-Lecturas!F8)</f>
        <v>2.102</v>
      </c>
      <c r="M10" s="126">
        <f t="shared" si="6"/>
        <v>32.81355819</v>
      </c>
      <c r="N10" s="121">
        <f>IF(OR((Lecturas!H8-Lecturas!G8) &lt;= 0), "", Lecturas!H8-Lecturas!G8)</f>
        <v>1.776</v>
      </c>
      <c r="O10" s="126">
        <f t="shared" si="7"/>
        <v>26.98928981</v>
      </c>
      <c r="P10" s="121">
        <f>IF(OR((Lecturas!I8-Lecturas!H8) &lt; 0), "", Lecturas!I8-Lecturas!H8)</f>
        <v>0</v>
      </c>
      <c r="Q10" s="126">
        <f t="shared" si="8"/>
        <v>0</v>
      </c>
      <c r="R10" s="121">
        <f>IF(OR((Lecturas!J8-Lecturas!I8) &lt;= 0), "", Lecturas!J8-Lecturas!I8)</f>
        <v>0.665</v>
      </c>
      <c r="S10" s="126">
        <f t="shared" si="9"/>
        <v>11.02006589</v>
      </c>
      <c r="T10" s="121">
        <f>IF(OR((Lecturas!K8-Lecturas!J8) &lt;= 0), "", Lecturas!K8-Lecturas!J8)</f>
        <v>1.254</v>
      </c>
      <c r="U10" s="126">
        <f t="shared" si="10"/>
        <v>22.02282809</v>
      </c>
      <c r="V10" s="121">
        <f>IF(OR((Lecturas!L8-Lecturas!K8) &lt;= 0), "", Lecturas!L8-Lecturas!K8)</f>
        <v>1.722</v>
      </c>
      <c r="W10" s="126">
        <f t="shared" si="11"/>
        <v>21.04882297</v>
      </c>
      <c r="X10" s="121">
        <f>IF(OR((Lecturas!M8-Lecturas!L8) &lt; 0), "", Lecturas!M8-Lecturas!L8)</f>
        <v>1.933</v>
      </c>
      <c r="Y10" s="126">
        <f t="shared" si="12"/>
        <v>23.45574954</v>
      </c>
      <c r="Z10" s="121">
        <f>IF(OR((Lecturas!N8-Lecturas!M8) &lt;= 0), "", Lecturas!N8-Lecturas!M8)</f>
        <v>1.437</v>
      </c>
      <c r="AA10" s="126">
        <f t="shared" si="13"/>
        <v>20.24204423</v>
      </c>
      <c r="AB10" s="121">
        <f>IF(OR((Lecturas!O8-Lecturas!N8) &lt; 0), "", Lecturas!O8-Lecturas!N8)</f>
        <v>1.347</v>
      </c>
      <c r="AC10" s="126">
        <f t="shared" si="14"/>
        <v>17.30496166</v>
      </c>
      <c r="AD10" s="121">
        <f>IF(OR((Lecturas!P8-Lecturas!O8) &lt; 0), "", Lecturas!P8-Lecturas!O8)</f>
        <v>1.576</v>
      </c>
      <c r="AE10" s="126">
        <f t="shared" si="15"/>
        <v>19.82322179</v>
      </c>
      <c r="AF10" s="121">
        <f>IF((Lecturas!Q8-Lecturas!P8)&lt;= 0,"",Lecturas!Q8-Lecturas!P8)</f>
        <v>3.319</v>
      </c>
      <c r="AG10" s="126">
        <f t="shared" si="16"/>
        <v>47.28878279</v>
      </c>
      <c r="AH10" s="121">
        <f>IF((Lecturas!R8-Lecturas!Q8)&lt;= 0,"",Lecturas!R8-Lecturas!Q8)</f>
        <v>0.33</v>
      </c>
      <c r="AI10" s="126">
        <f t="shared" si="17"/>
        <v>4.591605684</v>
      </c>
      <c r="AJ10" s="121">
        <f>IF((Lecturas!S8-Lecturas!R8)&lt;= 0,"",Lecturas!S8-Lecturas!R8)</f>
        <v>0.471</v>
      </c>
      <c r="AK10" s="126">
        <f t="shared" si="18"/>
        <v>6.786045076</v>
      </c>
      <c r="AL10" s="121">
        <f>IF((Lecturas!T8-Lecturas!S8)&lt;= 0,"",Lecturas!T8-Lecturas!S8)</f>
        <v>0.602</v>
      </c>
      <c r="AM10" s="126">
        <f t="shared" si="19"/>
        <v>5.977151744</v>
      </c>
      <c r="AN10" s="121">
        <f>IF((Lecturas!U8-Lecturas!T8)&lt;= 0,"",Lecturas!U8-Lecturas!T8)</f>
        <v>0.558</v>
      </c>
      <c r="AO10" s="126">
        <f t="shared" si="20"/>
        <v>9.074720074</v>
      </c>
      <c r="AP10" s="121">
        <f>IF((Lecturas!V8-Lecturas!U8)&lt;= 0,"",Lecturas!V8-Lecturas!U8)</f>
        <v>2.052</v>
      </c>
      <c r="AQ10" s="126">
        <f t="shared" si="21"/>
        <v>27.33926772</v>
      </c>
      <c r="AR10" s="121">
        <f>IF((Lecturas!W8-Lecturas!V8)&lt;= 0,"",Lecturas!W8-Lecturas!V8)</f>
        <v>3.381</v>
      </c>
      <c r="AS10" s="126">
        <f t="shared" si="22"/>
        <v>39.95302772</v>
      </c>
      <c r="AT10" s="121">
        <f>IF((Lecturas!X8-Lecturas!W8)&lt;= 0,"",Lecturas!X8-Lecturas!W8)</f>
        <v>4.006</v>
      </c>
      <c r="AU10" s="126">
        <f t="shared" si="23"/>
        <v>48.17292227</v>
      </c>
      <c r="AV10" s="121" t="str">
        <f>IF((Lecturas!Y8-Lecturas!X8)&lt;= 0,"",Lecturas!Y8-Lecturas!X8)</f>
        <v/>
      </c>
      <c r="AW10" s="126">
        <f t="shared" si="24"/>
        <v>0</v>
      </c>
      <c r="AX10" s="121">
        <f>IF((Lecturas!Z8-Lecturas!Y8)&lt;= 0,"0",Lecturas!Z8-Lecturas!Y8)</f>
        <v>16.597</v>
      </c>
      <c r="AY10" s="126">
        <f t="shared" si="25"/>
        <v>192.5926512</v>
      </c>
      <c r="AZ10" s="121">
        <f>IF((Lecturas!AA8-Lecturas!Z8)&lt;= 0,"0",Lecturas!AA8-Lecturas!Z8)</f>
        <v>0.138</v>
      </c>
      <c r="BA10" s="126">
        <f t="shared" si="26"/>
        <v>1.904956247</v>
      </c>
      <c r="BB10" s="159" t="str">
        <f>IF((Lecturas!AB8-Lecturas!AA8)&lt;= 0,"0",Lecturas!AB8-Lecturas!AA8)</f>
        <v>0</v>
      </c>
      <c r="BC10" s="126">
        <f t="shared" si="27"/>
        <v>0</v>
      </c>
      <c r="BD10" s="121" t="str">
        <f>IF((Lecturas!AC8-Lecturas!AB8)&lt;= 0,"0",Lecturas!AC8-Lecturas!AB8)</f>
        <v>0</v>
      </c>
      <c r="BE10" s="126">
        <f t="shared" si="28"/>
        <v>0</v>
      </c>
      <c r="BF10" s="121" t="str">
        <f>IF((Lecturas!AD8-Lecturas!AC8)&lt;= 0,"0",Lecturas!AD8-Lecturas!AC8)</f>
        <v>0</v>
      </c>
      <c r="BG10" s="126" t="str">
        <f t="shared" si="29"/>
        <v>0</v>
      </c>
      <c r="BH10" s="121" t="str">
        <f>IF((Lecturas!AE8-Lecturas!AD8)&lt;= 0,"0",Lecturas!AE8-Lecturas!AD8)</f>
        <v>0</v>
      </c>
      <c r="BI10" s="126" t="str">
        <f t="shared" si="30"/>
        <v>0</v>
      </c>
      <c r="BJ10" s="121" t="str">
        <f>IF((Lecturas!AF8-Lecturas!AE8)&lt;= 0,"0",Lecturas!AF8-Lecturas!AE8)</f>
        <v>0</v>
      </c>
      <c r="BK10" s="126" t="str">
        <f t="shared" si="31"/>
        <v>0</v>
      </c>
      <c r="BL10" s="121" t="str">
        <f>IF((Lecturas!AG8-Lecturas!AF8)&lt;= 0,"0",Lecturas!AG8-Lecturas!AF8)</f>
        <v>0</v>
      </c>
      <c r="BM10" s="126" t="str">
        <f t="shared" si="32"/>
        <v>0</v>
      </c>
      <c r="BN10" s="121" t="str">
        <f>IF((Lecturas!AH8-Lecturas!AG8)&lt;= 0,"0",Lecturas!AH8-Lecturas!AG8)</f>
        <v>0</v>
      </c>
      <c r="BO10" s="126" t="str">
        <f t="shared" si="33"/>
        <v>0</v>
      </c>
    </row>
    <row r="11" ht="15.75" customHeight="1">
      <c r="A11" s="120">
        <f t="shared" si="1"/>
        <v>192.8</v>
      </c>
      <c r="B11" s="121">
        <f t="shared" si="2"/>
        <v>13.533</v>
      </c>
      <c r="C11" s="74">
        <v>206.0</v>
      </c>
      <c r="D11" s="123" t="s">
        <v>249</v>
      </c>
      <c r="E11" s="75">
        <v>2034052.0</v>
      </c>
      <c r="F11" s="121">
        <f>Lecturas!D9-Lecturas!C9</f>
        <v>7.134</v>
      </c>
      <c r="G11" s="126">
        <f t="shared" si="3"/>
        <v>159.3445049</v>
      </c>
      <c r="H11" s="121">
        <f>IF((Lecturas!E9-Lecturas!D9) &lt; 0, "", Lecturas!E9-Lecturas!D9)</f>
        <v>8.759</v>
      </c>
      <c r="I11" s="126">
        <f t="shared" si="4"/>
        <v>156.4855748</v>
      </c>
      <c r="J11" s="121">
        <f>IF(OR((Lecturas!F9-Lecturas!E9) &lt;= 0), "", Lecturas!F9-Lecturas!E9)</f>
        <v>9.6</v>
      </c>
      <c r="K11" s="126">
        <f t="shared" si="5"/>
        <v>116.7439196</v>
      </c>
      <c r="L11" s="121">
        <f>IF(OR((Lecturas!G9-Lecturas!F9) &lt;= 0), "", Lecturas!G9-Lecturas!F9)</f>
        <v>11.064</v>
      </c>
      <c r="M11" s="126">
        <f t="shared" si="6"/>
        <v>172.7160836</v>
      </c>
      <c r="N11" s="121">
        <f>IF(OR((Lecturas!H9-Lecturas!G9) &lt;= 0), "", Lecturas!H9-Lecturas!G9)</f>
        <v>9.658</v>
      </c>
      <c r="O11" s="126">
        <f t="shared" si="7"/>
        <v>146.76946</v>
      </c>
      <c r="P11" s="121">
        <f>IF(OR((Lecturas!I9-Lecturas!H9) &lt;= 0), "", Lecturas!I9-Lecturas!H9)</f>
        <v>10.605</v>
      </c>
      <c r="Q11" s="126">
        <f t="shared" si="8"/>
        <v>157.3882416</v>
      </c>
      <c r="R11" s="121">
        <f>IF(OR((Lecturas!J9-Lecturas!I9) &lt;= 0), "", Lecturas!J9-Lecturas!I9)</f>
        <v>10.696</v>
      </c>
      <c r="S11" s="126">
        <f t="shared" si="9"/>
        <v>177.2490597</v>
      </c>
      <c r="T11" s="121">
        <f>IF(OR((Lecturas!K9-Lecturas!J9) &lt;= 0), "", Lecturas!K9-Lecturas!J9)</f>
        <v>8.891</v>
      </c>
      <c r="U11" s="126">
        <f t="shared" si="10"/>
        <v>156.1443098</v>
      </c>
      <c r="V11" s="121">
        <f>IF(OR((Lecturas!L9-Lecturas!K9) &lt;= 0), "", Lecturas!L9-Lecturas!K9)</f>
        <v>11.337</v>
      </c>
      <c r="W11" s="126">
        <f t="shared" si="11"/>
        <v>138.5775296</v>
      </c>
      <c r="X11" s="121">
        <f>IF(OR((Lecturas!M9-Lecturas!L9) &lt; 0), "", Lecturas!M9-Lecturas!L9)</f>
        <v>11.777</v>
      </c>
      <c r="Y11" s="126">
        <f t="shared" si="12"/>
        <v>142.9065506</v>
      </c>
      <c r="Z11" s="121">
        <f>IF(OR((Lecturas!N9-Lecturas!M9) &lt;= 0), "", Lecturas!N9-Lecturas!M9)</f>
        <v>11.311</v>
      </c>
      <c r="AA11" s="126">
        <f t="shared" si="13"/>
        <v>159.3303844</v>
      </c>
      <c r="AB11" s="121">
        <f>IF(OR((Lecturas!O9-Lecturas!N9) &lt; 0), "", Lecturas!O9-Lecturas!N9)</f>
        <v>11.237</v>
      </c>
      <c r="AC11" s="126">
        <f t="shared" si="14"/>
        <v>144.3621783</v>
      </c>
      <c r="AD11" s="121">
        <f>IF(OR((Lecturas!P9-Lecturas!O9) &lt; 0), "", Lecturas!P9-Lecturas!O9)</f>
        <v>11.397</v>
      </c>
      <c r="AE11" s="126">
        <f t="shared" si="15"/>
        <v>143.3535906</v>
      </c>
      <c r="AF11" s="121">
        <f>IF((Lecturas!Q9-Lecturas!P9)&lt;= 0,"",Lecturas!Q9-Lecturas!P9)</f>
        <v>13.533</v>
      </c>
      <c r="AG11" s="126">
        <f t="shared" si="16"/>
        <v>192.8168417</v>
      </c>
      <c r="AH11" s="121">
        <f>IF((Lecturas!R9-Lecturas!Q9)&lt;= 0,"",Lecturas!R9-Lecturas!Q9)</f>
        <v>13.812</v>
      </c>
      <c r="AI11" s="126">
        <f t="shared" si="17"/>
        <v>192.1795688</v>
      </c>
      <c r="AJ11" s="121">
        <f>IF((Lecturas!S9-Lecturas!R9)&lt;= 0,"",Lecturas!S9-Lecturas!R9)</f>
        <v>13.811</v>
      </c>
      <c r="AK11" s="126">
        <f t="shared" si="18"/>
        <v>198.9852835</v>
      </c>
      <c r="AL11" s="121">
        <f>IF((Lecturas!T9-Lecturas!S9)&lt;= 0,"",Lecturas!T9-Lecturas!S9)</f>
        <v>17.564</v>
      </c>
      <c r="AM11" s="126">
        <f t="shared" si="19"/>
        <v>174.3898559</v>
      </c>
      <c r="AN11" s="121">
        <f>IF((Lecturas!U9-Lecturas!T9)&lt;= 0,"",Lecturas!U9-Lecturas!T9)</f>
        <v>11.868</v>
      </c>
      <c r="AO11" s="126">
        <f t="shared" si="20"/>
        <v>193.0085624</v>
      </c>
      <c r="AP11" s="121">
        <f>IF((Lecturas!V9-Lecturas!U9)&lt;= 0,"",Lecturas!V9-Lecturas!U9)</f>
        <v>9.677</v>
      </c>
      <c r="AQ11" s="126">
        <f t="shared" si="21"/>
        <v>128.9288956</v>
      </c>
      <c r="AR11" s="121">
        <f>IF((Lecturas!W9-Lecturas!V9)&lt;= 0,"",Lecturas!W9-Lecturas!V9)</f>
        <v>15.338</v>
      </c>
      <c r="AS11" s="126">
        <f t="shared" si="22"/>
        <v>181.2480151</v>
      </c>
      <c r="AT11" s="121">
        <f>IF((Lecturas!X9-Lecturas!W9)&lt;= 0,"",Lecturas!X9-Lecturas!W9)</f>
        <v>12.231</v>
      </c>
      <c r="AU11" s="126">
        <f t="shared" si="23"/>
        <v>147.0801329</v>
      </c>
      <c r="AV11" s="121">
        <f>IF((Lecturas!Y9-Lecturas!X9)&lt;= 0,"",Lecturas!Y9-Lecturas!X9)</f>
        <v>12.779</v>
      </c>
      <c r="AW11" s="126">
        <f t="shared" si="24"/>
        <v>156.6507678</v>
      </c>
      <c r="AX11" s="121">
        <f>IF((Lecturas!Z9-Lecturas!Y9)&lt;= 0,"0",Lecturas!Z9-Lecturas!Y9)</f>
        <v>12.467</v>
      </c>
      <c r="AY11" s="126">
        <f t="shared" si="25"/>
        <v>144.6678666</v>
      </c>
      <c r="AZ11" s="121">
        <f>IF((Lecturas!AA9-Lecturas!Z9)&lt;= 0,"0",Lecturas!AA9-Lecturas!Z9)</f>
        <v>13.319</v>
      </c>
      <c r="BA11" s="126">
        <f t="shared" si="26"/>
        <v>183.8558859</v>
      </c>
      <c r="BB11" s="144">
        <f>IF((Lecturas!AB9-Lecturas!AA9)&lt;= 0,"0",Lecturas!AB9-Lecturas!AA9)</f>
        <v>12.028</v>
      </c>
      <c r="BC11" s="126">
        <f t="shared" si="27"/>
        <v>180.2475893</v>
      </c>
      <c r="BD11" s="121">
        <f>IF((Lecturas!AC9-Lecturas!AB9)&lt;= 0,"0",Lecturas!AC9-Lecturas!AB9)</f>
        <v>10.236</v>
      </c>
      <c r="BE11" s="126">
        <f t="shared" si="28"/>
        <v>221.2513216</v>
      </c>
      <c r="BF11" s="121" t="str">
        <f>IF((Lecturas!AD9-Lecturas!AC9)&lt;= 0,"0",Lecturas!AD9-Lecturas!AC9)</f>
        <v>0</v>
      </c>
      <c r="BG11" s="126" t="str">
        <f t="shared" si="29"/>
        <v>0</v>
      </c>
      <c r="BH11" s="121" t="str">
        <f>IF((Lecturas!AE9-Lecturas!AD9)&lt;= 0,"0",Lecturas!AE9-Lecturas!AD9)</f>
        <v>0</v>
      </c>
      <c r="BI11" s="126" t="str">
        <f t="shared" si="30"/>
        <v>0</v>
      </c>
      <c r="BJ11" s="121" t="str">
        <f>IF((Lecturas!AF9-Lecturas!AE9)&lt;= 0,"0",Lecturas!AF9-Lecturas!AE9)</f>
        <v>0</v>
      </c>
      <c r="BK11" s="126" t="str">
        <f t="shared" si="31"/>
        <v>0</v>
      </c>
      <c r="BL11" s="121" t="str">
        <f>IF((Lecturas!AG9-Lecturas!AF9)&lt;= 0,"0",Lecturas!AG9-Lecturas!AF9)</f>
        <v>0</v>
      </c>
      <c r="BM11" s="126" t="str">
        <f t="shared" si="32"/>
        <v>0</v>
      </c>
      <c r="BN11" s="121" t="str">
        <f>IF((Lecturas!AH9-Lecturas!AG9)&lt;= 0,"0",Lecturas!AH9-Lecturas!AG9)</f>
        <v>0</v>
      </c>
      <c r="BO11" s="126" t="str">
        <f t="shared" si="33"/>
        <v>0</v>
      </c>
    </row>
    <row r="12" ht="15.75" customHeight="1">
      <c r="A12" s="120">
        <f t="shared" si="1"/>
        <v>0</v>
      </c>
      <c r="B12" s="121">
        <f t="shared" si="2"/>
        <v>0</v>
      </c>
      <c r="C12" s="170">
        <v>301.0</v>
      </c>
      <c r="D12" s="171" t="s">
        <v>251</v>
      </c>
      <c r="E12" s="142">
        <v>2033964.0</v>
      </c>
      <c r="F12" s="121">
        <f>Lecturas!D10-Lecturas!C10</f>
        <v>0</v>
      </c>
      <c r="G12" s="126">
        <f t="shared" si="3"/>
        <v>0</v>
      </c>
      <c r="H12" s="121">
        <f>IF((Lecturas!E10-Lecturas!D10) &lt; 0, "", Lecturas!E10-Lecturas!D10)</f>
        <v>0</v>
      </c>
      <c r="I12" s="126">
        <f t="shared" si="4"/>
        <v>0</v>
      </c>
      <c r="J12" s="121">
        <f>IF(OR((Lecturas!F10-Lecturas!E10) &lt; 0), "", Lecturas!F10-Lecturas!E10)</f>
        <v>0</v>
      </c>
      <c r="K12" s="126">
        <f t="shared" si="5"/>
        <v>0</v>
      </c>
      <c r="L12" s="121">
        <f>IF(OR((Lecturas!G10-Lecturas!F10) &lt; 0), "", Lecturas!G10-Lecturas!F10)</f>
        <v>0</v>
      </c>
      <c r="M12" s="126">
        <f t="shared" si="6"/>
        <v>0</v>
      </c>
      <c r="N12" s="121">
        <f>IF(OR((Lecturas!H10-Lecturas!G10) &lt; 0), "", Lecturas!H10-Lecturas!G10)</f>
        <v>0</v>
      </c>
      <c r="O12" s="126">
        <f t="shared" si="7"/>
        <v>0</v>
      </c>
      <c r="P12" s="121">
        <f>IF(OR((Lecturas!I10-Lecturas!H10) &lt; 0), "", Lecturas!I10-Lecturas!H10)</f>
        <v>0</v>
      </c>
      <c r="Q12" s="126">
        <f t="shared" si="8"/>
        <v>0</v>
      </c>
      <c r="R12" s="121">
        <f>IF(OR((Lecturas!J10-Lecturas!I10) &lt; 0), "", Lecturas!J10-Lecturas!I10)</f>
        <v>0</v>
      </c>
      <c r="S12" s="126">
        <f t="shared" si="9"/>
        <v>0</v>
      </c>
      <c r="T12" s="121">
        <f>IF(OR((Lecturas!K10-Lecturas!J10) &lt; 0), "", Lecturas!K10-Lecturas!J10)</f>
        <v>0</v>
      </c>
      <c r="U12" s="126">
        <f t="shared" si="10"/>
        <v>0</v>
      </c>
      <c r="V12" s="121">
        <f>IF(OR((Lecturas!L10-Lecturas!K10) &lt; 0), "", Lecturas!L10-Lecturas!K10)</f>
        <v>0</v>
      </c>
      <c r="W12" s="126">
        <f t="shared" si="11"/>
        <v>0</v>
      </c>
      <c r="X12" s="121">
        <f>IF(OR((Lecturas!M10-Lecturas!L10) &lt; 0), "", Lecturas!M10-Lecturas!L10)</f>
        <v>0</v>
      </c>
      <c r="Y12" s="126">
        <f t="shared" si="12"/>
        <v>0</v>
      </c>
      <c r="Z12" s="121">
        <f>IF(OR((Lecturas!N10-Lecturas!M10) &lt; 0), "", Lecturas!N10-Lecturas!M10)</f>
        <v>0</v>
      </c>
      <c r="AA12" s="126">
        <f t="shared" si="13"/>
        <v>0</v>
      </c>
      <c r="AB12" s="121">
        <f>IF(OR((Lecturas!O10-Lecturas!N10) &lt; 0), "", Lecturas!O10-Lecturas!N10)</f>
        <v>0</v>
      </c>
      <c r="AC12" s="126">
        <f t="shared" si="14"/>
        <v>0</v>
      </c>
      <c r="AD12" s="121">
        <f>IF(OR((Lecturas!P10-Lecturas!O10) &lt; 0), "", Lecturas!P10-Lecturas!O10)</f>
        <v>0</v>
      </c>
      <c r="AE12" s="126">
        <f t="shared" si="15"/>
        <v>0</v>
      </c>
      <c r="AF12" s="121">
        <f>IF((Lecturas!Q10-Lecturas!P10)&lt; 0,"",Lecturas!Q10-Lecturas!P10)</f>
        <v>0</v>
      </c>
      <c r="AG12" s="126">
        <f t="shared" si="16"/>
        <v>0</v>
      </c>
      <c r="AH12" s="121">
        <v>0.0</v>
      </c>
      <c r="AI12" s="126">
        <f t="shared" si="17"/>
        <v>0</v>
      </c>
      <c r="AJ12" s="121" t="str">
        <f>IF((Lecturas!S10-Lecturas!R10)&lt;= 0,"",Lecturas!S10-Lecturas!R10)</f>
        <v/>
      </c>
      <c r="AK12" s="126">
        <f t="shared" si="18"/>
        <v>0</v>
      </c>
      <c r="AL12" s="121" t="str">
        <f>IF((Lecturas!T10-Lecturas!S10)&lt;= 0,"",Lecturas!T10-Lecturas!S10)</f>
        <v/>
      </c>
      <c r="AM12" s="126">
        <f t="shared" si="19"/>
        <v>0</v>
      </c>
      <c r="AN12" s="121" t="str">
        <f>IF((Lecturas!U10-Lecturas!T10)&lt;= 0,"",Lecturas!U10-Lecturas!T10)</f>
        <v/>
      </c>
      <c r="AO12" s="126">
        <f t="shared" si="20"/>
        <v>0</v>
      </c>
      <c r="AP12" s="121" t="str">
        <f>IF((Lecturas!V10-Lecturas!U10)&lt;= 0,"",Lecturas!V10-Lecturas!U10)</f>
        <v/>
      </c>
      <c r="AQ12" s="126">
        <f t="shared" si="21"/>
        <v>0</v>
      </c>
      <c r="AR12" s="121" t="str">
        <f>IF((Lecturas!W10-Lecturas!V10)&lt;= 0,"",Lecturas!W10-Lecturas!V10)</f>
        <v/>
      </c>
      <c r="AS12" s="126">
        <f t="shared" si="22"/>
        <v>0</v>
      </c>
      <c r="AT12" s="121" t="str">
        <f>IF((Lecturas!X10-Lecturas!W10)&lt;= 0,"",Lecturas!X10-Lecturas!W10)</f>
        <v/>
      </c>
      <c r="AU12" s="126">
        <f t="shared" si="23"/>
        <v>0</v>
      </c>
      <c r="AV12" s="121" t="str">
        <f>IF((Lecturas!Y10-Lecturas!X10)&lt;= 0,"",Lecturas!Y10-Lecturas!X10)</f>
        <v/>
      </c>
      <c r="AW12" s="126">
        <f t="shared" si="24"/>
        <v>0</v>
      </c>
      <c r="AX12" s="121" t="str">
        <f>IF((Lecturas!Z10-Lecturas!Y10)&lt;= 0,"0",Lecturas!Z10-Lecturas!Y10)</f>
        <v>0</v>
      </c>
      <c r="AY12" s="126">
        <f t="shared" si="25"/>
        <v>0</v>
      </c>
      <c r="AZ12" s="121" t="str">
        <f>IF((Lecturas!AA10-Lecturas!Z10)&lt;= 0,"0",Lecturas!AA10-Lecturas!Z10)</f>
        <v>0</v>
      </c>
      <c r="BA12" s="126">
        <f t="shared" si="26"/>
        <v>0</v>
      </c>
      <c r="BB12" s="159" t="str">
        <f>IF((Lecturas!AB10-Lecturas!AA10)&lt;= 0,"0",Lecturas!AB10-Lecturas!AA10)</f>
        <v>0</v>
      </c>
      <c r="BC12" s="126">
        <f t="shared" si="27"/>
        <v>0</v>
      </c>
      <c r="BD12" s="121" t="str">
        <f>IF((Lecturas!AC10-Lecturas!AB10)&lt;= 0,"0",Lecturas!AC10-Lecturas!AB10)</f>
        <v>0</v>
      </c>
      <c r="BE12" s="126">
        <f t="shared" si="28"/>
        <v>0</v>
      </c>
      <c r="BF12" s="121" t="str">
        <f>IF((Lecturas!AD10-Lecturas!AC10)&lt;= 0,"0",Lecturas!AD10-Lecturas!AC10)</f>
        <v>0</v>
      </c>
      <c r="BG12" s="126" t="str">
        <f t="shared" si="29"/>
        <v>0</v>
      </c>
      <c r="BH12" s="121" t="str">
        <f>IF((Lecturas!AE10-Lecturas!AD10)&lt;= 0,"0",Lecturas!AE10-Lecturas!AD10)</f>
        <v>0</v>
      </c>
      <c r="BI12" s="126" t="str">
        <f t="shared" si="30"/>
        <v>0</v>
      </c>
      <c r="BJ12" s="121" t="str">
        <f>IF((Lecturas!AF10-Lecturas!AE10)&lt;= 0,"0",Lecturas!AF10-Lecturas!AE10)</f>
        <v>0</v>
      </c>
      <c r="BK12" s="126" t="str">
        <f t="shared" si="31"/>
        <v>0</v>
      </c>
      <c r="BL12" s="121" t="str">
        <f>IF((Lecturas!AG10-Lecturas!AF10)&lt;= 0,"0",Lecturas!AG10-Lecturas!AF10)</f>
        <v>0</v>
      </c>
      <c r="BM12" s="126" t="str">
        <f t="shared" si="32"/>
        <v>0</v>
      </c>
      <c r="BN12" s="121" t="str">
        <f>IF((Lecturas!AH10-Lecturas!AG10)&lt;= 0,"0",Lecturas!AH10-Lecturas!AG10)</f>
        <v>0</v>
      </c>
      <c r="BO12" s="126" t="str">
        <f t="shared" si="33"/>
        <v>0</v>
      </c>
    </row>
    <row r="13" ht="15.75" customHeight="1">
      <c r="A13" s="120">
        <f t="shared" si="1"/>
        <v>0</v>
      </c>
      <c r="B13" s="121">
        <f t="shared" si="2"/>
        <v>0</v>
      </c>
      <c r="C13" s="170">
        <v>301.0</v>
      </c>
      <c r="D13" s="171" t="s">
        <v>264</v>
      </c>
      <c r="E13" s="142" t="s">
        <v>180</v>
      </c>
      <c r="F13" s="121">
        <f>Lecturas!D11-Lecturas!C11</f>
        <v>0</v>
      </c>
      <c r="G13" s="126">
        <f t="shared" si="3"/>
        <v>0</v>
      </c>
      <c r="H13" s="121">
        <f>IF((Lecturas!E11-Lecturas!D11) &lt; 0, "", Lecturas!E11-Lecturas!D11)</f>
        <v>0</v>
      </c>
      <c r="I13" s="126">
        <f t="shared" si="4"/>
        <v>0</v>
      </c>
      <c r="J13" s="121">
        <f>IF(OR((Lecturas!F11-Lecturas!E11) &lt; 0), "", Lecturas!F11-Lecturas!E11)</f>
        <v>0</v>
      </c>
      <c r="K13" s="126">
        <f t="shared" si="5"/>
        <v>0</v>
      </c>
      <c r="L13" s="121">
        <f>IF(OR((Lecturas!G11-Lecturas!F11) &lt; 0), "", Lecturas!G11-Lecturas!F11)</f>
        <v>0</v>
      </c>
      <c r="M13" s="126">
        <f t="shared" si="6"/>
        <v>0</v>
      </c>
      <c r="N13" s="121">
        <f>IF(OR((Lecturas!H11-Lecturas!G11) &lt; 0), "", Lecturas!H11-Lecturas!G11)</f>
        <v>0</v>
      </c>
      <c r="O13" s="126">
        <f t="shared" si="7"/>
        <v>0</v>
      </c>
      <c r="P13" s="121">
        <f>IF(OR((Lecturas!I11-Lecturas!H11) &lt; 0), "", Lecturas!I11-Lecturas!H11)</f>
        <v>0</v>
      </c>
      <c r="Q13" s="126">
        <f t="shared" si="8"/>
        <v>0</v>
      </c>
      <c r="R13" s="121">
        <f>IF(OR((Lecturas!J11-Lecturas!I11) &lt; 0), "", Lecturas!J11-Lecturas!I11)</f>
        <v>0</v>
      </c>
      <c r="S13" s="126">
        <f t="shared" si="9"/>
        <v>0</v>
      </c>
      <c r="T13" s="121">
        <f>IF(OR((Lecturas!K11-Lecturas!J11) &lt; 0), "", Lecturas!K11-Lecturas!J11)</f>
        <v>0</v>
      </c>
      <c r="U13" s="126">
        <f t="shared" si="10"/>
        <v>0</v>
      </c>
      <c r="V13" s="121">
        <f>IF(OR((Lecturas!L11-Lecturas!K11) &lt; 0), "", Lecturas!L11-Lecturas!K11)</f>
        <v>0</v>
      </c>
      <c r="W13" s="126">
        <f t="shared" si="11"/>
        <v>0</v>
      </c>
      <c r="X13" s="121">
        <f>IF(OR((Lecturas!M11-Lecturas!L11) &lt; 0), "", Lecturas!M11-Lecturas!L11)</f>
        <v>0</v>
      </c>
      <c r="Y13" s="126">
        <f t="shared" si="12"/>
        <v>0</v>
      </c>
      <c r="Z13" s="121">
        <f>IF(OR((Lecturas!N11-Lecturas!M11) &lt; 0), "", Lecturas!N11-Lecturas!M11)</f>
        <v>0</v>
      </c>
      <c r="AA13" s="126">
        <f t="shared" si="13"/>
        <v>0</v>
      </c>
      <c r="AB13" s="121">
        <f>IF(OR((Lecturas!O11-Lecturas!N11) &lt; 0), "", Lecturas!O11-Lecturas!N11)</f>
        <v>0</v>
      </c>
      <c r="AC13" s="126">
        <f t="shared" si="14"/>
        <v>0</v>
      </c>
      <c r="AD13" s="121">
        <f>IF(OR((Lecturas!P11-Lecturas!O11) &lt; 0), "", Lecturas!P11-Lecturas!O11)</f>
        <v>0</v>
      </c>
      <c r="AE13" s="126">
        <f t="shared" si="15"/>
        <v>0</v>
      </c>
      <c r="AF13" s="121">
        <f>IF((Lecturas!Q11-Lecturas!P11)&lt; 0,"",Lecturas!Q11-Lecturas!P11)</f>
        <v>0</v>
      </c>
      <c r="AG13" s="126">
        <f t="shared" si="16"/>
        <v>0</v>
      </c>
      <c r="AH13" s="121">
        <v>0.0</v>
      </c>
      <c r="AI13" s="126">
        <f t="shared" si="17"/>
        <v>0</v>
      </c>
      <c r="AJ13" s="121" t="str">
        <f>IF((Lecturas!S11-Lecturas!R11)&lt;= 0,"",Lecturas!S11-Lecturas!R11)</f>
        <v/>
      </c>
      <c r="AK13" s="126">
        <f t="shared" si="18"/>
        <v>0</v>
      </c>
      <c r="AL13" s="121" t="str">
        <f>IF((Lecturas!T11-Lecturas!S11)&lt;= 0,"",Lecturas!T11-Lecturas!S11)</f>
        <v/>
      </c>
      <c r="AM13" s="126">
        <f t="shared" si="19"/>
        <v>0</v>
      </c>
      <c r="AN13" s="121" t="str">
        <f>IF((Lecturas!U11-Lecturas!T11)&lt;= 0,"",Lecturas!U11-Lecturas!T11)</f>
        <v/>
      </c>
      <c r="AO13" s="126">
        <f t="shared" si="20"/>
        <v>0</v>
      </c>
      <c r="AP13" s="121" t="str">
        <f>IF((Lecturas!V11-Lecturas!U11)&lt;= 0,"",Lecturas!V11-Lecturas!U11)</f>
        <v/>
      </c>
      <c r="AQ13" s="126">
        <f t="shared" si="21"/>
        <v>0</v>
      </c>
      <c r="AR13" s="121" t="str">
        <f>IF((Lecturas!W11-Lecturas!V11)&lt;= 0,"",Lecturas!W11-Lecturas!V11)</f>
        <v/>
      </c>
      <c r="AS13" s="126">
        <f t="shared" si="22"/>
        <v>0</v>
      </c>
      <c r="AT13" s="121" t="str">
        <f>IF((Lecturas!X11-Lecturas!W11)&lt;= 0,"",Lecturas!X11-Lecturas!W11)</f>
        <v/>
      </c>
      <c r="AU13" s="126">
        <f t="shared" si="23"/>
        <v>0</v>
      </c>
      <c r="AV13" s="121" t="str">
        <f>IF((Lecturas!Y11-Lecturas!X11)&lt;= 0,"",Lecturas!Y11-Lecturas!X11)</f>
        <v/>
      </c>
      <c r="AW13" s="126">
        <f t="shared" si="24"/>
        <v>0</v>
      </c>
      <c r="AX13" s="121" t="str">
        <f>IF((Lecturas!Z11-Lecturas!Y11)&lt;= 0,"0",Lecturas!Z11-Lecturas!Y11)</f>
        <v>0</v>
      </c>
      <c r="AY13" s="126">
        <f t="shared" si="25"/>
        <v>0</v>
      </c>
      <c r="AZ13" s="121" t="str">
        <f>IF((Lecturas!AA11-Lecturas!Z11)&lt;= 0,"0",Lecturas!AA11-Lecturas!Z11)</f>
        <v>0</v>
      </c>
      <c r="BA13" s="126">
        <f t="shared" si="26"/>
        <v>0</v>
      </c>
      <c r="BB13" s="159" t="str">
        <f>IF((Lecturas!AB11-Lecturas!AA11)&lt;= 0,"0",Lecturas!AB11-Lecturas!AA11)</f>
        <v>0</v>
      </c>
      <c r="BC13" s="126">
        <f t="shared" si="27"/>
        <v>0</v>
      </c>
      <c r="BD13" s="121" t="str">
        <f>IF((Lecturas!AC11-Lecturas!AB11)&lt;= 0,"0",Lecturas!AC11-Lecturas!AB11)</f>
        <v>0</v>
      </c>
      <c r="BE13" s="126">
        <f t="shared" si="28"/>
        <v>0</v>
      </c>
      <c r="BF13" s="121" t="str">
        <f>IF((Lecturas!AD11-Lecturas!AC11)&lt;= 0,"0",Lecturas!AD11-Lecturas!AC11)</f>
        <v>0</v>
      </c>
      <c r="BG13" s="126" t="str">
        <f t="shared" si="29"/>
        <v>0</v>
      </c>
      <c r="BH13" s="121" t="str">
        <f>IF((Lecturas!AE11-Lecturas!AD11)&lt;= 0,"0",Lecturas!AE11-Lecturas!AD11)</f>
        <v>0</v>
      </c>
      <c r="BI13" s="126" t="str">
        <f t="shared" si="30"/>
        <v>0</v>
      </c>
      <c r="BJ13" s="121" t="str">
        <f>IF((Lecturas!AF11-Lecturas!AE11)&lt;= 0,"0",Lecturas!AF11-Lecturas!AE11)</f>
        <v>0</v>
      </c>
      <c r="BK13" s="126" t="str">
        <f t="shared" si="31"/>
        <v>0</v>
      </c>
      <c r="BL13" s="121" t="str">
        <f>IF((Lecturas!AG11-Lecturas!AF11)&lt;= 0,"0",Lecturas!AG11-Lecturas!AF11)</f>
        <v>0</v>
      </c>
      <c r="BM13" s="126" t="str">
        <f t="shared" si="32"/>
        <v>0</v>
      </c>
      <c r="BN13" s="121" t="str">
        <f>IF((Lecturas!AH11-Lecturas!AG11)&lt;= 0,"0",Lecturas!AH11-Lecturas!AG11)</f>
        <v>0</v>
      </c>
      <c r="BO13" s="126" t="str">
        <f t="shared" si="33"/>
        <v>0</v>
      </c>
    </row>
    <row r="14" ht="15.75" customHeight="1">
      <c r="A14" s="120">
        <f t="shared" si="1"/>
        <v>11.6</v>
      </c>
      <c r="B14" s="121">
        <f t="shared" si="2"/>
        <v>0.817</v>
      </c>
      <c r="C14" s="74">
        <v>302.0</v>
      </c>
      <c r="D14" s="123" t="s">
        <v>316</v>
      </c>
      <c r="E14" s="75">
        <v>2034062.0</v>
      </c>
      <c r="F14" s="121">
        <f>Lecturas!D12-Lecturas!C12</f>
        <v>4.871</v>
      </c>
      <c r="G14" s="126">
        <f t="shared" si="3"/>
        <v>108.7983015</v>
      </c>
      <c r="H14" s="121">
        <f>IF((Lecturas!E12-Lecturas!D12) &lt; 0, "", Lecturas!E12-Lecturas!D12)</f>
        <v>1.266</v>
      </c>
      <c r="I14" s="126">
        <f t="shared" si="4"/>
        <v>22.61796298</v>
      </c>
      <c r="J14" s="121">
        <f>IF(OR((Lecturas!F12-Lecturas!E12) &lt;= 0), "", Lecturas!F12-Lecturas!E12)</f>
        <v>0.499</v>
      </c>
      <c r="K14" s="126">
        <f t="shared" si="5"/>
        <v>6.068251654</v>
      </c>
      <c r="L14" s="121">
        <f>IF(OR((Lecturas!G12-Lecturas!F12) &lt;= 0), "", Lecturas!G12-Lecturas!F12)</f>
        <v>0.945</v>
      </c>
      <c r="M14" s="126">
        <f t="shared" si="6"/>
        <v>14.75205161</v>
      </c>
      <c r="N14" s="121">
        <f>IF(OR((Lecturas!H12-Lecturas!G12) &lt;= 0), "", Lecturas!H12-Lecturas!G12)</f>
        <v>0.693</v>
      </c>
      <c r="O14" s="126">
        <f t="shared" si="7"/>
        <v>10.53129383</v>
      </c>
      <c r="P14" s="121">
        <f>IF(OR((Lecturas!I12-Lecturas!H12) &lt;= 0), "", Lecturas!I12-Lecturas!H12)</f>
        <v>0.849</v>
      </c>
      <c r="Q14" s="126">
        <f t="shared" si="8"/>
        <v>12.59996389</v>
      </c>
      <c r="R14" s="121">
        <f>IF(OR((Lecturas!J12-Lecturas!I12) &lt;= 0), "", Lecturas!J12-Lecturas!I12)</f>
        <v>1.12</v>
      </c>
      <c r="S14" s="126">
        <f t="shared" si="9"/>
        <v>18.56011097</v>
      </c>
      <c r="T14" s="121">
        <f>IF(OR((Lecturas!K12-Lecturas!J12) &lt;= 0), "", Lecturas!K12-Lecturas!J12)</f>
        <v>2.602</v>
      </c>
      <c r="U14" s="126">
        <f t="shared" si="10"/>
        <v>45.69649018</v>
      </c>
      <c r="V14" s="121">
        <f>IF(OR((Lecturas!L12-Lecturas!K12) &lt; 0), "", Lecturas!L12-Lecturas!K12)</f>
        <v>3.413</v>
      </c>
      <c r="W14" s="126">
        <f t="shared" si="11"/>
        <v>41.71871823</v>
      </c>
      <c r="X14" s="121">
        <f>IF(OR((Lecturas!M12-Lecturas!L12) &lt; 0), "", Lecturas!M12-Lecturas!L12)</f>
        <v>2.994</v>
      </c>
      <c r="Y14" s="126">
        <f t="shared" si="12"/>
        <v>36.33032288</v>
      </c>
      <c r="Z14" s="121">
        <f>IF(OR((Lecturas!N12-Lecturas!M12) &lt;= 0), "", Lecturas!N12-Lecturas!M12)</f>
        <v>0.795</v>
      </c>
      <c r="AA14" s="126">
        <f t="shared" si="13"/>
        <v>11.19862572</v>
      </c>
      <c r="AB14" s="121">
        <f>IF(OR((Lecturas!O12-Lecturas!N12) &lt; 0), "", Lecturas!O12-Lecturas!N12)</f>
        <v>2.54</v>
      </c>
      <c r="AC14" s="126">
        <f t="shared" si="14"/>
        <v>32.6314793</v>
      </c>
      <c r="AD14" s="121">
        <f>IF(OR((Lecturas!P12-Lecturas!O12) &lt; 0), "", Lecturas!P12-Lecturas!O12)</f>
        <v>2.333</v>
      </c>
      <c r="AE14" s="126">
        <f t="shared" si="15"/>
        <v>29.34490891</v>
      </c>
      <c r="AF14" s="121">
        <f>IF((Lecturas!Q12-Lecturas!P12)&lt;= 0,"",Lecturas!Q12-Lecturas!P12)</f>
        <v>0.817</v>
      </c>
      <c r="AG14" s="126">
        <f t="shared" si="16"/>
        <v>11.64053496</v>
      </c>
      <c r="AH14" s="121">
        <f>IF((Lecturas!R12-Lecturas!Q12)&lt;= 0,"",Lecturas!R12-Lecturas!Q12)</f>
        <v>3.466</v>
      </c>
      <c r="AI14" s="126">
        <f t="shared" si="17"/>
        <v>48.22577364</v>
      </c>
      <c r="AJ14" s="121">
        <f>IF((Lecturas!S12-Lecturas!R12)&lt;= 0,"",Lecturas!S12-Lecturas!R12)</f>
        <v>4.252</v>
      </c>
      <c r="AK14" s="126">
        <f t="shared" si="18"/>
        <v>61.26170629</v>
      </c>
      <c r="AL14" s="121">
        <f>IF((Lecturas!T12-Lecturas!S12)&lt;= 0,"",Lecturas!T12-Lecturas!S12)</f>
        <v>4.214</v>
      </c>
      <c r="AM14" s="126">
        <f t="shared" si="19"/>
        <v>41.8400622</v>
      </c>
      <c r="AN14" s="121">
        <f>IF((Lecturas!U12-Lecturas!T12)&lt;= 0,"",Lecturas!U12-Lecturas!T12)</f>
        <v>2.682</v>
      </c>
      <c r="AO14" s="126">
        <f t="shared" si="20"/>
        <v>43.61720294</v>
      </c>
      <c r="AP14" s="121">
        <f>IF((Lecturas!V12-Lecturas!U12)&lt;= 0,"",Lecturas!V12-Lecturas!U12)</f>
        <v>3.858</v>
      </c>
      <c r="AQ14" s="126">
        <f t="shared" si="21"/>
        <v>51.40102089</v>
      </c>
      <c r="AR14" s="121">
        <f>IF((Lecturas!W12-Lecturas!V12)&lt;= 0,"",Lecturas!W12-Lecturas!V12)</f>
        <v>3.688</v>
      </c>
      <c r="AS14" s="126">
        <f t="shared" si="22"/>
        <v>43.58082408</v>
      </c>
      <c r="AT14" s="121">
        <f>IF((Lecturas!X12-Lecturas!W12)&lt;= 0,"",Lecturas!X12-Lecturas!W12)</f>
        <v>2.838</v>
      </c>
      <c r="AU14" s="126">
        <f t="shared" si="23"/>
        <v>34.12749711</v>
      </c>
      <c r="AV14" s="121">
        <f>IF((Lecturas!Y12-Lecturas!X12)&lt;= 0,"",Lecturas!Y12-Lecturas!X12)</f>
        <v>3.403</v>
      </c>
      <c r="AW14" s="126">
        <f t="shared" si="24"/>
        <v>41.71551474</v>
      </c>
      <c r="AX14" s="121">
        <f>IF((Lecturas!Z12-Lecturas!Y12)&lt;= 0,"0",Lecturas!Z12-Lecturas!Y12)</f>
        <v>3.216</v>
      </c>
      <c r="AY14" s="126">
        <f t="shared" si="25"/>
        <v>37.31867002</v>
      </c>
      <c r="AZ14" s="121">
        <f>IF((Lecturas!AA12-Lecturas!Z12)&lt;= 0,"0",Lecturas!AA12-Lecturas!Z12)</f>
        <v>4.148</v>
      </c>
      <c r="BA14" s="126">
        <f t="shared" si="26"/>
        <v>57.25911966</v>
      </c>
      <c r="BB14" s="144">
        <f>IF((Lecturas!AB12-Lecturas!AA12)&lt;= 0,"0",Lecturas!AB12-Lecturas!AA12)</f>
        <v>3.923</v>
      </c>
      <c r="BC14" s="126">
        <f t="shared" si="27"/>
        <v>58.78876727</v>
      </c>
      <c r="BD14" s="121">
        <f>IF((Lecturas!AC12-Lecturas!AB12)&lt;= 0,"0",Lecturas!AC12-Lecturas!AB12)</f>
        <v>4.07</v>
      </c>
      <c r="BE14" s="126">
        <f t="shared" si="28"/>
        <v>87.9731222</v>
      </c>
      <c r="BF14" s="121" t="str">
        <f>IF((Lecturas!AD12-Lecturas!AC12)&lt;= 0,"0",Lecturas!AD12-Lecturas!AC12)</f>
        <v>0</v>
      </c>
      <c r="BG14" s="126" t="str">
        <f t="shared" si="29"/>
        <v>0</v>
      </c>
      <c r="BH14" s="121" t="str">
        <f>IF((Lecturas!AE12-Lecturas!AD12)&lt;= 0,"0",Lecturas!AE12-Lecturas!AD12)</f>
        <v>0</v>
      </c>
      <c r="BI14" s="126" t="str">
        <f t="shared" si="30"/>
        <v>0</v>
      </c>
      <c r="BJ14" s="121" t="str">
        <f>IF((Lecturas!AF12-Lecturas!AE12)&lt;= 0,"0",Lecturas!AF12-Lecturas!AE12)</f>
        <v>0</v>
      </c>
      <c r="BK14" s="126" t="str">
        <f t="shared" si="31"/>
        <v>0</v>
      </c>
      <c r="BL14" s="121" t="str">
        <f>IF((Lecturas!AG12-Lecturas!AF12)&lt;= 0,"0",Lecturas!AG12-Lecturas!AF12)</f>
        <v>0</v>
      </c>
      <c r="BM14" s="126" t="str">
        <f t="shared" si="32"/>
        <v>0</v>
      </c>
      <c r="BN14" s="121" t="str">
        <f>IF((Lecturas!AH12-Lecturas!AG12)&lt;= 0,"0",Lecturas!AH12-Lecturas!AG12)</f>
        <v>0</v>
      </c>
      <c r="BO14" s="126" t="str">
        <f t="shared" si="33"/>
        <v>0</v>
      </c>
    </row>
    <row r="15" ht="15.75" customHeight="1">
      <c r="A15" s="120">
        <f t="shared" si="1"/>
        <v>26.2</v>
      </c>
      <c r="B15" s="121">
        <f t="shared" si="2"/>
        <v>1.84</v>
      </c>
      <c r="C15" s="74">
        <v>303.0</v>
      </c>
      <c r="D15" s="123" t="s">
        <v>324</v>
      </c>
      <c r="E15" s="75">
        <v>2034065.0</v>
      </c>
      <c r="F15" s="121">
        <f>Lecturas!D13-Lecturas!C13</f>
        <v>1.486</v>
      </c>
      <c r="G15" s="126">
        <f t="shared" si="3"/>
        <v>33.19118786</v>
      </c>
      <c r="H15" s="121">
        <f>IF((Lecturas!E13-Lecturas!D13) &lt; 0, "", Lecturas!E13-Lecturas!D13)</f>
        <v>1.629</v>
      </c>
      <c r="I15" s="126">
        <f t="shared" si="4"/>
        <v>29.10320829</v>
      </c>
      <c r="J15" s="121">
        <f>IF(OR((Lecturas!F13-Lecturas!E13) &lt;= 0), "", Lecturas!F13-Lecturas!E13)</f>
        <v>2.991</v>
      </c>
      <c r="K15" s="126">
        <f t="shared" si="5"/>
        <v>36.37302745</v>
      </c>
      <c r="L15" s="121">
        <f>IF(OR((Lecturas!G13-Lecturas!F13) &lt;= 0), "", Lecturas!G13-Lecturas!F13)</f>
        <v>1.42</v>
      </c>
      <c r="M15" s="126">
        <f t="shared" si="6"/>
        <v>22.16710401</v>
      </c>
      <c r="N15" s="121">
        <f>IF(OR((Lecturas!H13-Lecturas!G13) &lt;= 0), "", Lecturas!H13-Lecturas!G13)</f>
        <v>2.517</v>
      </c>
      <c r="O15" s="126">
        <f t="shared" si="7"/>
        <v>38.25002391</v>
      </c>
      <c r="P15" s="121">
        <f>IF(OR((Lecturas!I13-Lecturas!H13) &lt;= 0), "", Lecturas!I13-Lecturas!H13)</f>
        <v>1.461</v>
      </c>
      <c r="Q15" s="126">
        <f t="shared" si="8"/>
        <v>21.68262338</v>
      </c>
      <c r="R15" s="121">
        <f>IF(OR((Lecturas!J13-Lecturas!I13) &lt;= 0), "", Lecturas!J13-Lecturas!I13)</f>
        <v>4.412</v>
      </c>
      <c r="S15" s="126">
        <f t="shared" si="9"/>
        <v>73.11357998</v>
      </c>
      <c r="T15" s="121">
        <f>IF(OR((Lecturas!K13-Lecturas!J13) &lt;= 0), "", Lecturas!K13-Lecturas!J13)</f>
        <v>1.043</v>
      </c>
      <c r="U15" s="126">
        <f t="shared" si="10"/>
        <v>18.31723261</v>
      </c>
      <c r="V15" s="121">
        <f>IF(OR((Lecturas!L13-Lecturas!K13) &lt; 0), "", Lecturas!L13-Lecturas!K13)</f>
        <v>3.333</v>
      </c>
      <c r="W15" s="126">
        <f t="shared" si="11"/>
        <v>40.74084028</v>
      </c>
      <c r="X15" s="121">
        <f>IF(OR((Lecturas!M13-Lecturas!L13) &lt; 0), "", Lecturas!M13-Lecturas!L13)</f>
        <v>6.026</v>
      </c>
      <c r="Y15" s="126">
        <f t="shared" si="12"/>
        <v>73.12175205</v>
      </c>
      <c r="Z15" s="121">
        <f>IF(OR((Lecturas!N13-Lecturas!M13) &lt;= 0), "", Lecturas!N13-Lecturas!M13)</f>
        <v>7.826</v>
      </c>
      <c r="AA15" s="126">
        <f t="shared" si="13"/>
        <v>110.2395534</v>
      </c>
      <c r="AB15" s="121">
        <f>IF(OR((Lecturas!O13-Lecturas!N13) &lt; 0), "", Lecturas!O13-Lecturas!N13)</f>
        <v>5.635</v>
      </c>
      <c r="AC15" s="126">
        <f t="shared" si="14"/>
        <v>72.3930653</v>
      </c>
      <c r="AD15" s="121">
        <f>IF(OR((Lecturas!P13-Lecturas!O13) &lt; 0), "", Lecturas!P13-Lecturas!O13)</f>
        <v>6.073</v>
      </c>
      <c r="AE15" s="126">
        <f t="shared" si="15"/>
        <v>76.38732611</v>
      </c>
      <c r="AF15" s="121">
        <f>IF((Lecturas!Q13-Lecturas!P13)&lt;= 0,"",Lecturas!Q13-Lecturas!P13)</f>
        <v>1.84</v>
      </c>
      <c r="AG15" s="126">
        <f t="shared" si="16"/>
        <v>26.21613749</v>
      </c>
      <c r="AH15" s="121">
        <f>IF((Lecturas!R13-Lecturas!Q13)&lt;= 0,"",Lecturas!R13-Lecturas!Q13)</f>
        <v>4.793</v>
      </c>
      <c r="AI15" s="126">
        <f t="shared" si="17"/>
        <v>66.68959407</v>
      </c>
      <c r="AJ15" s="121">
        <f>IF((Lecturas!S13-Lecturas!R13)&lt;= 0,"",Lecturas!S13-Lecturas!R13)</f>
        <v>4.294</v>
      </c>
      <c r="AK15" s="126">
        <f t="shared" si="18"/>
        <v>61.86683133</v>
      </c>
      <c r="AL15" s="121">
        <f>IF((Lecturas!T13-Lecturas!S13)&lt;= 0,"",Lecturas!T13-Lecturas!S13)</f>
        <v>2.082</v>
      </c>
      <c r="AM15" s="126">
        <f t="shared" si="19"/>
        <v>20.67181051</v>
      </c>
      <c r="AN15" s="121">
        <f>IF((Lecturas!U13-Lecturas!T13)&lt;= 0,"",Lecturas!U13-Lecturas!T13)</f>
        <v>1.297</v>
      </c>
      <c r="AO15" s="126">
        <f t="shared" si="20"/>
        <v>21.09303214</v>
      </c>
      <c r="AP15" s="121">
        <f>IF((Lecturas!V13-Lecturas!U13)&lt;= 0,"",Lecturas!V13-Lecturas!U13)</f>
        <v>1.004</v>
      </c>
      <c r="AQ15" s="126">
        <f t="shared" si="21"/>
        <v>13.3765228</v>
      </c>
      <c r="AR15" s="121">
        <f>IF((Lecturas!W13-Lecturas!V13)&lt;= 0,"",Lecturas!W13-Lecturas!V13)</f>
        <v>3.375</v>
      </c>
      <c r="AS15" s="126">
        <f t="shared" si="22"/>
        <v>39.88212616</v>
      </c>
      <c r="AT15" s="121">
        <f>IF((Lecturas!X13-Lecturas!W13)&lt;= 0,"",Lecturas!X13-Lecturas!W13)</f>
        <v>5.197</v>
      </c>
      <c r="AU15" s="126">
        <f t="shared" si="23"/>
        <v>62.49492687</v>
      </c>
      <c r="AV15" s="121">
        <f>IF((Lecturas!Y13-Lecturas!X13)&lt;= 0,"",Lecturas!Y13-Lecturas!X13)</f>
        <v>0.987</v>
      </c>
      <c r="AW15" s="126">
        <f t="shared" si="24"/>
        <v>12.09909287</v>
      </c>
      <c r="AX15" s="121">
        <f>IF((Lecturas!Z13-Lecturas!Y13)&lt;= 0,"0",Lecturas!Z13-Lecturas!Y13)</f>
        <v>2.951</v>
      </c>
      <c r="AY15" s="126">
        <f t="shared" si="25"/>
        <v>34.24359304</v>
      </c>
      <c r="AZ15" s="121">
        <f>IF((Lecturas!AA13-Lecturas!Z13)&lt;= 0,"0",Lecturas!AA13-Lecturas!Z13)</f>
        <v>1.35</v>
      </c>
      <c r="BA15" s="126">
        <f t="shared" si="26"/>
        <v>18.63544155</v>
      </c>
      <c r="BB15" s="144">
        <f>IF((Lecturas!AB13-Lecturas!AA13)&lt;= 0,"0",Lecturas!AB13-Lecturas!AA13)</f>
        <v>4.076</v>
      </c>
      <c r="BC15" s="126">
        <f t="shared" si="27"/>
        <v>61.08157415</v>
      </c>
      <c r="BD15" s="121">
        <f>IF((Lecturas!AC13-Lecturas!AB13)&lt;= 0,"0",Lecturas!AC13-Lecturas!AB13)</f>
        <v>3.287</v>
      </c>
      <c r="BE15" s="126">
        <f t="shared" si="28"/>
        <v>71.04856331</v>
      </c>
      <c r="BF15" s="121" t="str">
        <f>IF((Lecturas!AD13-Lecturas!AC13)&lt;= 0,"0",Lecturas!AD13-Lecturas!AC13)</f>
        <v>0</v>
      </c>
      <c r="BG15" s="126" t="str">
        <f t="shared" si="29"/>
        <v>0</v>
      </c>
      <c r="BH15" s="121" t="str">
        <f>IF((Lecturas!AE13-Lecturas!AD13)&lt;= 0,"0",Lecturas!AE13-Lecturas!AD13)</f>
        <v>0</v>
      </c>
      <c r="BI15" s="126" t="str">
        <f t="shared" si="30"/>
        <v>0</v>
      </c>
      <c r="BJ15" s="121" t="str">
        <f>IF((Lecturas!AF13-Lecturas!AE13)&lt;= 0,"0",Lecturas!AF13-Lecturas!AE13)</f>
        <v>0</v>
      </c>
      <c r="BK15" s="126" t="str">
        <f t="shared" si="31"/>
        <v>0</v>
      </c>
      <c r="BL15" s="121" t="str">
        <f>IF((Lecturas!AG13-Lecturas!AF13)&lt;= 0,"0",Lecturas!AG13-Lecturas!AF13)</f>
        <v>0</v>
      </c>
      <c r="BM15" s="126" t="str">
        <f t="shared" si="32"/>
        <v>0</v>
      </c>
      <c r="BN15" s="121" t="str">
        <f>IF((Lecturas!AH13-Lecturas!AG13)&lt;= 0,"0",Lecturas!AH13-Lecturas!AG13)</f>
        <v>0</v>
      </c>
      <c r="BO15" s="126" t="str">
        <f t="shared" si="33"/>
        <v>0</v>
      </c>
    </row>
    <row r="16" ht="15.75" customHeight="1">
      <c r="A16" s="120">
        <f t="shared" si="1"/>
        <v>29.8</v>
      </c>
      <c r="B16" s="121">
        <f t="shared" si="2"/>
        <v>2.09</v>
      </c>
      <c r="C16" s="74">
        <v>304.0</v>
      </c>
      <c r="D16" s="123" t="s">
        <v>328</v>
      </c>
      <c r="E16" s="75">
        <v>2034043.0</v>
      </c>
      <c r="F16" s="121">
        <f>Lecturas!D14-Lecturas!C14</f>
        <v>0.616</v>
      </c>
      <c r="G16" s="126">
        <f t="shared" si="3"/>
        <v>13.75893117</v>
      </c>
      <c r="H16" s="121">
        <f>IF((Lecturas!E14-Lecturas!D14) &lt; 0, "", Lecturas!E14-Lecturas!D14)</f>
        <v>0.611</v>
      </c>
      <c r="I16" s="126">
        <f t="shared" si="4"/>
        <v>10.91593632</v>
      </c>
      <c r="J16" s="121">
        <f>IF(OR((Lecturas!F14-Lecturas!E14) &lt; 0), "", Lecturas!F14-Lecturas!E14)</f>
        <v>0</v>
      </c>
      <c r="K16" s="126">
        <f t="shared" si="5"/>
        <v>0</v>
      </c>
      <c r="L16" s="121">
        <f>IF(OR((Lecturas!G14-Lecturas!F14) &lt;= 0), "", Lecturas!G14-Lecturas!F14)</f>
        <v>4.376</v>
      </c>
      <c r="M16" s="126">
        <f t="shared" si="6"/>
        <v>68.31214588</v>
      </c>
      <c r="N16" s="121">
        <f>IF(OR((Lecturas!H14-Lecturas!G14) &lt;= 0), "", Lecturas!H14-Lecturas!G14)</f>
        <v>3.587</v>
      </c>
      <c r="O16" s="126">
        <f t="shared" si="7"/>
        <v>54.51046315</v>
      </c>
      <c r="P16" s="121">
        <f>IF(OR((Lecturas!I14-Lecturas!H14) &lt;= 0), "", Lecturas!I14-Lecturas!H14)</f>
        <v>2.449</v>
      </c>
      <c r="Q16" s="126">
        <f t="shared" si="8"/>
        <v>36.34547889</v>
      </c>
      <c r="R16" s="121">
        <f>IF(OR((Lecturas!J14-Lecturas!I14) &lt;= 0), "", Lecturas!J14-Lecturas!I14)</f>
        <v>1.184</v>
      </c>
      <c r="S16" s="126">
        <f t="shared" si="9"/>
        <v>19.62068874</v>
      </c>
      <c r="T16" s="121">
        <f>IF(OR((Lecturas!K14-Lecturas!J14) &lt;= 0), "", Lecturas!K14-Lecturas!J14)</f>
        <v>0.002</v>
      </c>
      <c r="U16" s="126">
        <f t="shared" si="10"/>
        <v>0.03512412773</v>
      </c>
      <c r="V16" s="121">
        <f>IF(OR((Lecturas!L14-Lecturas!K14) &lt; 0), "", Lecturas!L14-Lecturas!K14)</f>
        <v>0.062</v>
      </c>
      <c r="W16" s="126">
        <f t="shared" si="11"/>
        <v>0.7578554147</v>
      </c>
      <c r="X16" s="121">
        <f>IF(OR((Lecturas!M14-Lecturas!L14) &lt; 0), "", Lecturas!M14-Lecturas!L14)</f>
        <v>0</v>
      </c>
      <c r="Y16" s="126">
        <f t="shared" si="12"/>
        <v>0</v>
      </c>
      <c r="Z16" s="121">
        <f>IF(OR((Lecturas!N14-Lecturas!M14) &lt;= 0), "", Lecturas!N14-Lecturas!M14)</f>
        <v>5.724</v>
      </c>
      <c r="AA16" s="126">
        <f t="shared" si="13"/>
        <v>80.63010522</v>
      </c>
      <c r="AB16" s="121">
        <f>IF(OR((Lecturas!O14-Lecturas!N14) &lt; 0), "", Lecturas!O14-Lecturas!N14)</f>
        <v>3.688</v>
      </c>
      <c r="AC16" s="126">
        <f t="shared" si="14"/>
        <v>47.37988018</v>
      </c>
      <c r="AD16" s="121">
        <f>IF(OR((Lecturas!P14-Lecturas!O14) &lt; 0), "", Lecturas!P14-Lecturas!O14)</f>
        <v>4.763</v>
      </c>
      <c r="AE16" s="126">
        <f t="shared" si="15"/>
        <v>59.9099019</v>
      </c>
      <c r="AF16" s="121">
        <f>IF((Lecturas!Q14-Lecturas!P14)&lt;= 0,"",Lecturas!Q14-Lecturas!P14)</f>
        <v>2.09</v>
      </c>
      <c r="AG16" s="126">
        <f t="shared" si="16"/>
        <v>29.77811269</v>
      </c>
      <c r="AH16" s="121">
        <f>IF((Lecturas!R14-Lecturas!Q14)&lt;= 0,"",Lecturas!R14-Lecturas!Q14)</f>
        <v>0.006</v>
      </c>
      <c r="AI16" s="126">
        <f t="shared" si="17"/>
        <v>0.0834837397</v>
      </c>
      <c r="AJ16" s="121">
        <f>IF((Lecturas!S14-Lecturas!R14)&lt;= 0,"",Lecturas!S14-Lecturas!R14)</f>
        <v>0.005</v>
      </c>
      <c r="AK16" s="126">
        <f t="shared" si="18"/>
        <v>0.07203869507</v>
      </c>
      <c r="AL16" s="121">
        <f>IF((Lecturas!T14-Lecturas!S14)&lt;= 0,"",Lecturas!T14-Lecturas!S14)</f>
        <v>0.002</v>
      </c>
      <c r="AM16" s="126">
        <f t="shared" si="19"/>
        <v>0.01985764699</v>
      </c>
      <c r="AN16" s="121">
        <f>IF((Lecturas!U14-Lecturas!T14)&lt;= 0,"",Lecturas!U14-Lecturas!T14)</f>
        <v>2.289</v>
      </c>
      <c r="AO16" s="126">
        <f t="shared" si="20"/>
        <v>37.22586783</v>
      </c>
      <c r="AP16" s="121">
        <f>IF((Lecturas!V14-Lecturas!U14)&lt;= 0,"",Lecturas!V14-Lecturas!U14)</f>
        <v>0.102</v>
      </c>
      <c r="AQ16" s="126">
        <f t="shared" si="21"/>
        <v>1.358969448</v>
      </c>
      <c r="AR16" s="121">
        <f>IF((Lecturas!W14-Lecturas!V14)&lt;= 0,"",Lecturas!W14-Lecturas!V14)</f>
        <v>2.171</v>
      </c>
      <c r="AS16" s="126">
        <f t="shared" si="22"/>
        <v>25.65454693</v>
      </c>
      <c r="AT16" s="121">
        <f>IF((Lecturas!X14-Lecturas!W14)&lt;= 0,"",Lecturas!X14-Lecturas!W14)</f>
        <v>0.001</v>
      </c>
      <c r="AU16" s="126">
        <f t="shared" si="23"/>
        <v>0.01202519278</v>
      </c>
      <c r="AV16" s="121">
        <f>IF((Lecturas!Y14-Lecturas!X14)&lt;= 0,"",Lecturas!Y14-Lecturas!X14)</f>
        <v>2.248</v>
      </c>
      <c r="AW16" s="126">
        <f t="shared" si="24"/>
        <v>27.55700181</v>
      </c>
      <c r="AX16" s="121">
        <f>IF((Lecturas!Z14-Lecturas!Y14)&lt;= 0,"0",Lecturas!Z14-Lecturas!Y14)</f>
        <v>4.133</v>
      </c>
      <c r="AY16" s="126">
        <f t="shared" si="25"/>
        <v>47.95959676</v>
      </c>
      <c r="AZ16" s="121">
        <f>IF((Lecturas!AA14-Lecturas!Z14)&lt;= 0,"0",Lecturas!AA14-Lecturas!Z14)</f>
        <v>4.615</v>
      </c>
      <c r="BA16" s="126">
        <f t="shared" si="26"/>
        <v>63.70560204</v>
      </c>
      <c r="BB16" s="144">
        <f>IF((Lecturas!AB14-Lecturas!AA14)&lt;= 0,"0",Lecturas!AB14-Lecturas!AA14)</f>
        <v>3.989</v>
      </c>
      <c r="BC16" s="126">
        <f t="shared" si="27"/>
        <v>59.77782121</v>
      </c>
      <c r="BD16" s="121">
        <f>IF((Lecturas!AC14-Lecturas!AB14)&lt;= 0,"0",Lecturas!AC14-Lecturas!AB14)</f>
        <v>2.001</v>
      </c>
      <c r="BE16" s="126">
        <f t="shared" si="28"/>
        <v>43.25165049</v>
      </c>
      <c r="BF16" s="121" t="str">
        <f>IF((Lecturas!AD14-Lecturas!AC14)&lt;= 0,"0",Lecturas!AD14-Lecturas!AC14)</f>
        <v>0</v>
      </c>
      <c r="BG16" s="126" t="str">
        <f t="shared" si="29"/>
        <v>0</v>
      </c>
      <c r="BH16" s="121" t="str">
        <f>IF((Lecturas!AE14-Lecturas!AD14)&lt;= 0,"0",Lecturas!AE14-Lecturas!AD14)</f>
        <v>0</v>
      </c>
      <c r="BI16" s="126" t="str">
        <f t="shared" si="30"/>
        <v>0</v>
      </c>
      <c r="BJ16" s="121" t="str">
        <f>IF((Lecturas!AF14-Lecturas!AE14)&lt;= 0,"0",Lecturas!AF14-Lecturas!AE14)</f>
        <v>0</v>
      </c>
      <c r="BK16" s="126" t="str">
        <f t="shared" si="31"/>
        <v>0</v>
      </c>
      <c r="BL16" s="121" t="str">
        <f>IF((Lecturas!AG14-Lecturas!AF14)&lt;= 0,"0",Lecturas!AG14-Lecturas!AF14)</f>
        <v>0</v>
      </c>
      <c r="BM16" s="126" t="str">
        <f t="shared" si="32"/>
        <v>0</v>
      </c>
      <c r="BN16" s="121" t="str">
        <f>IF((Lecturas!AH14-Lecturas!AG14)&lt;= 0,"0",Lecturas!AH14-Lecturas!AG14)</f>
        <v>0</v>
      </c>
      <c r="BO16" s="126" t="str">
        <f t="shared" si="33"/>
        <v>0</v>
      </c>
    </row>
    <row r="17" ht="15.75" customHeight="1">
      <c r="A17" s="120">
        <f t="shared" si="1"/>
        <v>0</v>
      </c>
      <c r="B17" s="121">
        <f t="shared" si="2"/>
        <v>0</v>
      </c>
      <c r="C17" s="74">
        <v>305.0</v>
      </c>
      <c r="D17" s="123" t="s">
        <v>331</v>
      </c>
      <c r="E17" s="75">
        <v>2034044.0</v>
      </c>
      <c r="F17" s="121">
        <f>Lecturas!D15-Lecturas!C15</f>
        <v>1.522</v>
      </c>
      <c r="G17" s="126">
        <f t="shared" si="3"/>
        <v>33.99528124</v>
      </c>
      <c r="H17" s="121">
        <f>IF((Lecturas!E15-Lecturas!D15) &lt; 0, "", Lecturas!E15-Lecturas!D15)</f>
        <v>1.541</v>
      </c>
      <c r="I17" s="126">
        <f t="shared" si="4"/>
        <v>27.53102761</v>
      </c>
      <c r="J17" s="121">
        <f>IF(OR((Lecturas!F15-Lecturas!E15) &lt;= 0), "", Lecturas!F15-Lecturas!E15)</f>
        <v>1.523</v>
      </c>
      <c r="K17" s="126">
        <f t="shared" si="5"/>
        <v>18.52093641</v>
      </c>
      <c r="L17" s="121">
        <f>IF(OR((Lecturas!G15-Lecturas!F15) &lt;= 0), "", Lecturas!G15-Lecturas!F15)</f>
        <v>1.312</v>
      </c>
      <c r="M17" s="126">
        <f t="shared" si="6"/>
        <v>20.48115525</v>
      </c>
      <c r="N17" s="121">
        <f>IF(OR((Lecturas!H15-Lecturas!G15) &lt;= 0), "", Lecturas!H15-Lecturas!G15)</f>
        <v>1.465</v>
      </c>
      <c r="O17" s="126">
        <f t="shared" si="7"/>
        <v>22.26312476</v>
      </c>
      <c r="P17" s="121">
        <f>IF(OR((Lecturas!I15-Lecturas!H15) &lt;= 0), "", Lecturas!I15-Lecturas!H15)</f>
        <v>1.355</v>
      </c>
      <c r="Q17" s="126">
        <f t="shared" si="8"/>
        <v>20.10948301</v>
      </c>
      <c r="R17" s="121">
        <f>IF(OR((Lecturas!J15-Lecturas!I15) &lt;= 0), "", Lecturas!J15-Lecturas!I15)</f>
        <v>1.184</v>
      </c>
      <c r="S17" s="126">
        <f t="shared" si="9"/>
        <v>19.62068874</v>
      </c>
      <c r="T17" s="121">
        <f>IF(OR((Lecturas!K15-Lecturas!J15) &lt;= 0), "", Lecturas!K15-Lecturas!J15)</f>
        <v>0.251</v>
      </c>
      <c r="U17" s="126">
        <f t="shared" si="10"/>
        <v>4.408078031</v>
      </c>
      <c r="V17" s="121">
        <f>IF(OR((Lecturas!L15-Lecturas!K15) &lt; 0), "", Lecturas!L15-Lecturas!K15)</f>
        <v>0.45</v>
      </c>
      <c r="W17" s="126">
        <f t="shared" si="11"/>
        <v>5.500563494</v>
      </c>
      <c r="X17" s="121">
        <f>IF(OR((Lecturas!M15-Lecturas!L15) &lt; 0), "", Lecturas!M15-Lecturas!L15)</f>
        <v>0</v>
      </c>
      <c r="Y17" s="126">
        <f t="shared" si="12"/>
        <v>0</v>
      </c>
      <c r="Z17" s="121">
        <f>IF(OR((Lecturas!N15-Lecturas!M15) &lt;= 0), "", Lecturas!N15-Lecturas!M15)</f>
        <v>0.386</v>
      </c>
      <c r="AA17" s="126">
        <f t="shared" si="13"/>
        <v>5.437320163</v>
      </c>
      <c r="AB17" s="121">
        <f>IF(OR((Lecturas!O15-Lecturas!N15) &lt; 0), "", Lecturas!O15-Lecturas!N15)</f>
        <v>0</v>
      </c>
      <c r="AC17" s="126">
        <f t="shared" si="14"/>
        <v>0</v>
      </c>
      <c r="AD17" s="121">
        <f>IF(OR((Lecturas!P15-Lecturas!O15) &lt; 0), "", Lecturas!P15-Lecturas!O15)</f>
        <v>0</v>
      </c>
      <c r="AE17" s="126">
        <f t="shared" si="15"/>
        <v>0</v>
      </c>
      <c r="AF17" s="121">
        <f>IF((Lecturas!Q15-Lecturas!P15)&lt; 0,"",Lecturas!Q15-Lecturas!P15)</f>
        <v>0</v>
      </c>
      <c r="AG17" s="126">
        <f t="shared" si="16"/>
        <v>0</v>
      </c>
      <c r="AH17" s="121">
        <v>0.0</v>
      </c>
      <c r="AI17" s="126">
        <f t="shared" si="17"/>
        <v>0</v>
      </c>
      <c r="AJ17" s="121" t="str">
        <f>IF((Lecturas!S15-Lecturas!R15)&lt;= 0,"",Lecturas!S15-Lecturas!R15)</f>
        <v/>
      </c>
      <c r="AK17" s="126">
        <f t="shared" si="18"/>
        <v>0</v>
      </c>
      <c r="AL17" s="121" t="str">
        <f>IF((Lecturas!T15-Lecturas!S15)&lt;= 0,"",Lecturas!T15-Lecturas!S15)</f>
        <v/>
      </c>
      <c r="AM17" s="126">
        <f t="shared" si="19"/>
        <v>0</v>
      </c>
      <c r="AN17" s="121" t="str">
        <f>IF((Lecturas!U15-Lecturas!T15)&lt;= 0,"",Lecturas!U15-Lecturas!T15)</f>
        <v/>
      </c>
      <c r="AO17" s="126">
        <f t="shared" si="20"/>
        <v>0</v>
      </c>
      <c r="AP17" s="121" t="str">
        <f>IF((Lecturas!V15-Lecturas!U15)&lt;= 0,"",Lecturas!V15-Lecturas!U15)</f>
        <v/>
      </c>
      <c r="AQ17" s="126">
        <f t="shared" si="21"/>
        <v>0</v>
      </c>
      <c r="AR17" s="121" t="str">
        <f>IF((Lecturas!W15-Lecturas!V15)&lt;= 0,"",Lecturas!W15-Lecturas!V15)</f>
        <v/>
      </c>
      <c r="AS17" s="126">
        <f t="shared" si="22"/>
        <v>0</v>
      </c>
      <c r="AT17" s="121" t="str">
        <f>IF((Lecturas!X15-Lecturas!W15)&lt;= 0,"",Lecturas!X15-Lecturas!W15)</f>
        <v/>
      </c>
      <c r="AU17" s="126">
        <f t="shared" si="23"/>
        <v>0</v>
      </c>
      <c r="AV17" s="121" t="str">
        <f>IF((Lecturas!Y15-Lecturas!X15)&lt;= 0,"",Lecturas!Y15-Lecturas!X15)</f>
        <v/>
      </c>
      <c r="AW17" s="126">
        <f t="shared" si="24"/>
        <v>0</v>
      </c>
      <c r="AX17" s="121" t="str">
        <f>IF((Lecturas!Z15-Lecturas!Y15)&lt;= 0,"0",Lecturas!Z15-Lecturas!Y15)</f>
        <v>0</v>
      </c>
      <c r="AY17" s="126">
        <f t="shared" si="25"/>
        <v>0</v>
      </c>
      <c r="AZ17" s="121" t="str">
        <f>IF((Lecturas!AA15-Lecturas!Z15)&lt;= 0,"0",Lecturas!AA15-Lecturas!Z15)</f>
        <v>0</v>
      </c>
      <c r="BA17" s="126">
        <f t="shared" si="26"/>
        <v>0</v>
      </c>
      <c r="BB17" s="144">
        <f>IF((Lecturas!AB15-Lecturas!AA15)&lt;= 0,"0",Lecturas!AB15-Lecturas!AA15)</f>
        <v>0.001</v>
      </c>
      <c r="BC17" s="126">
        <f t="shared" si="27"/>
        <v>0.01498566588</v>
      </c>
      <c r="BD17" s="121" t="str">
        <f>IF((Lecturas!AC15-Lecturas!AB15)&lt;= 0,"0",Lecturas!AC15-Lecturas!AB15)</f>
        <v>0</v>
      </c>
      <c r="BE17" s="126">
        <f t="shared" si="28"/>
        <v>0</v>
      </c>
      <c r="BF17" s="121" t="str">
        <f>IF((Lecturas!AD15-Lecturas!AC15)&lt;= 0,"0",Lecturas!AD15-Lecturas!AC15)</f>
        <v>0</v>
      </c>
      <c r="BG17" s="126" t="str">
        <f t="shared" si="29"/>
        <v>0</v>
      </c>
      <c r="BH17" s="121" t="str">
        <f>IF((Lecturas!AE15-Lecturas!AD15)&lt;= 0,"0",Lecturas!AE15-Lecturas!AD15)</f>
        <v>0</v>
      </c>
      <c r="BI17" s="126" t="str">
        <f t="shared" si="30"/>
        <v>0</v>
      </c>
      <c r="BJ17" s="121" t="str">
        <f>IF((Lecturas!AF15-Lecturas!AE15)&lt;= 0,"0",Lecturas!AF15-Lecturas!AE15)</f>
        <v>0</v>
      </c>
      <c r="BK17" s="126" t="str">
        <f t="shared" si="31"/>
        <v>0</v>
      </c>
      <c r="BL17" s="121" t="str">
        <f>IF((Lecturas!AG15-Lecturas!AF15)&lt;= 0,"0",Lecturas!AG15-Lecturas!AF15)</f>
        <v>0</v>
      </c>
      <c r="BM17" s="126" t="str">
        <f t="shared" si="32"/>
        <v>0</v>
      </c>
      <c r="BN17" s="121" t="str">
        <f>IF((Lecturas!AH15-Lecturas!AG15)&lt;= 0,"0",Lecturas!AH15-Lecturas!AG15)</f>
        <v>0</v>
      </c>
      <c r="BO17" s="126" t="str">
        <f t="shared" si="33"/>
        <v>0</v>
      </c>
    </row>
    <row r="18" ht="15.75" customHeight="1">
      <c r="A18" s="120">
        <f t="shared" si="1"/>
        <v>0</v>
      </c>
      <c r="B18" s="121">
        <f t="shared" si="2"/>
        <v>0</v>
      </c>
      <c r="C18" s="170">
        <v>306.0</v>
      </c>
      <c r="D18" s="171" t="s">
        <v>332</v>
      </c>
      <c r="E18" s="142">
        <v>2034050.0</v>
      </c>
      <c r="F18" s="121">
        <f>Lecturas!D16-Lecturas!C16</f>
        <v>0</v>
      </c>
      <c r="G18" s="126">
        <f t="shared" si="3"/>
        <v>0</v>
      </c>
      <c r="H18" s="121">
        <f>IF((Lecturas!E16-Lecturas!D16) &lt; 0, "", Lecturas!E16-Lecturas!D16)</f>
        <v>0</v>
      </c>
      <c r="I18" s="126">
        <f t="shared" si="4"/>
        <v>0</v>
      </c>
      <c r="J18" s="121">
        <f>IF(OR((Lecturas!F16-Lecturas!E16) &lt; 0), "", Lecturas!F16-Lecturas!E16)</f>
        <v>0</v>
      </c>
      <c r="K18" s="126">
        <f t="shared" si="5"/>
        <v>0</v>
      </c>
      <c r="L18" s="121">
        <f>IF(OR((Lecturas!G16-Lecturas!F16) &lt; 0), "", Lecturas!G16-Lecturas!F16)</f>
        <v>0</v>
      </c>
      <c r="M18" s="126">
        <f t="shared" si="6"/>
        <v>0</v>
      </c>
      <c r="N18" s="121">
        <f>IF(OR((Lecturas!H16-Lecturas!G16) &lt; 0), "", Lecturas!H16-Lecturas!G16)</f>
        <v>0</v>
      </c>
      <c r="O18" s="126">
        <f t="shared" si="7"/>
        <v>0</v>
      </c>
      <c r="P18" s="121">
        <f>IF(OR((Lecturas!I16-Lecturas!H16) &lt; 0), "", Lecturas!I16-Lecturas!H16)</f>
        <v>0</v>
      </c>
      <c r="Q18" s="126">
        <f t="shared" si="8"/>
        <v>0</v>
      </c>
      <c r="R18" s="121">
        <f>IF(OR((Lecturas!J16-Lecturas!I16) &lt; 0), "", Lecturas!J16-Lecturas!I16)</f>
        <v>0</v>
      </c>
      <c r="S18" s="126">
        <f t="shared" si="9"/>
        <v>0</v>
      </c>
      <c r="T18" s="121">
        <f>IF(OR((Lecturas!K16-Lecturas!J16) &lt; 0), "", Lecturas!K16-Lecturas!J16)</f>
        <v>0</v>
      </c>
      <c r="U18" s="126">
        <f t="shared" si="10"/>
        <v>0</v>
      </c>
      <c r="V18" s="121">
        <f>IF(OR((Lecturas!L16-Lecturas!K16) &lt; 0), "", Lecturas!L16-Lecturas!K16)</f>
        <v>0</v>
      </c>
      <c r="W18" s="126">
        <f t="shared" si="11"/>
        <v>0</v>
      </c>
      <c r="X18" s="121">
        <f>IF(OR((Lecturas!M16-Lecturas!L16) &lt; 0), "", Lecturas!M16-Lecturas!L16)</f>
        <v>0</v>
      </c>
      <c r="Y18" s="126">
        <f t="shared" si="12"/>
        <v>0</v>
      </c>
      <c r="Z18" s="121">
        <f>IF(OR((Lecturas!N16-Lecturas!M16) &lt; 0), "", Lecturas!N16-Lecturas!M16)</f>
        <v>0</v>
      </c>
      <c r="AA18" s="126">
        <f t="shared" si="13"/>
        <v>0</v>
      </c>
      <c r="AB18" s="121">
        <f>IF(OR((Lecturas!O16-Lecturas!N16) &lt; 0), "", Lecturas!O16-Lecturas!N16)</f>
        <v>0</v>
      </c>
      <c r="AC18" s="126">
        <f t="shared" si="14"/>
        <v>0</v>
      </c>
      <c r="AD18" s="121">
        <f>IF(OR((Lecturas!P16-Lecturas!O16) &lt; 0), "", Lecturas!P16-Lecturas!O16)</f>
        <v>0</v>
      </c>
      <c r="AE18" s="126">
        <f t="shared" si="15"/>
        <v>0</v>
      </c>
      <c r="AF18" s="121">
        <f>IF((Lecturas!Q16-Lecturas!P16)&lt; 0,"",Lecturas!Q16-Lecturas!P16)</f>
        <v>0</v>
      </c>
      <c r="AG18" s="126">
        <f t="shared" si="16"/>
        <v>0</v>
      </c>
      <c r="AH18" s="121">
        <v>0.0</v>
      </c>
      <c r="AI18" s="126">
        <f t="shared" si="17"/>
        <v>0</v>
      </c>
      <c r="AJ18" s="121" t="str">
        <f>IF((Lecturas!S16-Lecturas!R16)&lt;= 0,"",Lecturas!S16-Lecturas!R16)</f>
        <v/>
      </c>
      <c r="AK18" s="126">
        <f t="shared" si="18"/>
        <v>0</v>
      </c>
      <c r="AL18" s="121" t="str">
        <f>IF((Lecturas!T16-Lecturas!S16)&lt;= 0,"",Lecturas!T16-Lecturas!S16)</f>
        <v/>
      </c>
      <c r="AM18" s="126">
        <f t="shared" si="19"/>
        <v>0</v>
      </c>
      <c r="AN18" s="121" t="str">
        <f>IF((Lecturas!U16-Lecturas!T16)&lt;= 0,"",Lecturas!U16-Lecturas!T16)</f>
        <v/>
      </c>
      <c r="AO18" s="126">
        <f t="shared" si="20"/>
        <v>0</v>
      </c>
      <c r="AP18" s="121" t="str">
        <f>IF((Lecturas!V16-Lecturas!U16)&lt;= 0,"",Lecturas!V16-Lecturas!U16)</f>
        <v/>
      </c>
      <c r="AQ18" s="126">
        <f t="shared" si="21"/>
        <v>0</v>
      </c>
      <c r="AR18" s="121" t="str">
        <f>IF((Lecturas!W16-Lecturas!V16)&lt;= 0,"",Lecturas!W16-Lecturas!V16)</f>
        <v/>
      </c>
      <c r="AS18" s="126">
        <f t="shared" si="22"/>
        <v>0</v>
      </c>
      <c r="AT18" s="121" t="str">
        <f>IF((Lecturas!X16-Lecturas!W16)&lt;= 0,"",Lecturas!X16-Lecturas!W16)</f>
        <v/>
      </c>
      <c r="AU18" s="126">
        <f t="shared" si="23"/>
        <v>0</v>
      </c>
      <c r="AV18" s="121" t="str">
        <f>IF((Lecturas!Y16-Lecturas!X16)&lt;= 0,"",Lecturas!Y16-Lecturas!X16)</f>
        <v/>
      </c>
      <c r="AW18" s="126">
        <f t="shared" si="24"/>
        <v>0</v>
      </c>
      <c r="AX18" s="121" t="str">
        <f>IF((Lecturas!Z16-Lecturas!Y16)&lt;= 0,"0",Lecturas!Z16-Lecturas!Y16)</f>
        <v>0</v>
      </c>
      <c r="AY18" s="126">
        <f t="shared" si="25"/>
        <v>0</v>
      </c>
      <c r="AZ18" s="121" t="str">
        <f>IF((Lecturas!AA16-Lecturas!Z16)&lt;= 0,"0",Lecturas!AA16-Lecturas!Z16)</f>
        <v>0</v>
      </c>
      <c r="BA18" s="126">
        <f t="shared" si="26"/>
        <v>0</v>
      </c>
      <c r="BB18" s="159" t="str">
        <f>IF((Lecturas!AB16-Lecturas!AA16)&lt;= 0,"0",Lecturas!AB16-Lecturas!AA16)</f>
        <v>0</v>
      </c>
      <c r="BC18" s="126">
        <f t="shared" si="27"/>
        <v>0</v>
      </c>
      <c r="BD18" s="121" t="str">
        <f>IF((Lecturas!AC16-Lecturas!AB16)&lt;= 0,"0",Lecturas!AC16-Lecturas!AB16)</f>
        <v>0</v>
      </c>
      <c r="BE18" s="126">
        <f t="shared" si="28"/>
        <v>0</v>
      </c>
      <c r="BF18" s="121" t="str">
        <f>IF((Lecturas!AD16-Lecturas!AC16)&lt;= 0,"0",Lecturas!AD16-Lecturas!AC16)</f>
        <v>0</v>
      </c>
      <c r="BG18" s="126" t="str">
        <f t="shared" si="29"/>
        <v>0</v>
      </c>
      <c r="BH18" s="121" t="str">
        <f>IF((Lecturas!AE16-Lecturas!AD16)&lt;= 0,"0",Lecturas!AE16-Lecturas!AD16)</f>
        <v>0</v>
      </c>
      <c r="BI18" s="126" t="str">
        <f t="shared" si="30"/>
        <v>0</v>
      </c>
      <c r="BJ18" s="121" t="str">
        <f>IF((Lecturas!AF16-Lecturas!AE16)&lt;= 0,"0",Lecturas!AF16-Lecturas!AE16)</f>
        <v>0</v>
      </c>
      <c r="BK18" s="126" t="str">
        <f t="shared" si="31"/>
        <v>0</v>
      </c>
      <c r="BL18" s="121" t="str">
        <f>IF((Lecturas!AG16-Lecturas!AF16)&lt;= 0,"0",Lecturas!AG16-Lecturas!AF16)</f>
        <v>0</v>
      </c>
      <c r="BM18" s="126" t="str">
        <f t="shared" si="32"/>
        <v>0</v>
      </c>
      <c r="BN18" s="121" t="str">
        <f>IF((Lecturas!AH16-Lecturas!AG16)&lt;= 0,"0",Lecturas!AH16-Lecturas!AG16)</f>
        <v>0</v>
      </c>
      <c r="BO18" s="126" t="str">
        <f t="shared" si="33"/>
        <v>0</v>
      </c>
    </row>
    <row r="19" ht="15.75" customHeight="1">
      <c r="A19" s="120">
        <f t="shared" si="1"/>
        <v>9.5</v>
      </c>
      <c r="B19" s="121">
        <f t="shared" si="2"/>
        <v>0.666</v>
      </c>
      <c r="C19" s="74">
        <v>402.0</v>
      </c>
      <c r="D19" s="123" t="s">
        <v>333</v>
      </c>
      <c r="E19" s="75">
        <v>2034057.0</v>
      </c>
      <c r="F19" s="121">
        <f>Lecturas!D17-Lecturas!C17</f>
        <v>2.866</v>
      </c>
      <c r="G19" s="126">
        <f t="shared" si="3"/>
        <v>64.01476744</v>
      </c>
      <c r="H19" s="121">
        <f>IF((Lecturas!E17-Lecturas!D17) &lt; 0, "", Lecturas!E17-Lecturas!D17)</f>
        <v>2.958</v>
      </c>
      <c r="I19" s="126">
        <f t="shared" si="4"/>
        <v>52.84670972</v>
      </c>
      <c r="J19" s="121">
        <f>IF(OR((Lecturas!F17-Lecturas!E17) &lt;= 0), "", Lecturas!F17-Lecturas!E17)</f>
        <v>2.77</v>
      </c>
      <c r="K19" s="126">
        <f t="shared" si="5"/>
        <v>33.68548513</v>
      </c>
      <c r="L19" s="121">
        <f>IF(OR((Lecturas!G17-Lecturas!F17) &lt;= 0), "", Lecturas!G17-Lecturas!F17)</f>
        <v>3.926</v>
      </c>
      <c r="M19" s="126">
        <f t="shared" si="6"/>
        <v>61.2873594</v>
      </c>
      <c r="N19" s="121">
        <f>IF(OR((Lecturas!H17-Lecturas!G17) &lt;= 0), "", Lecturas!H17-Lecturas!G17)</f>
        <v>9.96</v>
      </c>
      <c r="O19" s="126">
        <f t="shared" si="7"/>
        <v>151.358855</v>
      </c>
      <c r="P19" s="121">
        <f>IF(OR((Lecturas!I17-Lecturas!H17) &lt;= 0), "", Lecturas!I17-Lecturas!H17)</f>
        <v>7.319</v>
      </c>
      <c r="Q19" s="126">
        <f t="shared" si="8"/>
        <v>108.6208902</v>
      </c>
      <c r="R19" s="121">
        <f>IF(OR((Lecturas!J17-Lecturas!I17) &lt;= 0), "", Lecturas!J17-Lecturas!I17)</f>
        <v>6.293</v>
      </c>
      <c r="S19" s="126">
        <f t="shared" si="9"/>
        <v>104.2846235</v>
      </c>
      <c r="T19" s="121">
        <f>IF(OR((Lecturas!K17-Lecturas!J17) &lt;= 0), "", Lecturas!K17-Lecturas!J17)</f>
        <v>4.278</v>
      </c>
      <c r="U19" s="126">
        <f t="shared" si="10"/>
        <v>75.13050922</v>
      </c>
      <c r="V19" s="121">
        <f>IF(OR((Lecturas!L17-Lecturas!K17) &lt; 0), "", Lecturas!L17-Lecturas!K17)</f>
        <v>4.653</v>
      </c>
      <c r="W19" s="126">
        <f t="shared" si="11"/>
        <v>56.87582652</v>
      </c>
      <c r="X19" s="121">
        <f>IF(OR((Lecturas!M17-Lecturas!L17) &lt; 0), "", Lecturas!M17-Lecturas!L17)</f>
        <v>1.431</v>
      </c>
      <c r="Y19" s="126">
        <f t="shared" si="12"/>
        <v>17.3642926</v>
      </c>
      <c r="Z19" s="121">
        <f>IF(OR((Lecturas!N17-Lecturas!M17) &lt;= 0), "", Lecturas!N17-Lecturas!M17)</f>
        <v>4.414</v>
      </c>
      <c r="AA19" s="126">
        <f t="shared" si="13"/>
        <v>62.17702384</v>
      </c>
      <c r="AB19" s="121">
        <f>IF(OR((Lecturas!O17-Lecturas!N17) &lt; 0), "", Lecturas!O17-Lecturas!N17)</f>
        <v>5.163</v>
      </c>
      <c r="AC19" s="126">
        <f t="shared" si="14"/>
        <v>66.32926285</v>
      </c>
      <c r="AD19" s="121">
        <f>IF(OR((Lecturas!P17-Lecturas!O17) &lt; 0), "", Lecturas!P17-Lecturas!O17)</f>
        <v>4.288</v>
      </c>
      <c r="AE19" s="126">
        <f t="shared" si="15"/>
        <v>53.93526336</v>
      </c>
      <c r="AF19" s="121">
        <f>IF((Lecturas!Q17-Lecturas!P17)&lt;= 0,"",Lecturas!Q17-Lecturas!P17)</f>
        <v>0.666</v>
      </c>
      <c r="AG19" s="126">
        <f t="shared" si="16"/>
        <v>9.489101939</v>
      </c>
      <c r="AH19" s="121">
        <f>IF((Lecturas!R17-Lecturas!Q17)&lt;= 0,"",Lecturas!R17-Lecturas!Q17)</f>
        <v>3.444</v>
      </c>
      <c r="AI19" s="126">
        <f t="shared" si="17"/>
        <v>47.91966659</v>
      </c>
      <c r="AJ19" s="121">
        <f>IF((Lecturas!S17-Lecturas!R17)&lt;= 0,"",Lecturas!S17-Lecturas!R17)</f>
        <v>1.822</v>
      </c>
      <c r="AK19" s="126">
        <f t="shared" si="18"/>
        <v>26.25090048</v>
      </c>
      <c r="AL19" s="121">
        <f>IF((Lecturas!T17-Lecturas!S17)&lt;= 0,"",Lecturas!T17-Lecturas!S17)</f>
        <v>3.135</v>
      </c>
      <c r="AM19" s="126">
        <f t="shared" si="19"/>
        <v>31.12686165</v>
      </c>
      <c r="AN19" s="121">
        <f>IF((Lecturas!U17-Lecturas!T17)&lt;= 0,"",Lecturas!U17-Lecturas!T17)</f>
        <v>1.449</v>
      </c>
      <c r="AO19" s="126">
        <f t="shared" si="20"/>
        <v>23.5649989</v>
      </c>
      <c r="AP19" s="121">
        <f>IF((Lecturas!V17-Lecturas!U17)&lt;= 0,"",Lecturas!V17-Lecturas!U17)</f>
        <v>3.958</v>
      </c>
      <c r="AQ19" s="126">
        <f t="shared" si="21"/>
        <v>52.73334388</v>
      </c>
      <c r="AR19" s="121">
        <f>IF((Lecturas!W17-Lecturas!V17)&lt;= 0,"",Lecturas!W17-Lecturas!V17)</f>
        <v>3.174</v>
      </c>
      <c r="AS19" s="126">
        <f t="shared" si="22"/>
        <v>37.50692398</v>
      </c>
      <c r="AT19" s="121">
        <f>IF((Lecturas!X17-Lecturas!W17)&lt;= 0,"",Lecturas!X17-Lecturas!W17)</f>
        <v>4.635</v>
      </c>
      <c r="AU19" s="126">
        <f t="shared" si="23"/>
        <v>55.73676853</v>
      </c>
      <c r="AV19" s="121">
        <f>IF((Lecturas!Y17-Lecturas!X17)&lt;= 0,"",Lecturas!Y17-Lecturas!X17)</f>
        <v>4.841</v>
      </c>
      <c r="AW19" s="126">
        <f t="shared" si="24"/>
        <v>59.34316981</v>
      </c>
      <c r="AX19" s="121">
        <f>IF((Lecturas!Z17-Lecturas!Y17)&lt;= 0,"0",Lecturas!Z17-Lecturas!Y17)</f>
        <v>0.664</v>
      </c>
      <c r="AY19" s="126">
        <f t="shared" si="25"/>
        <v>7.705098536</v>
      </c>
      <c r="AZ19" s="121">
        <f>IF((Lecturas!AA17-Lecturas!Z17)&lt;= 0,"0",Lecturas!AA17-Lecturas!Z17)</f>
        <v>1.813</v>
      </c>
      <c r="BA19" s="126">
        <f t="shared" si="26"/>
        <v>25.0267078</v>
      </c>
      <c r="BB19" s="144">
        <f>IF((Lecturas!AB17-Lecturas!AA17)&lt;= 0,"0",Lecturas!AB17-Lecturas!AA17)</f>
        <v>2.705</v>
      </c>
      <c r="BC19" s="126">
        <f t="shared" si="27"/>
        <v>40.53622622</v>
      </c>
      <c r="BD19" s="121">
        <f>IF((Lecturas!AC17-Lecturas!AB17)&lt;= 0,"0",Lecturas!AC17-Lecturas!AB17)</f>
        <v>2.887</v>
      </c>
      <c r="BE19" s="126">
        <f t="shared" si="28"/>
        <v>62.40255621</v>
      </c>
      <c r="BF19" s="121" t="str">
        <f>IF((Lecturas!AD17-Lecturas!AC17)&lt;= 0,"0",Lecturas!AD17-Lecturas!AC17)</f>
        <v>0</v>
      </c>
      <c r="BG19" s="126" t="str">
        <f t="shared" si="29"/>
        <v>0</v>
      </c>
      <c r="BH19" s="121" t="str">
        <f>IF((Lecturas!AE17-Lecturas!AD17)&lt;= 0,"0",Lecturas!AE17-Lecturas!AD17)</f>
        <v>0</v>
      </c>
      <c r="BI19" s="126" t="str">
        <f t="shared" si="30"/>
        <v>0</v>
      </c>
      <c r="BJ19" s="121" t="str">
        <f>IF((Lecturas!AF17-Lecturas!AE17)&lt;= 0,"0",Lecturas!AF17-Lecturas!AE17)</f>
        <v>0</v>
      </c>
      <c r="BK19" s="126" t="str">
        <f t="shared" si="31"/>
        <v>0</v>
      </c>
      <c r="BL19" s="121" t="str">
        <f>IF((Lecturas!AG17-Lecturas!AF17)&lt;= 0,"0",Lecturas!AG17-Lecturas!AF17)</f>
        <v>0</v>
      </c>
      <c r="BM19" s="126" t="str">
        <f t="shared" si="32"/>
        <v>0</v>
      </c>
      <c r="BN19" s="121" t="str">
        <f>IF((Lecturas!AH17-Lecturas!AG17)&lt;= 0,"0",Lecturas!AH17-Lecturas!AG17)</f>
        <v>0</v>
      </c>
      <c r="BO19" s="126" t="str">
        <f t="shared" si="33"/>
        <v>0</v>
      </c>
    </row>
    <row r="20" ht="15.75" customHeight="1">
      <c r="A20" s="120">
        <f t="shared" si="1"/>
        <v>26.1</v>
      </c>
      <c r="B20" s="121">
        <f t="shared" si="2"/>
        <v>1.829</v>
      </c>
      <c r="C20" s="74">
        <v>403.0</v>
      </c>
      <c r="D20" s="123" t="s">
        <v>336</v>
      </c>
      <c r="E20" s="75" t="s">
        <v>239</v>
      </c>
      <c r="F20" s="121">
        <f>Lecturas!D18-Lecturas!C18</f>
        <v>1.995</v>
      </c>
      <c r="G20" s="126">
        <f t="shared" si="3"/>
        <v>44.56017482</v>
      </c>
      <c r="H20" s="121">
        <f>IF((Lecturas!E18-Lecturas!D18) &lt; 0, "", Lecturas!E18-Lecturas!D18)</f>
        <v>1.343</v>
      </c>
      <c r="I20" s="126">
        <f t="shared" si="4"/>
        <v>23.99362108</v>
      </c>
      <c r="J20" s="121">
        <f>IF(OR((Lecturas!F18-Lecturas!E18) &lt;= 0), "", Lecturas!F18-Lecturas!E18)</f>
        <v>1.888</v>
      </c>
      <c r="K20" s="126">
        <f t="shared" si="5"/>
        <v>22.95963752</v>
      </c>
      <c r="L20" s="121">
        <f>IF(OR((Lecturas!G18-Lecturas!F18) &lt;= 0), "", Lecturas!G18-Lecturas!F18)</f>
        <v>1.44</v>
      </c>
      <c r="M20" s="126">
        <f t="shared" si="6"/>
        <v>22.47931674</v>
      </c>
      <c r="N20" s="121">
        <f>IF(OR((Lecturas!H18-Lecturas!G18) &lt;= 0), "", Lecturas!H18-Lecturas!G18)</f>
        <v>1.51</v>
      </c>
      <c r="O20" s="126">
        <f t="shared" si="7"/>
        <v>22.94697501</v>
      </c>
      <c r="P20" s="121">
        <f>IF(OR((Lecturas!I18-Lecturas!H18) &lt;= 0), "", Lecturas!I18-Lecturas!H18)</f>
        <v>1.048</v>
      </c>
      <c r="Q20" s="126">
        <f t="shared" si="8"/>
        <v>15.55331232</v>
      </c>
      <c r="R20" s="121">
        <f>IF(OR((Lecturas!J18-Lecturas!I18) &lt;= 0), "", Lecturas!J18-Lecturas!I18)</f>
        <v>0.946</v>
      </c>
      <c r="S20" s="126">
        <f t="shared" si="9"/>
        <v>15.67666516</v>
      </c>
      <c r="T20" s="121">
        <f>IF(OR((Lecturas!K18-Lecturas!J18) &lt;= 0), "", Lecturas!K18-Lecturas!J18)</f>
        <v>0.978</v>
      </c>
      <c r="U20" s="126">
        <f t="shared" si="10"/>
        <v>17.17569846</v>
      </c>
      <c r="V20" s="121">
        <f>IF(OR((Lecturas!L18-Lecturas!K18) &lt; 0), "", Lecturas!L18-Lecturas!K18)</f>
        <v>0.803</v>
      </c>
      <c r="W20" s="126">
        <f t="shared" si="11"/>
        <v>9.815449967</v>
      </c>
      <c r="X20" s="121">
        <f>IF(OR((Lecturas!M18-Lecturas!L18) &lt; 0), "", Lecturas!M18-Lecturas!L18)</f>
        <v>1.325</v>
      </c>
      <c r="Y20" s="126">
        <f t="shared" si="12"/>
        <v>16.0780487</v>
      </c>
      <c r="Z20" s="121">
        <f>IF(OR((Lecturas!N18-Lecturas!M18) &lt;= 0), "", Lecturas!N18-Lecturas!M18)</f>
        <v>1.555</v>
      </c>
      <c r="AA20" s="126">
        <f t="shared" si="13"/>
        <v>21.90423019</v>
      </c>
      <c r="AB20" s="121">
        <f>IF(OR((Lecturas!O18-Lecturas!N18) &lt; 0), "", Lecturas!O18-Lecturas!N18)</f>
        <v>1.753</v>
      </c>
      <c r="AC20" s="126">
        <f t="shared" si="14"/>
        <v>22.52085953</v>
      </c>
      <c r="AD20" s="121">
        <f>IF(OR((Lecturas!P18-Lecturas!O18) &lt; 0), "", Lecturas!P18-Lecturas!O18)</f>
        <v>1.259</v>
      </c>
      <c r="AE20" s="126">
        <f t="shared" si="15"/>
        <v>15.8359367</v>
      </c>
      <c r="AF20" s="121">
        <f>IF((Lecturas!Q18-Lecturas!P18)&lt;= 0,"",Lecturas!Q18-Lecturas!P18)</f>
        <v>1.829</v>
      </c>
      <c r="AG20" s="126">
        <f t="shared" si="16"/>
        <v>26.05941058</v>
      </c>
      <c r="AH20" s="121">
        <f>IF((Lecturas!R18-Lecturas!Q18)&lt;= 0,"",Lecturas!R18-Lecturas!Q18)</f>
        <v>3.126</v>
      </c>
      <c r="AI20" s="126">
        <f t="shared" si="17"/>
        <v>43.49502839</v>
      </c>
      <c r="AJ20" s="121">
        <f>IF((Lecturas!S18-Lecturas!R18)&lt;= 0,"",Lecturas!S18-Lecturas!R18)</f>
        <v>2.256</v>
      </c>
      <c r="AK20" s="126">
        <f t="shared" si="18"/>
        <v>32.50385922</v>
      </c>
      <c r="AL20" s="121">
        <f>IF((Lecturas!T18-Lecturas!S18)&lt;= 0,"",Lecturas!T18-Lecturas!S18)</f>
        <v>3.569</v>
      </c>
      <c r="AM20" s="126">
        <f t="shared" si="19"/>
        <v>35.43597105</v>
      </c>
      <c r="AN20" s="121">
        <f>IF((Lecturas!U18-Lecturas!T18)&lt;= 0,"",Lecturas!U18-Lecturas!T18)</f>
        <v>1.112</v>
      </c>
      <c r="AO20" s="126">
        <f t="shared" si="20"/>
        <v>18.08438839</v>
      </c>
      <c r="AP20" s="121">
        <f>IF((Lecturas!V18-Lecturas!U18)&lt;= 0,"",Lecturas!V18-Lecturas!U18)</f>
        <v>1.113</v>
      </c>
      <c r="AQ20" s="126">
        <f t="shared" si="21"/>
        <v>14.82875486</v>
      </c>
      <c r="AR20" s="121">
        <f>IF((Lecturas!W18-Lecturas!V18)&lt;= 0,"",Lecturas!W18-Lecturas!V18)</f>
        <v>1.777</v>
      </c>
      <c r="AS20" s="126">
        <f t="shared" si="22"/>
        <v>20.99867798</v>
      </c>
      <c r="AT20" s="121">
        <f>IF((Lecturas!X18-Lecturas!W18)&lt;= 0,"",Lecturas!X18-Lecturas!W18)</f>
        <v>1.259</v>
      </c>
      <c r="AU20" s="126">
        <f t="shared" si="23"/>
        <v>15.13971771</v>
      </c>
      <c r="AV20" s="121">
        <f>IF((Lecturas!Y18-Lecturas!X18)&lt;= 0,"",Lecturas!Y18-Lecturas!X18)</f>
        <v>0.293</v>
      </c>
      <c r="AW20" s="126">
        <f t="shared" si="24"/>
        <v>3.591726659</v>
      </c>
      <c r="AX20" s="121">
        <f>IF((Lecturas!Z18-Lecturas!Y18)&lt;= 0,"0",Lecturas!Z18-Lecturas!Y18)</f>
        <v>1.44</v>
      </c>
      <c r="AY20" s="126">
        <f t="shared" si="25"/>
        <v>16.70985225</v>
      </c>
      <c r="AZ20" s="121">
        <f>IF((Lecturas!AA18-Lecturas!Z18)&lt;= 0,"0",Lecturas!AA18-Lecturas!Z18)</f>
        <v>5.25</v>
      </c>
      <c r="BA20" s="126">
        <f t="shared" si="26"/>
        <v>72.47116158</v>
      </c>
      <c r="BB20" s="144">
        <f>IF((Lecturas!AB18-Lecturas!AA18)&lt;= 0,"0",Lecturas!AB18-Lecturas!AA18)</f>
        <v>5.995</v>
      </c>
      <c r="BC20" s="126">
        <f t="shared" si="27"/>
        <v>89.83906698</v>
      </c>
      <c r="BD20" s="121">
        <f>IF((Lecturas!AC18-Lecturas!AB18)&lt;= 0,"0",Lecturas!AC18-Lecturas!AB18)</f>
        <v>4.739</v>
      </c>
      <c r="BE20" s="126">
        <f t="shared" si="28"/>
        <v>102.4335691</v>
      </c>
      <c r="BF20" s="121" t="str">
        <f>IF((Lecturas!AD18-Lecturas!AC18)&lt;= 0,"0",Lecturas!AD18-Lecturas!AC18)</f>
        <v>0</v>
      </c>
      <c r="BG20" s="126" t="str">
        <f t="shared" si="29"/>
        <v>0</v>
      </c>
      <c r="BH20" s="121" t="str">
        <f>IF((Lecturas!AE18-Lecturas!AD18)&lt;= 0,"0",Lecturas!AE18-Lecturas!AD18)</f>
        <v>0</v>
      </c>
      <c r="BI20" s="126" t="str">
        <f t="shared" si="30"/>
        <v>0</v>
      </c>
      <c r="BJ20" s="121" t="str">
        <f>IF((Lecturas!AF18-Lecturas!AE18)&lt;= 0,"0",Lecturas!AF18-Lecturas!AE18)</f>
        <v>0</v>
      </c>
      <c r="BK20" s="126" t="str">
        <f t="shared" si="31"/>
        <v>0</v>
      </c>
      <c r="BL20" s="121" t="str">
        <f>IF((Lecturas!AG18-Lecturas!AF18)&lt;= 0,"0",Lecturas!AG18-Lecturas!AF18)</f>
        <v>0</v>
      </c>
      <c r="BM20" s="126" t="str">
        <f t="shared" si="32"/>
        <v>0</v>
      </c>
      <c r="BN20" s="121" t="str">
        <f>IF((Lecturas!AH18-Lecturas!AG18)&lt;= 0,"0",Lecturas!AH18-Lecturas!AG18)</f>
        <v>0</v>
      </c>
      <c r="BO20" s="126" t="str">
        <f t="shared" si="33"/>
        <v>0</v>
      </c>
    </row>
    <row r="21" ht="15.75" customHeight="1">
      <c r="A21" s="120">
        <f t="shared" si="1"/>
        <v>40</v>
      </c>
      <c r="B21" s="121">
        <f t="shared" si="2"/>
        <v>2.808</v>
      </c>
      <c r="C21" s="74">
        <v>404.0</v>
      </c>
      <c r="D21" s="123" t="s">
        <v>337</v>
      </c>
      <c r="E21" s="75">
        <v>2034042.0</v>
      </c>
      <c r="F21" s="121">
        <f>Lecturas!D19-Lecturas!C19</f>
        <v>0</v>
      </c>
      <c r="G21" s="126">
        <f t="shared" si="3"/>
        <v>0</v>
      </c>
      <c r="H21" s="121">
        <f>IF((Lecturas!E19-Lecturas!D19) &lt; 0, "", Lecturas!E19-Lecturas!D19)</f>
        <v>0</v>
      </c>
      <c r="I21" s="126">
        <f t="shared" si="4"/>
        <v>0</v>
      </c>
      <c r="J21" s="121">
        <f>IF(OR((Lecturas!F19-Lecturas!E19) &lt; 0), "", Lecturas!F19-Lecturas!E19)</f>
        <v>0</v>
      </c>
      <c r="K21" s="126">
        <f t="shared" si="5"/>
        <v>0</v>
      </c>
      <c r="L21" s="121">
        <f>IF(OR((Lecturas!G19-Lecturas!F19) &lt;0), "", Lecturas!G19-Lecturas!F19)</f>
        <v>0</v>
      </c>
      <c r="M21" s="126">
        <f t="shared" si="6"/>
        <v>0</v>
      </c>
      <c r="N21" s="121">
        <f>IF(OR((Lecturas!H19-Lecturas!G19) &lt; 0), "", Lecturas!H19-Lecturas!G19)</f>
        <v>0</v>
      </c>
      <c r="O21" s="126">
        <f t="shared" si="7"/>
        <v>0</v>
      </c>
      <c r="P21" s="121">
        <f>IF(OR((Lecturas!I19-Lecturas!H19) &lt; 0), "", Lecturas!I19-Lecturas!H19)</f>
        <v>0</v>
      </c>
      <c r="Q21" s="126">
        <f t="shared" si="8"/>
        <v>0</v>
      </c>
      <c r="R21" s="121">
        <f>IF(OR((Lecturas!J19-Lecturas!I19) &lt; 0), "", Lecturas!J19-Lecturas!I19)</f>
        <v>0</v>
      </c>
      <c r="S21" s="126">
        <f t="shared" si="9"/>
        <v>0</v>
      </c>
      <c r="T21" s="121">
        <f>IF(OR((Lecturas!K19-Lecturas!J19) &lt; 0), "", Lecturas!K19-Lecturas!J19)</f>
        <v>0</v>
      </c>
      <c r="U21" s="126">
        <f t="shared" si="10"/>
        <v>0</v>
      </c>
      <c r="V21" s="121">
        <f>IF(OR((Lecturas!L19-Lecturas!K19) &lt; 0), "", Lecturas!L19-Lecturas!K19)</f>
        <v>0.264</v>
      </c>
      <c r="W21" s="126">
        <f t="shared" si="11"/>
        <v>3.22699725</v>
      </c>
      <c r="X21" s="121">
        <f>IF(OR((Lecturas!M19-Lecturas!L19) &lt; 0), "", Lecturas!M19-Lecturas!L19)</f>
        <v>0</v>
      </c>
      <c r="Y21" s="126">
        <f t="shared" si="12"/>
        <v>0</v>
      </c>
      <c r="Z21" s="121">
        <f>IF(OR((Lecturas!N19-Lecturas!M19) &lt; 0), "", Lecturas!N19-Lecturas!M19)</f>
        <v>0</v>
      </c>
      <c r="AA21" s="126">
        <f t="shared" si="13"/>
        <v>0</v>
      </c>
      <c r="AB21" s="121">
        <f>IF(OR((Lecturas!O19-Lecturas!N19) &lt; 0), "", Lecturas!O19-Lecturas!N19)</f>
        <v>0.13</v>
      </c>
      <c r="AC21" s="126">
        <f t="shared" si="14"/>
        <v>1.670115082</v>
      </c>
      <c r="AD21" s="121">
        <f>IF(OR((Lecturas!P19-Lecturas!O19) &lt; 0), "", Lecturas!P19-Lecturas!O19)</f>
        <v>2.073</v>
      </c>
      <c r="AE21" s="126">
        <f t="shared" si="15"/>
        <v>26.07458044</v>
      </c>
      <c r="AF21" s="121">
        <f>IF((Lecturas!Q19-Lecturas!P19)&lt;= 0,"",Lecturas!Q19-Lecturas!P19)</f>
        <v>2.808</v>
      </c>
      <c r="AG21" s="126">
        <f t="shared" si="16"/>
        <v>40.00810547</v>
      </c>
      <c r="AH21" s="121">
        <f>IF((Lecturas!R19-Lecturas!Q19)&lt;= 0,"",Lecturas!R19-Lecturas!Q19)</f>
        <v>0.472</v>
      </c>
      <c r="AI21" s="126">
        <f t="shared" si="17"/>
        <v>6.567387523</v>
      </c>
      <c r="AJ21" s="121" t="str">
        <f>IF((Lecturas!S19-Lecturas!R19)&lt;= 0,"",Lecturas!S19-Lecturas!R19)</f>
        <v/>
      </c>
      <c r="AK21" s="126">
        <f t="shared" si="18"/>
        <v>0</v>
      </c>
      <c r="AL21" s="121" t="str">
        <f>IF((Lecturas!T19-Lecturas!S19)&lt;= 0,"",Lecturas!T19-Lecturas!S19)</f>
        <v/>
      </c>
      <c r="AM21" s="126">
        <f t="shared" si="19"/>
        <v>0</v>
      </c>
      <c r="AN21" s="121" t="str">
        <f>IF((Lecturas!U19-Lecturas!T19)&lt;= 0,"",Lecturas!U19-Lecturas!T19)</f>
        <v/>
      </c>
      <c r="AO21" s="126">
        <f t="shared" si="20"/>
        <v>0</v>
      </c>
      <c r="AP21" s="121" t="str">
        <f>IF((Lecturas!V19-Lecturas!U19)&lt;= 0,"",Lecturas!V19-Lecturas!U19)</f>
        <v/>
      </c>
      <c r="AQ21" s="126">
        <f t="shared" si="21"/>
        <v>0</v>
      </c>
      <c r="AR21" s="121" t="str">
        <f>IF((Lecturas!W19-Lecturas!V19)&lt;= 0,"",Lecturas!W19-Lecturas!V19)</f>
        <v/>
      </c>
      <c r="AS21" s="126">
        <f t="shared" si="22"/>
        <v>0</v>
      </c>
      <c r="AT21" s="121">
        <f>IF((Lecturas!X19-Lecturas!W19)&lt;= 0,"",Lecturas!X19-Lecturas!W19)</f>
        <v>5.095</v>
      </c>
      <c r="AU21" s="126">
        <f t="shared" si="23"/>
        <v>61.26835721</v>
      </c>
      <c r="AV21" s="121">
        <f>IF((Lecturas!Y19-Lecturas!X19)&lt;= 0,"",Lecturas!Y19-Lecturas!X19)</f>
        <v>4.638</v>
      </c>
      <c r="AW21" s="126">
        <f t="shared" si="24"/>
        <v>56.8547039</v>
      </c>
      <c r="AX21" s="121">
        <f>IF((Lecturas!Z19-Lecturas!Y19)&lt;= 0,"0",Lecturas!Z19-Lecturas!Y19)</f>
        <v>2.889</v>
      </c>
      <c r="AY21" s="126">
        <f t="shared" si="25"/>
        <v>33.52414107</v>
      </c>
      <c r="AZ21" s="121">
        <f>IF((Lecturas!AA19-Lecturas!Z19)&lt;= 0,"0",Lecturas!AA19-Lecturas!Z19)</f>
        <v>5.067</v>
      </c>
      <c r="BA21" s="126">
        <f t="shared" si="26"/>
        <v>69.94502395</v>
      </c>
      <c r="BB21" s="144">
        <f>IF((Lecturas!AB19-Lecturas!AA19)&lt;= 0,"0",Lecturas!AB19-Lecturas!AA19)</f>
        <v>0.206</v>
      </c>
      <c r="BC21" s="126">
        <f t="shared" si="27"/>
        <v>3.087047172</v>
      </c>
      <c r="BD21" s="121" t="str">
        <f>IF((Lecturas!AC19-Lecturas!AB19)&lt;= 0,"0",Lecturas!AC19-Lecturas!AB19)</f>
        <v>0</v>
      </c>
      <c r="BE21" s="126">
        <f t="shared" si="28"/>
        <v>0</v>
      </c>
      <c r="BF21" s="121" t="str">
        <f>IF((Lecturas!AD19-Lecturas!AC19)&lt;= 0,"0",Lecturas!AD19-Lecturas!AC19)</f>
        <v>0</v>
      </c>
      <c r="BG21" s="126" t="str">
        <f t="shared" si="29"/>
        <v>0</v>
      </c>
      <c r="BH21" s="121" t="str">
        <f>IF((Lecturas!AE19-Lecturas!AD19)&lt;= 0,"0",Lecturas!AE19-Lecturas!AD19)</f>
        <v>0</v>
      </c>
      <c r="BI21" s="126" t="str">
        <f t="shared" si="30"/>
        <v>0</v>
      </c>
      <c r="BJ21" s="121" t="str">
        <f>IF((Lecturas!AF19-Lecturas!AE19)&lt;= 0,"0",Lecturas!AF19-Lecturas!AE19)</f>
        <v>0</v>
      </c>
      <c r="BK21" s="126" t="str">
        <f t="shared" si="31"/>
        <v>0</v>
      </c>
      <c r="BL21" s="121" t="str">
        <f>IF((Lecturas!AG19-Lecturas!AF19)&lt;= 0,"0",Lecturas!AG19-Lecturas!AF19)</f>
        <v>0</v>
      </c>
      <c r="BM21" s="126" t="str">
        <f t="shared" si="32"/>
        <v>0</v>
      </c>
      <c r="BN21" s="121" t="str">
        <f>IF((Lecturas!AH19-Lecturas!AG19)&lt;= 0,"0",Lecturas!AH19-Lecturas!AG19)</f>
        <v>0</v>
      </c>
      <c r="BO21" s="126" t="str">
        <f t="shared" si="33"/>
        <v>0</v>
      </c>
    </row>
    <row r="22" ht="15.75" customHeight="1">
      <c r="A22" s="120">
        <f t="shared" si="1"/>
        <v>0</v>
      </c>
      <c r="B22" s="121">
        <f t="shared" si="2"/>
        <v>0</v>
      </c>
      <c r="C22" s="74">
        <v>405.0</v>
      </c>
      <c r="D22" s="123" t="s">
        <v>342</v>
      </c>
      <c r="E22" s="75">
        <v>2034046.0</v>
      </c>
      <c r="F22" s="121">
        <f>Lecturas!D20-Lecturas!C20</f>
        <v>0</v>
      </c>
      <c r="G22" s="126">
        <f t="shared" si="3"/>
        <v>0</v>
      </c>
      <c r="H22" s="121">
        <f>IF((Lecturas!E20-Lecturas!D20) &lt; 0, "", Lecturas!E20-Lecturas!D20)</f>
        <v>0</v>
      </c>
      <c r="I22" s="126">
        <f t="shared" si="4"/>
        <v>0</v>
      </c>
      <c r="J22" s="121">
        <f>IF(OR((Lecturas!F20-Lecturas!E20) &lt; 0), "", Lecturas!F20-Lecturas!E20)</f>
        <v>0</v>
      </c>
      <c r="K22" s="126">
        <f t="shared" si="5"/>
        <v>0</v>
      </c>
      <c r="L22" s="121">
        <f>IF(OR((Lecturas!G20-Lecturas!F20) &lt;0), "", Lecturas!G20-Lecturas!F20)</f>
        <v>0</v>
      </c>
      <c r="M22" s="126">
        <f t="shared" si="6"/>
        <v>0</v>
      </c>
      <c r="N22" s="121">
        <f>IF(OR((Lecturas!H20-Lecturas!G20) &lt; 0), "", Lecturas!H20-Lecturas!G20)</f>
        <v>0</v>
      </c>
      <c r="O22" s="126">
        <f t="shared" si="7"/>
        <v>0</v>
      </c>
      <c r="P22" s="121">
        <f>IF(OR((Lecturas!I20-Lecturas!H20) &lt; 0), "", Lecturas!I20-Lecturas!H20)</f>
        <v>0</v>
      </c>
      <c r="Q22" s="126">
        <f t="shared" si="8"/>
        <v>0</v>
      </c>
      <c r="R22" s="121">
        <f>IF(OR((Lecturas!J20-Lecturas!I20) &lt; 0), "", Lecturas!J20-Lecturas!I20)</f>
        <v>0</v>
      </c>
      <c r="S22" s="126">
        <f t="shared" si="9"/>
        <v>0</v>
      </c>
      <c r="T22" s="121">
        <f>IF(OR((Lecturas!K20-Lecturas!J20) &lt; 0), "", Lecturas!K20-Lecturas!J20)</f>
        <v>0</v>
      </c>
      <c r="U22" s="126">
        <f t="shared" si="10"/>
        <v>0</v>
      </c>
      <c r="V22" s="121">
        <f>IF(OR((Lecturas!L20-Lecturas!K20) &lt; 0), "", Lecturas!L20-Lecturas!K20)</f>
        <v>0</v>
      </c>
      <c r="W22" s="126">
        <f t="shared" si="11"/>
        <v>0</v>
      </c>
      <c r="X22" s="121">
        <f>IF(OR((Lecturas!M20-Lecturas!L20) &lt; 0), "", Lecturas!M20-Lecturas!L20)</f>
        <v>0</v>
      </c>
      <c r="Y22" s="126">
        <f t="shared" si="12"/>
        <v>0</v>
      </c>
      <c r="Z22" s="121">
        <f>IF(OR((Lecturas!N20-Lecturas!M20) &lt; 0), "", Lecturas!N20-Lecturas!M20)</f>
        <v>0</v>
      </c>
      <c r="AA22" s="126">
        <f t="shared" si="13"/>
        <v>0</v>
      </c>
      <c r="AB22" s="121">
        <f>IF(OR((Lecturas!O20-Lecturas!N20) &lt; 0), "", Lecturas!O20-Lecturas!N20)</f>
        <v>0</v>
      </c>
      <c r="AC22" s="126">
        <f t="shared" si="14"/>
        <v>0</v>
      </c>
      <c r="AD22" s="121">
        <f>IF(OR((Lecturas!P20-Lecturas!O20) &lt; 0), "", Lecturas!P20-Lecturas!O20)</f>
        <v>0</v>
      </c>
      <c r="AE22" s="126">
        <f t="shared" si="15"/>
        <v>0</v>
      </c>
      <c r="AF22" s="121">
        <f>IF((Lecturas!Q20-Lecturas!P20)&lt; 0,"",Lecturas!Q20-Lecturas!P20)</f>
        <v>0</v>
      </c>
      <c r="AG22" s="126">
        <f t="shared" si="16"/>
        <v>0</v>
      </c>
      <c r="AH22" s="121">
        <f>IF((Lecturas!R20-Lecturas!Q20)&lt;= 0,"",Lecturas!R20-Lecturas!Q20)</f>
        <v>0.006</v>
      </c>
      <c r="AI22" s="126">
        <f t="shared" si="17"/>
        <v>0.0834837397</v>
      </c>
      <c r="AJ22" s="121" t="str">
        <f>IF((Lecturas!S20-Lecturas!R20)&lt;= 0,"",Lecturas!S20-Lecturas!R20)</f>
        <v/>
      </c>
      <c r="AK22" s="126">
        <f t="shared" si="18"/>
        <v>0</v>
      </c>
      <c r="AL22" s="121" t="str">
        <f>IF((Lecturas!T20-Lecturas!S20)&lt;= 0,"",Lecturas!T20-Lecturas!S20)</f>
        <v/>
      </c>
      <c r="AM22" s="126">
        <f t="shared" si="19"/>
        <v>0</v>
      </c>
      <c r="AN22" s="121" t="str">
        <f>IF((Lecturas!U20-Lecturas!T20)&lt;= 0,"",Lecturas!U20-Lecturas!T20)</f>
        <v/>
      </c>
      <c r="AO22" s="126">
        <f t="shared" si="20"/>
        <v>0</v>
      </c>
      <c r="AP22" s="121" t="str">
        <f>IF((Lecturas!V20-Lecturas!U20)&lt;= 0,"",Lecturas!V20-Lecturas!U20)</f>
        <v/>
      </c>
      <c r="AQ22" s="126">
        <f t="shared" si="21"/>
        <v>0</v>
      </c>
      <c r="AR22" s="121" t="str">
        <f>IF((Lecturas!W20-Lecturas!V20)&lt;= 0,"",Lecturas!W20-Lecturas!V20)</f>
        <v/>
      </c>
      <c r="AS22" s="126">
        <f t="shared" si="22"/>
        <v>0</v>
      </c>
      <c r="AT22" s="121" t="str">
        <f>IF((Lecturas!X20-Lecturas!W20)&lt;= 0,"",Lecturas!X20-Lecturas!W20)</f>
        <v/>
      </c>
      <c r="AU22" s="126">
        <f t="shared" si="23"/>
        <v>0</v>
      </c>
      <c r="AV22" s="121" t="str">
        <f>IF((Lecturas!Y20-Lecturas!X20)&lt;= 0,"",Lecturas!Y20-Lecturas!X20)</f>
        <v/>
      </c>
      <c r="AW22" s="126">
        <f t="shared" si="24"/>
        <v>0</v>
      </c>
      <c r="AX22" s="121" t="str">
        <f>IF((Lecturas!Z20-Lecturas!Y20)&lt;= 0,"0",Lecturas!Z20-Lecturas!Y20)</f>
        <v>0</v>
      </c>
      <c r="AY22" s="126">
        <f t="shared" si="25"/>
        <v>0</v>
      </c>
      <c r="AZ22" s="121" t="str">
        <f>IF((Lecturas!AA20-Lecturas!Z20)&lt;= 0,"0",Lecturas!AA20-Lecturas!Z20)</f>
        <v>0</v>
      </c>
      <c r="BA22" s="126">
        <f t="shared" si="26"/>
        <v>0</v>
      </c>
      <c r="BB22" s="159" t="str">
        <f>IF((Lecturas!AB20-Lecturas!AA20)&lt;= 0,"0",Lecturas!AB20-Lecturas!AA20)</f>
        <v>0</v>
      </c>
      <c r="BC22" s="126">
        <f t="shared" si="27"/>
        <v>0</v>
      </c>
      <c r="BD22" s="121" t="str">
        <f>IF((Lecturas!AC20-Lecturas!AB20)&lt;= 0,"0",Lecturas!AC20-Lecturas!AB20)</f>
        <v>0</v>
      </c>
      <c r="BE22" s="126">
        <f t="shared" si="28"/>
        <v>0</v>
      </c>
      <c r="BF22" s="121" t="str">
        <f>IF((Lecturas!AD20-Lecturas!AC20)&lt;= 0,"0",Lecturas!AD20-Lecturas!AC20)</f>
        <v>0</v>
      </c>
      <c r="BG22" s="126" t="str">
        <f t="shared" si="29"/>
        <v>0</v>
      </c>
      <c r="BH22" s="121" t="str">
        <f>IF((Lecturas!AE20-Lecturas!AD20)&lt;= 0,"0",Lecturas!AE20-Lecturas!AD20)</f>
        <v>0</v>
      </c>
      <c r="BI22" s="126" t="str">
        <f t="shared" si="30"/>
        <v>0</v>
      </c>
      <c r="BJ22" s="121" t="str">
        <f>IF((Lecturas!AF20-Lecturas!AE20)&lt;= 0,"0",Lecturas!AF20-Lecturas!AE20)</f>
        <v>0</v>
      </c>
      <c r="BK22" s="126" t="str">
        <f t="shared" si="31"/>
        <v>0</v>
      </c>
      <c r="BL22" s="121" t="str">
        <f>IF((Lecturas!AG20-Lecturas!AF20)&lt;= 0,"0",Lecturas!AG20-Lecturas!AF20)</f>
        <v>0</v>
      </c>
      <c r="BM22" s="126" t="str">
        <f t="shared" si="32"/>
        <v>0</v>
      </c>
      <c r="BN22" s="121" t="str">
        <f>IF((Lecturas!AH20-Lecturas!AG20)&lt;= 0,"0",Lecturas!AH20-Lecturas!AG20)</f>
        <v>0</v>
      </c>
      <c r="BO22" s="126" t="str">
        <f t="shared" si="33"/>
        <v>0</v>
      </c>
    </row>
    <row r="23" ht="15.75" customHeight="1">
      <c r="A23" s="120">
        <f t="shared" si="1"/>
        <v>0</v>
      </c>
      <c r="B23" s="121">
        <f t="shared" si="2"/>
        <v>0</v>
      </c>
      <c r="C23" s="74">
        <v>406.0</v>
      </c>
      <c r="D23" s="123" t="s">
        <v>343</v>
      </c>
      <c r="E23" s="75">
        <v>2034035.0</v>
      </c>
      <c r="F23" s="121">
        <f>Lecturas!D21-Lecturas!C21</f>
        <v>0</v>
      </c>
      <c r="G23" s="126">
        <f t="shared" si="3"/>
        <v>0</v>
      </c>
      <c r="H23" s="121">
        <f>IF((Lecturas!E21-Lecturas!D21) &lt; 0, "", Lecturas!E21-Lecturas!D21)</f>
        <v>0</v>
      </c>
      <c r="I23" s="126">
        <f t="shared" si="4"/>
        <v>0</v>
      </c>
      <c r="J23" s="121">
        <f>IF(OR((Lecturas!F21-Lecturas!E21) &lt; 0), "", Lecturas!F21-Lecturas!E21)</f>
        <v>0</v>
      </c>
      <c r="K23" s="126">
        <f t="shared" si="5"/>
        <v>0</v>
      </c>
      <c r="L23" s="121">
        <f>IF(OR((Lecturas!G21-Lecturas!F21) &lt;0), "", Lecturas!G21-Lecturas!F21)</f>
        <v>0</v>
      </c>
      <c r="M23" s="126">
        <f t="shared" si="6"/>
        <v>0</v>
      </c>
      <c r="N23" s="121">
        <f>IF(OR((Lecturas!H21-Lecturas!G21) &lt; 0), "", Lecturas!H21-Lecturas!G21)</f>
        <v>0</v>
      </c>
      <c r="O23" s="126">
        <f t="shared" si="7"/>
        <v>0</v>
      </c>
      <c r="P23" s="121">
        <f>IF(OR((Lecturas!I21-Lecturas!H21) &lt; 0), "", Lecturas!I21-Lecturas!H21)</f>
        <v>0</v>
      </c>
      <c r="Q23" s="126">
        <f t="shared" si="8"/>
        <v>0</v>
      </c>
      <c r="R23" s="121">
        <f>IF(OR((Lecturas!J21-Lecturas!I21) &lt; 0), "", Lecturas!J21-Lecturas!I21)</f>
        <v>0</v>
      </c>
      <c r="S23" s="126">
        <f t="shared" si="9"/>
        <v>0</v>
      </c>
      <c r="T23" s="121">
        <f>IF(OR((Lecturas!K21-Lecturas!J21) &lt; 0), "", Lecturas!K21-Lecturas!J21)</f>
        <v>0</v>
      </c>
      <c r="U23" s="126">
        <f t="shared" si="10"/>
        <v>0</v>
      </c>
      <c r="V23" s="121">
        <f>IF(OR((Lecturas!L21-Lecturas!K21) &lt; 0), "", Lecturas!L21-Lecturas!K21)</f>
        <v>0</v>
      </c>
      <c r="W23" s="126">
        <f t="shared" si="11"/>
        <v>0</v>
      </c>
      <c r="X23" s="121">
        <f>IF(OR((Lecturas!M21-Lecturas!L21) &lt; 0), "", Lecturas!M21-Lecturas!L21)</f>
        <v>0</v>
      </c>
      <c r="Y23" s="126">
        <f t="shared" si="12"/>
        <v>0</v>
      </c>
      <c r="Z23" s="121">
        <f>IF(OR((Lecturas!N21-Lecturas!M21) &lt; 0), "", Lecturas!N21-Lecturas!M21)</f>
        <v>0</v>
      </c>
      <c r="AA23" s="126">
        <f t="shared" si="13"/>
        <v>0</v>
      </c>
      <c r="AB23" s="121">
        <f>IF(OR((Lecturas!O21-Lecturas!N21) &lt; 0), "", Lecturas!O21-Lecturas!N21)</f>
        <v>0</v>
      </c>
      <c r="AC23" s="126">
        <f t="shared" si="14"/>
        <v>0</v>
      </c>
      <c r="AD23" s="121">
        <f>IF(OR((Lecturas!P21-Lecturas!O21) &lt; 0), "", Lecturas!P21-Lecturas!O21)</f>
        <v>0</v>
      </c>
      <c r="AE23" s="126">
        <f t="shared" si="15"/>
        <v>0</v>
      </c>
      <c r="AF23" s="121">
        <f>IF((Lecturas!Q21-Lecturas!P21)&lt; 0,"",Lecturas!Q21-Lecturas!P21)</f>
        <v>0</v>
      </c>
      <c r="AG23" s="126">
        <f t="shared" si="16"/>
        <v>0</v>
      </c>
      <c r="AH23" s="121">
        <f>IF((Lecturas!R21-Lecturas!Q21)&lt;= 0,"",Lecturas!R21-Lecturas!Q21)</f>
        <v>0.017</v>
      </c>
      <c r="AI23" s="126">
        <f t="shared" si="17"/>
        <v>0.2365372625</v>
      </c>
      <c r="AJ23" s="121">
        <f>IF((Lecturas!S21-Lecturas!R21)&lt;= 0,"",Lecturas!S21-Lecturas!R21)</f>
        <v>0.002</v>
      </c>
      <c r="AK23" s="126">
        <f t="shared" si="18"/>
        <v>0.02881547803</v>
      </c>
      <c r="AL23" s="121">
        <f>IF((Lecturas!T21-Lecturas!S21)&lt;= 0,"",Lecturas!T21-Lecturas!S21)</f>
        <v>0.003</v>
      </c>
      <c r="AM23" s="126">
        <f t="shared" si="19"/>
        <v>0.02978647048</v>
      </c>
      <c r="AN23" s="121">
        <f>IF((Lecturas!U21-Lecturas!T21)&lt;= 0,"",Lecturas!U21-Lecturas!T21)</f>
        <v>0.002</v>
      </c>
      <c r="AO23" s="126">
        <f t="shared" si="20"/>
        <v>0.0325258784</v>
      </c>
      <c r="AP23" s="121">
        <f>IF((Lecturas!V21-Lecturas!U21)&lt;= 0,"",Lecturas!V21-Lecturas!U21)</f>
        <v>0.002</v>
      </c>
      <c r="AQ23" s="126">
        <f t="shared" si="21"/>
        <v>0.02664645977</v>
      </c>
      <c r="AR23" s="121">
        <f>IF((Lecturas!W21-Lecturas!V21)&lt;= 0,"",Lecturas!W21-Lecturas!V21)</f>
        <v>0.002</v>
      </c>
      <c r="AS23" s="126">
        <f t="shared" si="22"/>
        <v>0.02363385254</v>
      </c>
      <c r="AT23" s="121">
        <f>IF((Lecturas!X21-Lecturas!W21)&lt;= 0,"",Lecturas!X21-Lecturas!W21)</f>
        <v>0.002</v>
      </c>
      <c r="AU23" s="126">
        <f t="shared" si="23"/>
        <v>0.02405038556</v>
      </c>
      <c r="AV23" s="121">
        <f>IF((Lecturas!Y21-Lecturas!X21)&lt;= 0,"",Lecturas!Y21-Lecturas!X21)</f>
        <v>0.001</v>
      </c>
      <c r="AW23" s="126">
        <f t="shared" si="24"/>
        <v>0.01225845276</v>
      </c>
      <c r="AX23" s="121" t="str">
        <f>IF((Lecturas!Z21-Lecturas!Y21)&lt;= 0,"0",Lecturas!Z21-Lecturas!Y21)</f>
        <v>0</v>
      </c>
      <c r="AY23" s="126">
        <f t="shared" si="25"/>
        <v>0</v>
      </c>
      <c r="AZ23" s="121" t="str">
        <f>IF((Lecturas!AA21-Lecturas!Z21)&lt;= 0,"0",Lecturas!AA21-Lecturas!Z21)</f>
        <v>0</v>
      </c>
      <c r="BA23" s="126">
        <f t="shared" si="26"/>
        <v>0</v>
      </c>
      <c r="BB23" s="144">
        <f>IF((Lecturas!AB21-Lecturas!AA21)&lt;= 0,"0",Lecturas!AB21-Lecturas!AA21)</f>
        <v>0.005</v>
      </c>
      <c r="BC23" s="126">
        <f t="shared" si="27"/>
        <v>0.07492832942</v>
      </c>
      <c r="BD23" s="121">
        <f>IF((Lecturas!AC21-Lecturas!AB21)&lt;= 0,"0",Lecturas!AC21-Lecturas!AB21)</f>
        <v>0.002</v>
      </c>
      <c r="BE23" s="126">
        <f t="shared" si="28"/>
        <v>0.04323003548</v>
      </c>
      <c r="BF23" s="121" t="str">
        <f>IF((Lecturas!AD21-Lecturas!AC21)&lt;= 0,"0",Lecturas!AD21-Lecturas!AC21)</f>
        <v>0</v>
      </c>
      <c r="BG23" s="126" t="str">
        <f t="shared" si="29"/>
        <v>0</v>
      </c>
      <c r="BH23" s="121" t="str">
        <f>IF((Lecturas!AE21-Lecturas!AD21)&lt;= 0,"0",Lecturas!AE21-Lecturas!AD21)</f>
        <v>0</v>
      </c>
      <c r="BI23" s="126" t="str">
        <f t="shared" si="30"/>
        <v>0</v>
      </c>
      <c r="BJ23" s="121" t="str">
        <f>IF((Lecturas!AF21-Lecturas!AE21)&lt;= 0,"0",Lecturas!AF21-Lecturas!AE21)</f>
        <v>0</v>
      </c>
      <c r="BK23" s="126" t="str">
        <f t="shared" si="31"/>
        <v>0</v>
      </c>
      <c r="BL23" s="121" t="str">
        <f>IF((Lecturas!AG21-Lecturas!AF21)&lt;= 0,"0",Lecturas!AG21-Lecturas!AF21)</f>
        <v>0</v>
      </c>
      <c r="BM23" s="126" t="str">
        <f t="shared" si="32"/>
        <v>0</v>
      </c>
      <c r="BN23" s="121" t="str">
        <f>IF((Lecturas!AH21-Lecturas!AG21)&lt;= 0,"0",Lecturas!AH21-Lecturas!AG21)</f>
        <v>0</v>
      </c>
      <c r="BO23" s="126" t="str">
        <f t="shared" si="33"/>
        <v>0</v>
      </c>
    </row>
    <row r="24" ht="15.75" customHeight="1">
      <c r="A24" s="120">
        <f t="shared" si="1"/>
        <v>0</v>
      </c>
      <c r="B24" s="121">
        <f t="shared" si="2"/>
        <v>0.001</v>
      </c>
      <c r="C24" s="74">
        <v>501.0</v>
      </c>
      <c r="D24" s="123" t="s">
        <v>347</v>
      </c>
      <c r="E24" s="75" t="s">
        <v>241</v>
      </c>
      <c r="F24" s="121">
        <f>Lecturas!D22-Lecturas!C22</f>
        <v>5.517</v>
      </c>
      <c r="G24" s="126">
        <f t="shared" si="3"/>
        <v>123.2273105</v>
      </c>
      <c r="H24" s="121">
        <f>IF((Lecturas!E22-Lecturas!D22) &lt; 0, "", Lecturas!E22-Lecturas!D22)</f>
        <v>10.774</v>
      </c>
      <c r="I24" s="126">
        <f t="shared" si="4"/>
        <v>192.4849393</v>
      </c>
      <c r="J24" s="121">
        <f>IF(OR((Lecturas!F22-Lecturas!E22) &lt; 0), "", Lecturas!F22-Lecturas!E22)</f>
        <v>0.797</v>
      </c>
      <c r="K24" s="126">
        <f t="shared" si="5"/>
        <v>9.692177491</v>
      </c>
      <c r="L24" s="121">
        <f>IF(OR((Lecturas!G22-Lecturas!F22) &lt; 0), "", Lecturas!G22-Lecturas!F22)</f>
        <v>0</v>
      </c>
      <c r="M24" s="126">
        <f t="shared" si="6"/>
        <v>0</v>
      </c>
      <c r="N24" s="121">
        <f>IF(OR((Lecturas!H22-Lecturas!G22) &lt; 0), "", Lecturas!H22-Lecturas!G22)</f>
        <v>0</v>
      </c>
      <c r="O24" s="126">
        <f t="shared" si="7"/>
        <v>0</v>
      </c>
      <c r="P24" s="121">
        <f>IF(OR((Lecturas!I22-Lecturas!H22) &lt; 0), "", Lecturas!I22-Lecturas!H22)</f>
        <v>0</v>
      </c>
      <c r="Q24" s="126">
        <f t="shared" si="8"/>
        <v>0</v>
      </c>
      <c r="R24" s="121">
        <f>IF(OR((Lecturas!J22-Lecturas!I22) &lt; 0), "", Lecturas!J22-Lecturas!I22)</f>
        <v>0</v>
      </c>
      <c r="S24" s="126">
        <f t="shared" si="9"/>
        <v>0</v>
      </c>
      <c r="T24" s="121">
        <f>IF(OR((Lecturas!K22-Lecturas!J22) &lt; 0), "", Lecturas!K22-Lecturas!J22)</f>
        <v>0</v>
      </c>
      <c r="U24" s="126">
        <f t="shared" si="10"/>
        <v>0</v>
      </c>
      <c r="V24" s="121">
        <f>IF(OR((Lecturas!L22-Lecturas!K22) &lt; 0), "", Lecturas!L22-Lecturas!K22)</f>
        <v>0</v>
      </c>
      <c r="W24" s="126">
        <f t="shared" si="11"/>
        <v>0</v>
      </c>
      <c r="X24" s="121">
        <f>IF(OR((Lecturas!M22-Lecturas!L22) &lt; 0), "", Lecturas!M22-Lecturas!L22)</f>
        <v>0</v>
      </c>
      <c r="Y24" s="126">
        <f t="shared" si="12"/>
        <v>0</v>
      </c>
      <c r="Z24" s="121">
        <f>IF(OR((Lecturas!N22-Lecturas!M22) &lt; 0), "", Lecturas!N22-Lecturas!M22)</f>
        <v>0</v>
      </c>
      <c r="AA24" s="126">
        <f t="shared" si="13"/>
        <v>0</v>
      </c>
      <c r="AB24" s="121">
        <f>IF(OR((Lecturas!O22-Lecturas!N22) &lt; 0), "", Lecturas!O22-Lecturas!N22)</f>
        <v>0</v>
      </c>
      <c r="AC24" s="126">
        <f t="shared" si="14"/>
        <v>0</v>
      </c>
      <c r="AD24" s="121">
        <f>IF(OR((Lecturas!P22-Lecturas!O22) &lt; 0), "", Lecturas!P22-Lecturas!O22)</f>
        <v>0</v>
      </c>
      <c r="AE24" s="126">
        <f t="shared" si="15"/>
        <v>0</v>
      </c>
      <c r="AF24" s="121">
        <f>IF((Lecturas!Q22-Lecturas!P22)&lt;= 0,"",Lecturas!Q22-Lecturas!P22)</f>
        <v>0.001</v>
      </c>
      <c r="AG24" s="126">
        <f t="shared" si="16"/>
        <v>0.01424790081</v>
      </c>
      <c r="AH24" s="121">
        <v>0.0</v>
      </c>
      <c r="AI24" s="126">
        <f t="shared" si="17"/>
        <v>0</v>
      </c>
      <c r="AJ24" s="121" t="str">
        <f>IF((Lecturas!S22-Lecturas!R22)&lt;= 0,"",Lecturas!S22-Lecturas!R22)</f>
        <v/>
      </c>
      <c r="AK24" s="126">
        <f t="shared" si="18"/>
        <v>0</v>
      </c>
      <c r="AL24" s="121" t="str">
        <f>IF((Lecturas!T22-Lecturas!S22)&lt;= 0,"",Lecturas!T22-Lecturas!S22)</f>
        <v/>
      </c>
      <c r="AM24" s="126">
        <f t="shared" si="19"/>
        <v>0</v>
      </c>
      <c r="AN24" s="121" t="str">
        <f>IF((Lecturas!U22-Lecturas!T22)&lt;= 0,"",Lecturas!U22-Lecturas!T22)</f>
        <v/>
      </c>
      <c r="AO24" s="126">
        <f t="shared" si="20"/>
        <v>0</v>
      </c>
      <c r="AP24" s="121" t="str">
        <f>IF((Lecturas!V22-Lecturas!U22)&lt;= 0,"",Lecturas!V22-Lecturas!U22)</f>
        <v/>
      </c>
      <c r="AQ24" s="126">
        <f t="shared" si="21"/>
        <v>0</v>
      </c>
      <c r="AR24" s="121" t="str">
        <f>IF((Lecturas!W22-Lecturas!V22)&lt;= 0,"",Lecturas!W22-Lecturas!V22)</f>
        <v/>
      </c>
      <c r="AS24" s="126">
        <f t="shared" si="22"/>
        <v>0</v>
      </c>
      <c r="AT24" s="121">
        <f>IF((Lecturas!X22-Lecturas!W22)&lt;= 0,"",Lecturas!X22-Lecturas!W22)</f>
        <v>0.001</v>
      </c>
      <c r="AU24" s="126">
        <f t="shared" si="23"/>
        <v>0.01202519278</v>
      </c>
      <c r="AV24" s="121" t="str">
        <f>IF((Lecturas!Y22-Lecturas!X22)&lt;= 0,"",Lecturas!Y22-Lecturas!X22)</f>
        <v/>
      </c>
      <c r="AW24" s="126">
        <f t="shared" si="24"/>
        <v>0</v>
      </c>
      <c r="AX24" s="121" t="str">
        <f>IF((Lecturas!Z22-Lecturas!Y22)&lt;= 0,"0",Lecturas!Z22-Lecturas!Y22)</f>
        <v>0</v>
      </c>
      <c r="AY24" s="126">
        <f t="shared" si="25"/>
        <v>0</v>
      </c>
      <c r="AZ24" s="121" t="str">
        <f>IF((Lecturas!AA22-Lecturas!Z22)&lt;= 0,"0",Lecturas!AA22-Lecturas!Z22)</f>
        <v>0</v>
      </c>
      <c r="BA24" s="126">
        <f t="shared" si="26"/>
        <v>0</v>
      </c>
      <c r="BB24" s="159" t="str">
        <f>IF((Lecturas!AB22-Lecturas!AA22)&lt;= 0,"0",Lecturas!AB22-Lecturas!AA22)</f>
        <v>0</v>
      </c>
      <c r="BC24" s="126">
        <f t="shared" si="27"/>
        <v>0</v>
      </c>
      <c r="BD24" s="121" t="str">
        <f>IF((Lecturas!AC22-Lecturas!AB22)&lt;= 0,"0",Lecturas!AC22-Lecturas!AB22)</f>
        <v>0</v>
      </c>
      <c r="BE24" s="126">
        <f t="shared" si="28"/>
        <v>0</v>
      </c>
      <c r="BF24" s="121" t="str">
        <f>IF((Lecturas!AD22-Lecturas!AC22)&lt;= 0,"0",Lecturas!AD22-Lecturas!AC22)</f>
        <v>0</v>
      </c>
      <c r="BG24" s="126" t="str">
        <f t="shared" si="29"/>
        <v>0</v>
      </c>
      <c r="BH24" s="121" t="str">
        <f>IF((Lecturas!AE22-Lecturas!AD22)&lt;= 0,"0",Lecturas!AE22-Lecturas!AD22)</f>
        <v>0</v>
      </c>
      <c r="BI24" s="126" t="str">
        <f t="shared" si="30"/>
        <v>0</v>
      </c>
      <c r="BJ24" s="121" t="str">
        <f>IF((Lecturas!AF22-Lecturas!AE22)&lt;= 0,"0",Lecturas!AF22-Lecturas!AE22)</f>
        <v>0</v>
      </c>
      <c r="BK24" s="126" t="str">
        <f t="shared" si="31"/>
        <v>0</v>
      </c>
      <c r="BL24" s="121" t="str">
        <f>IF((Lecturas!AG22-Lecturas!AF22)&lt;= 0,"0",Lecturas!AG22-Lecturas!AF22)</f>
        <v>0</v>
      </c>
      <c r="BM24" s="126" t="str">
        <f t="shared" si="32"/>
        <v>0</v>
      </c>
      <c r="BN24" s="121" t="str">
        <f>IF((Lecturas!AH22-Lecturas!AG22)&lt;= 0,"0",Lecturas!AH22-Lecturas!AG22)</f>
        <v>0</v>
      </c>
      <c r="BO24" s="126" t="str">
        <f t="shared" si="33"/>
        <v>0</v>
      </c>
    </row>
    <row r="25" ht="15.75" customHeight="1">
      <c r="A25" s="120">
        <f t="shared" si="1"/>
        <v>26.7</v>
      </c>
      <c r="B25" s="121">
        <f t="shared" si="2"/>
        <v>1.876</v>
      </c>
      <c r="C25" s="74">
        <v>502.0</v>
      </c>
      <c r="D25" s="123" t="s">
        <v>351</v>
      </c>
      <c r="E25" s="75">
        <v>2034055.0</v>
      </c>
      <c r="F25" s="121">
        <f>Lecturas!D23-Lecturas!C23</f>
        <v>0</v>
      </c>
      <c r="G25" s="126">
        <f t="shared" si="3"/>
        <v>0</v>
      </c>
      <c r="H25" s="121">
        <f>IF((Lecturas!E23-Lecturas!D23) &lt; 0, "", Lecturas!E23-Lecturas!D23)</f>
        <v>1.044</v>
      </c>
      <c r="I25" s="126">
        <f t="shared" si="4"/>
        <v>18.6517799</v>
      </c>
      <c r="J25" s="121">
        <f>IF(OR((Lecturas!F23-Lecturas!E23) &lt;0), "", Lecturas!F23-Lecturas!E23)</f>
        <v>0</v>
      </c>
      <c r="K25" s="126">
        <f t="shared" si="5"/>
        <v>0</v>
      </c>
      <c r="L25" s="121">
        <f>IF(OR((Lecturas!G23-Lecturas!F23) &lt; 0), "", Lecturas!G23-Lecturas!F23)</f>
        <v>0</v>
      </c>
      <c r="M25" s="126">
        <f t="shared" si="6"/>
        <v>0</v>
      </c>
      <c r="N25" s="121">
        <f>IF(OR((Lecturas!H23-Lecturas!G23) &lt; 0), "", Lecturas!H23-Lecturas!G23)</f>
        <v>0</v>
      </c>
      <c r="O25" s="126">
        <f t="shared" si="7"/>
        <v>0</v>
      </c>
      <c r="P25" s="121">
        <f>IF(OR((Lecturas!I23-Lecturas!H23) &lt;= 0), "", Lecturas!I23-Lecturas!H23)</f>
        <v>0.425</v>
      </c>
      <c r="Q25" s="126">
        <f t="shared" si="8"/>
        <v>6.307402421</v>
      </c>
      <c r="R25" s="121">
        <f>IF(OR((Lecturas!J23-Lecturas!I23) &lt;= 0), "", Lecturas!J23-Lecturas!I23)</f>
        <v>0.652</v>
      </c>
      <c r="S25" s="126">
        <f t="shared" si="9"/>
        <v>10.80463603</v>
      </c>
      <c r="T25" s="121">
        <f>IF(OR((Lecturas!K23-Lecturas!J23) &lt;= 0), "", Lecturas!K23-Lecturas!J23)</f>
        <v>3.493</v>
      </c>
      <c r="U25" s="126">
        <f t="shared" si="10"/>
        <v>61.34428909</v>
      </c>
      <c r="V25" s="121">
        <f>IF(OR((Lecturas!L23-Lecturas!K23) &lt; 0), "", Lecturas!L23-Lecturas!K23)</f>
        <v>2.263</v>
      </c>
      <c r="W25" s="126">
        <f t="shared" si="11"/>
        <v>27.66172264</v>
      </c>
      <c r="X25" s="121">
        <f>IF(OR((Lecturas!M23-Lecturas!L23) &lt; 0), "", Lecturas!M23-Lecturas!L23)</f>
        <v>0.581</v>
      </c>
      <c r="Y25" s="126">
        <f t="shared" si="12"/>
        <v>7.050072676</v>
      </c>
      <c r="Z25" s="121">
        <f>IF(OR((Lecturas!N23-Lecturas!M23) &lt;= 0), "", Lecturas!N23-Lecturas!M23)</f>
        <v>2.092</v>
      </c>
      <c r="AA25" s="126">
        <f t="shared" si="13"/>
        <v>29.46858493</v>
      </c>
      <c r="AB25" s="121">
        <f>IF(OR((Lecturas!O23-Lecturas!N23) &lt; 0), "", Lecturas!O23-Lecturas!N23)</f>
        <v>1.923</v>
      </c>
      <c r="AC25" s="126">
        <f t="shared" si="14"/>
        <v>24.70485618</v>
      </c>
      <c r="AD25" s="121">
        <f>IF(OR((Lecturas!P23-Lecturas!O23) &lt; 0), "", Lecturas!P23-Lecturas!O23)</f>
        <v>3.242</v>
      </c>
      <c r="AE25" s="126">
        <f t="shared" si="15"/>
        <v>40.77848036</v>
      </c>
      <c r="AF25" s="121">
        <f>IF((Lecturas!Q23-Lecturas!P23)&lt;= 0,"",Lecturas!Q23-Lecturas!P23)</f>
        <v>1.876</v>
      </c>
      <c r="AG25" s="126">
        <f t="shared" si="16"/>
        <v>26.72906192</v>
      </c>
      <c r="AH25" s="121">
        <f>IF((Lecturas!R23-Lecturas!Q23)&lt;= 0,"",Lecturas!R23-Lecturas!Q23)</f>
        <v>0.635</v>
      </c>
      <c r="AI25" s="126">
        <f t="shared" si="17"/>
        <v>8.835362452</v>
      </c>
      <c r="AJ25" s="121">
        <f>IF((Lecturas!S23-Lecturas!R23)&lt;= 0,"",Lecturas!S23-Lecturas!R23)</f>
        <v>0.634</v>
      </c>
      <c r="AK25" s="126">
        <f t="shared" si="18"/>
        <v>9.134506535</v>
      </c>
      <c r="AL25" s="121">
        <f>IF((Lecturas!T23-Lecturas!S23)&lt;= 0,"",Lecturas!T23-Lecturas!S23)</f>
        <v>0.011</v>
      </c>
      <c r="AM25" s="126">
        <f t="shared" si="19"/>
        <v>0.1092170584</v>
      </c>
      <c r="AN25" s="121">
        <f>IF((Lecturas!U23-Lecturas!T23)&lt;= 0,"",Lecturas!U23-Lecturas!T23)</f>
        <v>0.151</v>
      </c>
      <c r="AO25" s="126">
        <f t="shared" si="20"/>
        <v>2.455703819</v>
      </c>
      <c r="AP25" s="121">
        <f>IF((Lecturas!V23-Lecturas!U23)&lt;= 0,"",Lecturas!V23-Lecturas!U23)</f>
        <v>0.738</v>
      </c>
      <c r="AQ25" s="126">
        <f t="shared" si="21"/>
        <v>9.832543654</v>
      </c>
      <c r="AR25" s="121">
        <f>IF((Lecturas!W23-Lecturas!V23)&lt;= 0,"",Lecturas!W23-Lecturas!V23)</f>
        <v>0.392</v>
      </c>
      <c r="AS25" s="126">
        <f t="shared" si="22"/>
        <v>4.632235098</v>
      </c>
      <c r="AT25" s="121">
        <f>IF((Lecturas!X23-Lecturas!W23)&lt;= 0,"",Lecturas!X23-Lecturas!W23)</f>
        <v>0.197</v>
      </c>
      <c r="AU25" s="126">
        <f t="shared" si="23"/>
        <v>2.368962977</v>
      </c>
      <c r="AV25" s="121">
        <f>IF((Lecturas!Y23-Lecturas!X23)&lt;= 0,"",Lecturas!Y23-Lecturas!X23)</f>
        <v>0.101</v>
      </c>
      <c r="AW25" s="126">
        <f t="shared" si="24"/>
        <v>1.238103729</v>
      </c>
      <c r="AX25" s="121">
        <f>IF((Lecturas!Z23-Lecturas!Y23)&lt;= 0,"0",Lecturas!Z23-Lecturas!Y23)</f>
        <v>0.424</v>
      </c>
      <c r="AY25" s="126">
        <f t="shared" si="25"/>
        <v>4.920123161</v>
      </c>
      <c r="AZ25" s="121">
        <f>IF((Lecturas!AA23-Lecturas!Z23)&lt;= 0,"0",Lecturas!AA23-Lecturas!Z23)</f>
        <v>0.024</v>
      </c>
      <c r="BA25" s="126">
        <f t="shared" si="26"/>
        <v>0.3312967386</v>
      </c>
      <c r="BB25" s="144">
        <f>IF((Lecturas!AB23-Lecturas!AA23)&lt;= 0,"0",Lecturas!AB23-Lecturas!AA23)</f>
        <v>0.053</v>
      </c>
      <c r="BC25" s="126">
        <f t="shared" si="27"/>
        <v>0.7942402919</v>
      </c>
      <c r="BD25" s="121" t="str">
        <f>IF((Lecturas!AC23-Lecturas!AB23)&lt;= 0,"0",Lecturas!AC23-Lecturas!AB23)</f>
        <v>0</v>
      </c>
      <c r="BE25" s="126">
        <f t="shared" si="28"/>
        <v>0</v>
      </c>
      <c r="BF25" s="121" t="str">
        <f>IF((Lecturas!AD23-Lecturas!AC23)&lt;= 0,"0",Lecturas!AD23-Lecturas!AC23)</f>
        <v>0</v>
      </c>
      <c r="BG25" s="126" t="str">
        <f t="shared" si="29"/>
        <v>0</v>
      </c>
      <c r="BH25" s="121" t="str">
        <f>IF((Lecturas!AE23-Lecturas!AD23)&lt;= 0,"0",Lecturas!AE23-Lecturas!AD23)</f>
        <v>0</v>
      </c>
      <c r="BI25" s="126" t="str">
        <f t="shared" si="30"/>
        <v>0</v>
      </c>
      <c r="BJ25" s="121" t="str">
        <f>IF((Lecturas!AF23-Lecturas!AE23)&lt;= 0,"0",Lecturas!AF23-Lecturas!AE23)</f>
        <v>0</v>
      </c>
      <c r="BK25" s="126" t="str">
        <f t="shared" si="31"/>
        <v>0</v>
      </c>
      <c r="BL25" s="121" t="str">
        <f>IF((Lecturas!AG23-Lecturas!AF23)&lt;= 0,"0",Lecturas!AG23-Lecturas!AF23)</f>
        <v>0</v>
      </c>
      <c r="BM25" s="126" t="str">
        <f t="shared" si="32"/>
        <v>0</v>
      </c>
      <c r="BN25" s="121" t="str">
        <f>IF((Lecturas!AH23-Lecturas!AG23)&lt;= 0,"0",Lecturas!AH23-Lecturas!AG23)</f>
        <v>0</v>
      </c>
      <c r="BO25" s="126" t="str">
        <f t="shared" si="33"/>
        <v>0</v>
      </c>
    </row>
    <row r="26" ht="15.75" customHeight="1">
      <c r="A26" s="120">
        <f t="shared" si="1"/>
        <v>45.1</v>
      </c>
      <c r="B26" s="121">
        <f t="shared" si="2"/>
        <v>3.164</v>
      </c>
      <c r="C26" s="74">
        <v>503.0</v>
      </c>
      <c r="D26" s="123" t="s">
        <v>352</v>
      </c>
      <c r="E26" s="75">
        <v>2034083.0</v>
      </c>
      <c r="F26" s="121">
        <f>Lecturas!D24-Lecturas!C24</f>
        <v>0.021</v>
      </c>
      <c r="G26" s="126">
        <f t="shared" si="3"/>
        <v>0.4690544718</v>
      </c>
      <c r="H26" s="121">
        <f>IF((Lecturas!E24-Lecturas!D24) &lt; 0, "", Lecturas!E24-Lecturas!D24)</f>
        <v>0</v>
      </c>
      <c r="I26" s="126">
        <f t="shared" si="4"/>
        <v>0</v>
      </c>
      <c r="J26" s="121">
        <f>IF(OR((Lecturas!F24-Lecturas!E24) &lt; 0), "", Lecturas!F24-Lecturas!E24)</f>
        <v>0</v>
      </c>
      <c r="K26" s="126">
        <f t="shared" si="5"/>
        <v>0</v>
      </c>
      <c r="L26" s="121">
        <f>IF(OR((Lecturas!G24-Lecturas!F24) &lt;= 0), "", Lecturas!G24-Lecturas!F24)</f>
        <v>1.126</v>
      </c>
      <c r="M26" s="126">
        <f t="shared" si="6"/>
        <v>17.57757684</v>
      </c>
      <c r="N26" s="121">
        <f>IF(OR((Lecturas!H24-Lecturas!G24) &lt; 0), "", Lecturas!H24-Lecturas!G24)</f>
        <v>0</v>
      </c>
      <c r="O26" s="126">
        <f t="shared" si="7"/>
        <v>0</v>
      </c>
      <c r="P26" s="121">
        <f>IF(OR((Lecturas!I24-Lecturas!H24) &lt; 0), "", Lecturas!I24-Lecturas!H24)</f>
        <v>0</v>
      </c>
      <c r="Q26" s="126">
        <f t="shared" si="8"/>
        <v>0</v>
      </c>
      <c r="R26" s="121">
        <f>IF(OR((Lecturas!J24-Lecturas!I24) &lt; 0), "", Lecturas!J24-Lecturas!I24)</f>
        <v>0</v>
      </c>
      <c r="S26" s="126">
        <f t="shared" si="9"/>
        <v>0</v>
      </c>
      <c r="T26" s="121">
        <f>IF(OR((Lecturas!K24-Lecturas!J24) &lt;= 0), "", Lecturas!K24-Lecturas!J24)</f>
        <v>0.288</v>
      </c>
      <c r="U26" s="126">
        <f t="shared" si="10"/>
        <v>5.057874394</v>
      </c>
      <c r="V26" s="121">
        <f>IF(OR((Lecturas!L24-Lecturas!K24) &lt; 0), "", Lecturas!L24-Lecturas!K24)</f>
        <v>1.077</v>
      </c>
      <c r="W26" s="126">
        <f t="shared" si="11"/>
        <v>13.16468196</v>
      </c>
      <c r="X26" s="121">
        <f>IF(OR((Lecturas!M24-Lecturas!L24) &lt; 0), "", Lecturas!M24-Lecturas!L24)</f>
        <v>0.853</v>
      </c>
      <c r="Y26" s="126">
        <f t="shared" si="12"/>
        <v>10.35062305</v>
      </c>
      <c r="Z26" s="121">
        <f>IF(OR((Lecturas!N24-Lecturas!M24) &lt;= 0), "", Lecturas!N24-Lecturas!M24)</f>
        <v>0.949</v>
      </c>
      <c r="AA26" s="126">
        <f t="shared" si="13"/>
        <v>13.36791926</v>
      </c>
      <c r="AB26" s="121">
        <f>IF(OR((Lecturas!O24-Lecturas!N24) &lt; 0), "", Lecturas!O24-Lecturas!N24)</f>
        <v>2.027</v>
      </c>
      <c r="AC26" s="126">
        <f t="shared" si="14"/>
        <v>26.04094825</v>
      </c>
      <c r="AD26" s="121">
        <f>IF(OR((Lecturas!P24-Lecturas!O24) &lt; 0), "", Lecturas!P24-Lecturas!O24)</f>
        <v>0.66</v>
      </c>
      <c r="AE26" s="126">
        <f t="shared" si="15"/>
        <v>8.301603035</v>
      </c>
      <c r="AF26" s="121">
        <f>IF((Lecturas!Q24-Lecturas!P24)&lt;= 0,"",Lecturas!Q24-Lecturas!P24)</f>
        <v>3.164</v>
      </c>
      <c r="AG26" s="126">
        <f t="shared" si="16"/>
        <v>45.08035816</v>
      </c>
      <c r="AH26" s="121">
        <f>IF((Lecturas!R24-Lecturas!Q24)&lt;= 0,"",Lecturas!R24-Lecturas!Q24)</f>
        <v>2.605</v>
      </c>
      <c r="AI26" s="126">
        <f t="shared" si="17"/>
        <v>36.24585699</v>
      </c>
      <c r="AJ26" s="121">
        <f>IF((Lecturas!S24-Lecturas!R24)&lt;= 0,"",Lecturas!S24-Lecturas!R24)</f>
        <v>1.299</v>
      </c>
      <c r="AK26" s="126">
        <f t="shared" si="18"/>
        <v>18.71565298</v>
      </c>
      <c r="AL26" s="121">
        <f>IF((Lecturas!T24-Lecturas!S24)&lt;= 0,"",Lecturas!T24-Lecturas!S24)</f>
        <v>1</v>
      </c>
      <c r="AM26" s="126">
        <f t="shared" si="19"/>
        <v>9.928823494</v>
      </c>
      <c r="AN26" s="121">
        <f>IF((Lecturas!U24-Lecturas!T24)&lt;= 0,"",Lecturas!U24-Lecturas!T24)</f>
        <v>2.908</v>
      </c>
      <c r="AO26" s="126">
        <f t="shared" si="20"/>
        <v>47.2926272</v>
      </c>
      <c r="AP26" s="121">
        <f>IF((Lecturas!V24-Lecturas!U24)&lt;= 0,"",Lecturas!V24-Lecturas!U24)</f>
        <v>1.003</v>
      </c>
      <c r="AQ26" s="126">
        <f t="shared" si="21"/>
        <v>13.36319957</v>
      </c>
      <c r="AR26" s="121">
        <f>IF((Lecturas!W24-Lecturas!V24)&lt;= 0,"",Lecturas!W24-Lecturas!V24)</f>
        <v>1.767</v>
      </c>
      <c r="AS26" s="126">
        <f t="shared" si="22"/>
        <v>20.88050872</v>
      </c>
      <c r="AT26" s="121">
        <f>IF((Lecturas!X24-Lecturas!W24)&lt;= 0,"",Lecturas!X24-Lecturas!W24)</f>
        <v>2.061</v>
      </c>
      <c r="AU26" s="126">
        <f t="shared" si="23"/>
        <v>24.78392232</v>
      </c>
      <c r="AV26" s="121">
        <f>IF((Lecturas!Y24-Lecturas!X24)&lt;= 0,"",Lecturas!Y24-Lecturas!X24)</f>
        <v>0.437</v>
      </c>
      <c r="AW26" s="126">
        <f t="shared" si="24"/>
        <v>5.356943856</v>
      </c>
      <c r="AX26" s="121">
        <f>IF((Lecturas!Z24-Lecturas!Y24)&lt;= 0,"0",Lecturas!Z24-Lecturas!Y24)</f>
        <v>0.757</v>
      </c>
      <c r="AY26" s="126">
        <f t="shared" si="25"/>
        <v>8.784276493</v>
      </c>
      <c r="AZ26" s="121">
        <f>IF((Lecturas!AA24-Lecturas!Z24)&lt;= 0,"0",Lecturas!AA24-Lecturas!Z24)</f>
        <v>1.577</v>
      </c>
      <c r="BA26" s="126">
        <f t="shared" si="26"/>
        <v>21.76895654</v>
      </c>
      <c r="BB26" s="144">
        <f>IF((Lecturas!AB24-Lecturas!AA24)&lt;= 0,"0",Lecturas!AB24-Lecturas!AA24)</f>
        <v>1.291</v>
      </c>
      <c r="BC26" s="126">
        <f t="shared" si="27"/>
        <v>19.34649466</v>
      </c>
      <c r="BD26" s="121">
        <f>IF((Lecturas!AC24-Lecturas!AB24)&lt;= 0,"0",Lecturas!AC24-Lecturas!AB24)</f>
        <v>2.346</v>
      </c>
      <c r="BE26" s="126">
        <f t="shared" si="28"/>
        <v>50.70883161</v>
      </c>
      <c r="BF26" s="121" t="str">
        <f>IF((Lecturas!AD24-Lecturas!AC24)&lt;= 0,"0",Lecturas!AD24-Lecturas!AC24)</f>
        <v>0</v>
      </c>
      <c r="BG26" s="126" t="str">
        <f t="shared" si="29"/>
        <v>0</v>
      </c>
      <c r="BH26" s="121" t="str">
        <f>IF((Lecturas!AE24-Lecturas!AD24)&lt;= 0,"0",Lecturas!AE24-Lecturas!AD24)</f>
        <v>0</v>
      </c>
      <c r="BI26" s="126" t="str">
        <f t="shared" si="30"/>
        <v>0</v>
      </c>
      <c r="BJ26" s="121" t="str">
        <f>IF((Lecturas!AF24-Lecturas!AE24)&lt;= 0,"0",Lecturas!AF24-Lecturas!AE24)</f>
        <v>0</v>
      </c>
      <c r="BK26" s="126" t="str">
        <f t="shared" si="31"/>
        <v>0</v>
      </c>
      <c r="BL26" s="121" t="str">
        <f>IF((Lecturas!AG24-Lecturas!AF24)&lt;= 0,"0",Lecturas!AG24-Lecturas!AF24)</f>
        <v>0</v>
      </c>
      <c r="BM26" s="126" t="str">
        <f t="shared" si="32"/>
        <v>0</v>
      </c>
      <c r="BN26" s="121" t="str">
        <f>IF((Lecturas!AH24-Lecturas!AG24)&lt;= 0,"0",Lecturas!AH24-Lecturas!AG24)</f>
        <v>0</v>
      </c>
      <c r="BO26" s="126" t="str">
        <f t="shared" si="33"/>
        <v>0</v>
      </c>
    </row>
    <row r="27" ht="15.75" customHeight="1">
      <c r="A27" s="120">
        <f t="shared" si="1"/>
        <v>22.4</v>
      </c>
      <c r="B27" s="121">
        <f t="shared" si="2"/>
        <v>1.569</v>
      </c>
      <c r="C27" s="74">
        <v>504.0</v>
      </c>
      <c r="D27" s="123" t="s">
        <v>356</v>
      </c>
      <c r="E27" s="75">
        <v>2034037.0</v>
      </c>
      <c r="F27" s="121">
        <f>Lecturas!D25-Lecturas!C25</f>
        <v>2.5</v>
      </c>
      <c r="G27" s="126">
        <f t="shared" si="3"/>
        <v>55.83981807</v>
      </c>
      <c r="H27" s="121">
        <f>IF((Lecturas!E25-Lecturas!D25) &lt; 0, "", Lecturas!E25-Lecturas!D25)</f>
        <v>4.239</v>
      </c>
      <c r="I27" s="126">
        <f t="shared" si="4"/>
        <v>75.73265804</v>
      </c>
      <c r="J27" s="121">
        <f>IF(OR((Lecturas!F25-Lecturas!E25) &lt;= 0), "", Lecturas!F25-Lecturas!E25)</f>
        <v>3.094</v>
      </c>
      <c r="K27" s="126">
        <f t="shared" si="5"/>
        <v>37.62559242</v>
      </c>
      <c r="L27" s="121">
        <f>IF(OR((Lecturas!G25-Lecturas!F25) &lt;= 0), "", Lecturas!G25-Lecturas!F25)</f>
        <v>2.026</v>
      </c>
      <c r="M27" s="126">
        <f t="shared" si="6"/>
        <v>31.62714981</v>
      </c>
      <c r="N27" s="121">
        <f>IF(OR((Lecturas!H25-Lecturas!G25) &lt;= 0), "", Lecturas!H25-Lecturas!G25)</f>
        <v>2.307</v>
      </c>
      <c r="O27" s="126">
        <f t="shared" si="7"/>
        <v>35.05872275</v>
      </c>
      <c r="P27" s="121">
        <f>IF(OR((Lecturas!I25-Lecturas!H25) &lt;= 0), "", Lecturas!I25-Lecturas!H25)</f>
        <v>2.44</v>
      </c>
      <c r="Q27" s="126">
        <f t="shared" si="8"/>
        <v>36.21191037</v>
      </c>
      <c r="R27" s="121">
        <f>IF(OR((Lecturas!J25-Lecturas!I25) &lt;= 0), "", Lecturas!J25-Lecturas!I25)</f>
        <v>2.617</v>
      </c>
      <c r="S27" s="126">
        <f t="shared" si="9"/>
        <v>43.36768786</v>
      </c>
      <c r="T27" s="121">
        <f>IF(OR((Lecturas!K25-Lecturas!J25) &lt;= 0), "", Lecturas!K25-Lecturas!J25)</f>
        <v>2.076</v>
      </c>
      <c r="U27" s="126">
        <f t="shared" si="10"/>
        <v>36.45884459</v>
      </c>
      <c r="V27" s="121">
        <f>IF(OR((Lecturas!L25-Lecturas!K25) &lt; 0), "", Lecturas!L25-Lecturas!K25)</f>
        <v>2.062</v>
      </c>
      <c r="W27" s="126">
        <f t="shared" si="11"/>
        <v>25.20480427</v>
      </c>
      <c r="X27" s="121">
        <f>IF(OR((Lecturas!M25-Lecturas!L25) &lt; 0), "", Lecturas!M25-Lecturas!L25)</f>
        <v>0.959</v>
      </c>
      <c r="Y27" s="126">
        <f t="shared" si="12"/>
        <v>11.63686695</v>
      </c>
      <c r="Z27" s="121">
        <f>IF(OR((Lecturas!N25-Lecturas!M25) &lt;= 0), "", Lecturas!N25-Lecturas!M25)</f>
        <v>1.629</v>
      </c>
      <c r="AA27" s="126">
        <f t="shared" si="13"/>
        <v>22.94661799</v>
      </c>
      <c r="AB27" s="121">
        <f>IF(OR((Lecturas!O25-Lecturas!N25) &lt; 0), "", Lecturas!O25-Lecturas!N25)</f>
        <v>2.341</v>
      </c>
      <c r="AC27" s="126">
        <f t="shared" si="14"/>
        <v>30.07491852</v>
      </c>
      <c r="AD27" s="121">
        <f>IF(OR((Lecturas!P25-Lecturas!O25) &lt; 0), "", Lecturas!P25-Lecturas!O25)</f>
        <v>1.567</v>
      </c>
      <c r="AE27" s="126">
        <f t="shared" si="15"/>
        <v>19.71001812</v>
      </c>
      <c r="AF27" s="121">
        <f>IF((Lecturas!Q25-Lecturas!P25)&lt;= 0,"",Lecturas!Q25-Lecturas!P25)</f>
        <v>1.569</v>
      </c>
      <c r="AG27" s="126">
        <f t="shared" si="16"/>
        <v>22.35495637</v>
      </c>
      <c r="AH27" s="121">
        <f>IF((Lecturas!R25-Lecturas!Q25)&lt;= 0,"",Lecturas!R25-Lecturas!Q25)</f>
        <v>1.288</v>
      </c>
      <c r="AI27" s="126">
        <f t="shared" si="17"/>
        <v>17.92117612</v>
      </c>
      <c r="AJ27" s="121">
        <f>IF((Lecturas!S25-Lecturas!R25)&lt;= 0,"",Lecturas!S25-Lecturas!R25)</f>
        <v>2.308</v>
      </c>
      <c r="AK27" s="126">
        <f t="shared" si="18"/>
        <v>33.25306164</v>
      </c>
      <c r="AL27" s="121">
        <f>IF((Lecturas!T25-Lecturas!S25)&lt;= 0,"",Lecturas!T25-Lecturas!S25)</f>
        <v>2.026</v>
      </c>
      <c r="AM27" s="126">
        <f t="shared" si="19"/>
        <v>20.1157964</v>
      </c>
      <c r="AN27" s="121">
        <f>IF((Lecturas!U25-Lecturas!T25)&lt;= 0,"",Lecturas!U25-Lecturas!T25)</f>
        <v>1.259</v>
      </c>
      <c r="AO27" s="126">
        <f t="shared" si="20"/>
        <v>20.47504045</v>
      </c>
      <c r="AP27" s="121">
        <f>IF((Lecturas!V25-Lecturas!U25)&lt;= 0,"",Lecturas!V25-Lecturas!U25)</f>
        <v>1.129</v>
      </c>
      <c r="AQ27" s="126">
        <f t="shared" si="21"/>
        <v>15.04192654</v>
      </c>
      <c r="AR27" s="121">
        <f>IF((Lecturas!W25-Lecturas!V25)&lt;= 0,"",Lecturas!W25-Lecturas!V25)</f>
        <v>0.344</v>
      </c>
      <c r="AS27" s="126">
        <f t="shared" si="22"/>
        <v>4.065022637</v>
      </c>
      <c r="AT27" s="121">
        <f>IF((Lecturas!X25-Lecturas!W25)&lt;= 0,"",Lecturas!X25-Lecturas!W25)</f>
        <v>3.214</v>
      </c>
      <c r="AU27" s="126">
        <f t="shared" si="23"/>
        <v>38.64896959</v>
      </c>
      <c r="AV27" s="121">
        <f>IF((Lecturas!Y25-Lecturas!X25)&lt;= 0,"",Lecturas!Y25-Lecturas!X25)</f>
        <v>1.811</v>
      </c>
      <c r="AW27" s="126">
        <f t="shared" si="24"/>
        <v>22.20005795</v>
      </c>
      <c r="AX27" s="121">
        <f>IF((Lecturas!Z25-Lecturas!Y25)&lt;= 0,"0",Lecturas!Z25-Lecturas!Y25)</f>
        <v>1.936</v>
      </c>
      <c r="AY27" s="126">
        <f t="shared" si="25"/>
        <v>22.46546802</v>
      </c>
      <c r="AZ27" s="121">
        <f>IF((Lecturas!AA25-Lecturas!Z25)&lt;= 0,"0",Lecturas!AA25-Lecturas!Z25)</f>
        <v>2.593</v>
      </c>
      <c r="BA27" s="126">
        <f t="shared" si="26"/>
        <v>35.7938518</v>
      </c>
      <c r="BB27" s="144">
        <f>IF((Lecturas!AB25-Lecturas!AA25)&lt;= 0,"0",Lecturas!AB25-Lecturas!AA25)</f>
        <v>1.73</v>
      </c>
      <c r="BC27" s="126">
        <f t="shared" si="27"/>
        <v>25.92520198</v>
      </c>
      <c r="BD27" s="121">
        <f>IF((Lecturas!AC25-Lecturas!AB25)&lt;= 0,"0",Lecturas!AC25-Lecturas!AB25)</f>
        <v>1.539</v>
      </c>
      <c r="BE27" s="126">
        <f t="shared" si="28"/>
        <v>33.2655123</v>
      </c>
      <c r="BF27" s="121" t="str">
        <f>IF((Lecturas!AD25-Lecturas!AC25)&lt;= 0,"0",Lecturas!AD25-Lecturas!AC25)</f>
        <v>0</v>
      </c>
      <c r="BG27" s="126" t="str">
        <f t="shared" si="29"/>
        <v>0</v>
      </c>
      <c r="BH27" s="121" t="str">
        <f>IF((Lecturas!AE25-Lecturas!AD25)&lt;= 0,"0",Lecturas!AE25-Lecturas!AD25)</f>
        <v>0</v>
      </c>
      <c r="BI27" s="126" t="str">
        <f t="shared" si="30"/>
        <v>0</v>
      </c>
      <c r="BJ27" s="121" t="str">
        <f>IF((Lecturas!AF25-Lecturas!AE25)&lt;= 0,"0",Lecturas!AF25-Lecturas!AE25)</f>
        <v>0</v>
      </c>
      <c r="BK27" s="126" t="str">
        <f t="shared" si="31"/>
        <v>0</v>
      </c>
      <c r="BL27" s="121" t="str">
        <f>IF((Lecturas!AG25-Lecturas!AF25)&lt;= 0,"0",Lecturas!AG25-Lecturas!AF25)</f>
        <v>0</v>
      </c>
      <c r="BM27" s="126" t="str">
        <f t="shared" si="32"/>
        <v>0</v>
      </c>
      <c r="BN27" s="121" t="str">
        <f>IF((Lecturas!AH25-Lecturas!AG25)&lt;= 0,"0",Lecturas!AH25-Lecturas!AG25)</f>
        <v>0</v>
      </c>
      <c r="BO27" s="126" t="str">
        <f t="shared" si="33"/>
        <v>0</v>
      </c>
    </row>
    <row r="28" ht="15.75" customHeight="1">
      <c r="A28" s="120">
        <f t="shared" si="1"/>
        <v>99.4</v>
      </c>
      <c r="B28" s="121">
        <f t="shared" si="2"/>
        <v>6.976</v>
      </c>
      <c r="C28" s="74">
        <v>505.0</v>
      </c>
      <c r="D28" s="123" t="s">
        <v>358</v>
      </c>
      <c r="E28" s="75">
        <v>2034047.0</v>
      </c>
      <c r="F28" s="121">
        <f>Lecturas!D26-Lecturas!C26</f>
        <v>6.565</v>
      </c>
      <c r="G28" s="126">
        <f t="shared" si="3"/>
        <v>146.6353623</v>
      </c>
      <c r="H28" s="121">
        <f>IF((Lecturas!E26-Lecturas!D26) &lt; 0, "", Lecturas!E26-Lecturas!D26)</f>
        <v>5.227</v>
      </c>
      <c r="I28" s="126">
        <f t="shared" si="4"/>
        <v>93.38395933</v>
      </c>
      <c r="J28" s="121">
        <f>IF(OR((Lecturas!F26-Lecturas!E26) &lt;= 0), "", Lecturas!F26-Lecturas!E26)</f>
        <v>4.997</v>
      </c>
      <c r="K28" s="126">
        <f t="shared" si="5"/>
        <v>60.76764231</v>
      </c>
      <c r="L28" s="121">
        <f>IF(OR((Lecturas!G26-Lecturas!F26) &lt;= 0), "", Lecturas!G26-Lecturas!F26)</f>
        <v>5.296</v>
      </c>
      <c r="M28" s="126">
        <f t="shared" si="6"/>
        <v>82.67393157</v>
      </c>
      <c r="N28" s="121">
        <f>IF(OR((Lecturas!H26-Lecturas!G26) &lt;= 0), "", Lecturas!H26-Lecturas!G26)</f>
        <v>5.578</v>
      </c>
      <c r="O28" s="126">
        <f t="shared" si="7"/>
        <v>84.76703749</v>
      </c>
      <c r="P28" s="121">
        <f>IF(OR((Lecturas!I26-Lecturas!H26) &lt;= 0), "", Lecturas!I26-Lecturas!H26)</f>
        <v>5.167</v>
      </c>
      <c r="Q28" s="126">
        <f t="shared" si="8"/>
        <v>76.68317249</v>
      </c>
      <c r="R28" s="121">
        <f>IF(OR((Lecturas!J26-Lecturas!I26) &lt;= 0), "", Lecturas!J26-Lecturas!I26)</f>
        <v>6.072</v>
      </c>
      <c r="S28" s="126">
        <f t="shared" si="9"/>
        <v>100.6223159</v>
      </c>
      <c r="T28" s="121">
        <f>IF(OR((Lecturas!K26-Lecturas!J26) &lt;= 0), "", Lecturas!K26-Lecturas!J26)</f>
        <v>4.209</v>
      </c>
      <c r="U28" s="126">
        <f t="shared" si="10"/>
        <v>73.91872682</v>
      </c>
      <c r="V28" s="121">
        <f>IF(OR((Lecturas!L26-Lecturas!K26) &lt; 0), "", Lecturas!L26-Lecturas!K26)</f>
        <v>4.429</v>
      </c>
      <c r="W28" s="126">
        <f t="shared" si="11"/>
        <v>54.13776825</v>
      </c>
      <c r="X28" s="121">
        <f>IF(OR((Lecturas!M26-Lecturas!L26) &lt; 0), "", Lecturas!M26-Lecturas!L26)</f>
        <v>4.68</v>
      </c>
      <c r="Y28" s="126">
        <f t="shared" si="12"/>
        <v>56.78888145</v>
      </c>
      <c r="Z28" s="121">
        <f>IF(OR((Lecturas!N26-Lecturas!M26) &lt;= 0), "", Lecturas!N26-Lecturas!M26)</f>
        <v>5.7</v>
      </c>
      <c r="AA28" s="126">
        <f t="shared" si="13"/>
        <v>80.2920335</v>
      </c>
      <c r="AB28" s="121">
        <f>IF(OR((Lecturas!O26-Lecturas!N26) &lt; 0), "", Lecturas!O26-Lecturas!N26)</f>
        <v>6.024</v>
      </c>
      <c r="AC28" s="126">
        <f t="shared" si="14"/>
        <v>77.39056351</v>
      </c>
      <c r="AD28" s="121">
        <f>IF(OR((Lecturas!P26-Lecturas!O26) &lt; 0), "", Lecturas!P26-Lecturas!O26)</f>
        <v>5.187</v>
      </c>
      <c r="AE28" s="126">
        <f t="shared" si="15"/>
        <v>65.24305294</v>
      </c>
      <c r="AF28" s="121">
        <f>IF((Lecturas!Q26-Lecturas!P26)&lt;= 0,"",Lecturas!Q26-Lecturas!P26)</f>
        <v>6.976</v>
      </c>
      <c r="AG28" s="126">
        <f t="shared" si="16"/>
        <v>99.39335605</v>
      </c>
      <c r="AH28" s="121">
        <f>IF((Lecturas!R26-Lecturas!Q26)&lt;= 0,"",Lecturas!R26-Lecturas!Q26)</f>
        <v>6.073</v>
      </c>
      <c r="AI28" s="126">
        <f t="shared" si="17"/>
        <v>84.49945854</v>
      </c>
      <c r="AJ28" s="121">
        <f>IF((Lecturas!S26-Lecturas!R26)&lt;= 0,"",Lecturas!S26-Lecturas!R26)</f>
        <v>6.016</v>
      </c>
      <c r="AK28" s="126">
        <f t="shared" si="18"/>
        <v>86.67695791</v>
      </c>
      <c r="AL28" s="121">
        <f>IF((Lecturas!T26-Lecturas!S26)&lt;= 0,"",Lecturas!T26-Lecturas!S26)</f>
        <v>6.804</v>
      </c>
      <c r="AM28" s="126">
        <f t="shared" si="19"/>
        <v>67.55571505</v>
      </c>
      <c r="AN28" s="121">
        <f>IF((Lecturas!U26-Lecturas!T26)&lt;= 0,"",Lecturas!U26-Lecturas!T26)</f>
        <v>4.646</v>
      </c>
      <c r="AO28" s="126">
        <f t="shared" si="20"/>
        <v>75.55761553</v>
      </c>
      <c r="AP28" s="121">
        <f>IF((Lecturas!V26-Lecturas!U26)&lt;= 0,"",Lecturas!V26-Lecturas!U26)</f>
        <v>5.181</v>
      </c>
      <c r="AQ28" s="126">
        <f t="shared" si="21"/>
        <v>69.02765403</v>
      </c>
      <c r="AR28" s="121">
        <f>IF((Lecturas!W26-Lecturas!V26)&lt;= 0,"",Lecturas!W26-Lecturas!V26)</f>
        <v>5.761</v>
      </c>
      <c r="AS28" s="126">
        <f t="shared" si="22"/>
        <v>68.07731224</v>
      </c>
      <c r="AT28" s="121">
        <f>IF((Lecturas!X26-Lecturas!W26)&lt;= 0,"",Lecturas!X26-Lecturas!W26)</f>
        <v>5.173</v>
      </c>
      <c r="AU28" s="126">
        <f t="shared" si="23"/>
        <v>62.20632225</v>
      </c>
      <c r="AV28" s="121">
        <f>IF((Lecturas!Y26-Lecturas!X26)&lt;= 0,"",Lecturas!Y26-Lecturas!X26)</f>
        <v>4.672</v>
      </c>
      <c r="AW28" s="126">
        <f t="shared" si="24"/>
        <v>57.2714913</v>
      </c>
      <c r="AX28" s="121">
        <f>IF((Lecturas!Z26-Lecturas!Y26)&lt;= 0,"0",Lecturas!Z26-Lecturas!Y26)</f>
        <v>5.01</v>
      </c>
      <c r="AY28" s="126">
        <f t="shared" si="25"/>
        <v>58.13636094</v>
      </c>
      <c r="AZ28" s="121">
        <f>IF((Lecturas!AA26-Lecturas!Z26)&lt;= 0,"0",Lecturas!AA26-Lecturas!Z26)</f>
        <v>5.094</v>
      </c>
      <c r="BA28" s="126">
        <f t="shared" si="26"/>
        <v>70.31773278</v>
      </c>
      <c r="BB28" s="144">
        <f>IF((Lecturas!AB26-Lecturas!AA26)&lt;= 0,"0",Lecturas!AB26-Lecturas!AA26)</f>
        <v>4.666</v>
      </c>
      <c r="BC28" s="126">
        <f t="shared" si="27"/>
        <v>69.92311702</v>
      </c>
      <c r="BD28" s="121">
        <f>IF((Lecturas!AC26-Lecturas!AB26)&lt;= 0,"0",Lecturas!AC26-Lecturas!AB26)</f>
        <v>4.608</v>
      </c>
      <c r="BE28" s="126">
        <f t="shared" si="28"/>
        <v>99.60200174</v>
      </c>
      <c r="BF28" s="121" t="str">
        <f>IF((Lecturas!AD26-Lecturas!AC26)&lt;= 0,"0",Lecturas!AD26-Lecturas!AC26)</f>
        <v>0</v>
      </c>
      <c r="BG28" s="126" t="str">
        <f t="shared" si="29"/>
        <v>0</v>
      </c>
      <c r="BH28" s="121" t="str">
        <f>IF((Lecturas!AE26-Lecturas!AD26)&lt;= 0,"0",Lecturas!AE26-Lecturas!AD26)</f>
        <v>0</v>
      </c>
      <c r="BI28" s="126" t="str">
        <f t="shared" si="30"/>
        <v>0</v>
      </c>
      <c r="BJ28" s="121" t="str">
        <f>IF((Lecturas!AF26-Lecturas!AE26)&lt;= 0,"0",Lecturas!AF26-Lecturas!AE26)</f>
        <v>0</v>
      </c>
      <c r="BK28" s="126" t="str">
        <f t="shared" si="31"/>
        <v>0</v>
      </c>
      <c r="BL28" s="121" t="str">
        <f>IF((Lecturas!AG26-Lecturas!AF26)&lt;= 0,"0",Lecturas!AG26-Lecturas!AF26)</f>
        <v>0</v>
      </c>
      <c r="BM28" s="126" t="str">
        <f t="shared" si="32"/>
        <v>0</v>
      </c>
      <c r="BN28" s="121" t="str">
        <f>IF((Lecturas!AH26-Lecturas!AG26)&lt;= 0,"0",Lecturas!AH26-Lecturas!AG26)</f>
        <v>0</v>
      </c>
      <c r="BO28" s="126" t="str">
        <f t="shared" si="33"/>
        <v>0</v>
      </c>
    </row>
    <row r="29" ht="15.75" customHeight="1">
      <c r="A29" s="120">
        <f t="shared" si="1"/>
        <v>14.7</v>
      </c>
      <c r="B29" s="121">
        <f t="shared" si="2"/>
        <v>1.035</v>
      </c>
      <c r="C29" s="74">
        <v>506.0</v>
      </c>
      <c r="D29" s="294" t="s">
        <v>362</v>
      </c>
      <c r="E29" s="75">
        <v>2034045.0</v>
      </c>
      <c r="F29" s="121">
        <f>Lecturas!D27-Lecturas!C27</f>
        <v>0.542</v>
      </c>
      <c r="G29" s="126">
        <f t="shared" si="3"/>
        <v>12.10607256</v>
      </c>
      <c r="H29" s="121">
        <f>IF((Lecturas!E27-Lecturas!D27) &lt; 0, "", Lecturas!E27-Lecturas!D27)</f>
        <v>0.417</v>
      </c>
      <c r="I29" s="126">
        <f t="shared" si="4"/>
        <v>7.449992546</v>
      </c>
      <c r="J29" s="121">
        <f>IF(OR((Lecturas!F27-Lecturas!E27) &lt;= 0), "", Lecturas!F27-Lecturas!E27)</f>
        <v>0.458</v>
      </c>
      <c r="K29" s="126">
        <f t="shared" si="5"/>
        <v>5.56965783</v>
      </c>
      <c r="L29" s="121">
        <f>IF(OR((Lecturas!G27-Lecturas!F27) &lt;= 0), "", Lecturas!G27-Lecturas!F27)</f>
        <v>0.475</v>
      </c>
      <c r="M29" s="126">
        <f t="shared" si="6"/>
        <v>7.415052398</v>
      </c>
      <c r="N29" s="121">
        <f>IF(OR((Lecturas!H27-Lecturas!G27) &lt;= 0), "", Lecturas!H27-Lecturas!G27)</f>
        <v>0.868</v>
      </c>
      <c r="O29" s="126">
        <f t="shared" si="7"/>
        <v>13.19071146</v>
      </c>
      <c r="P29" s="121">
        <f>IF(OR((Lecturas!I27-Lecturas!H27) &lt;= 0), "", Lecturas!I27-Lecturas!H27)</f>
        <v>0.557</v>
      </c>
      <c r="Q29" s="126">
        <f t="shared" si="8"/>
        <v>8.266407408</v>
      </c>
      <c r="R29" s="121">
        <f>IF(OR((Lecturas!J27-Lecturas!I27) &lt;= 0), "", Lecturas!J27-Lecturas!I27)</f>
        <v>1.266</v>
      </c>
      <c r="S29" s="126">
        <f t="shared" si="9"/>
        <v>20.979554</v>
      </c>
      <c r="T29" s="121">
        <f>IF(OR((Lecturas!K27-Lecturas!J27) &lt;= 0), "", Lecturas!K27-Lecturas!J27)</f>
        <v>0.621</v>
      </c>
      <c r="U29" s="126">
        <f t="shared" si="10"/>
        <v>10.90604166</v>
      </c>
      <c r="V29" s="121">
        <f>IF(OR((Lecturas!L27-Lecturas!K27) &lt; 0), "", Lecturas!L27-Lecturas!K27)</f>
        <v>0.481</v>
      </c>
      <c r="W29" s="126">
        <f t="shared" si="11"/>
        <v>5.879491201</v>
      </c>
      <c r="X29" s="121">
        <f>IF(OR((Lecturas!M27-Lecturas!L27) &lt; 0), "", Lecturas!M27-Lecturas!L27)</f>
        <v>0.427</v>
      </c>
      <c r="Y29" s="126">
        <f t="shared" si="12"/>
        <v>5.181378713</v>
      </c>
      <c r="Z29" s="121">
        <f>IF(OR((Lecturas!N27-Lecturas!M27) &lt;= 0), "", Lecturas!N27-Lecturas!M27)</f>
        <v>0.635</v>
      </c>
      <c r="AA29" s="126">
        <f t="shared" si="13"/>
        <v>8.944814258</v>
      </c>
      <c r="AB29" s="121">
        <f>IF(OR((Lecturas!O27-Lecturas!N27) &lt; 0), "", Lecturas!O27-Lecturas!N27)</f>
        <v>0.457</v>
      </c>
      <c r="AC29" s="126">
        <f t="shared" si="14"/>
        <v>5.871096867</v>
      </c>
      <c r="AD29" s="121">
        <f>IF(OR((Lecturas!P27-Lecturas!O27) &lt; 0), "", Lecturas!P27-Lecturas!O27)</f>
        <v>0.943</v>
      </c>
      <c r="AE29" s="126">
        <f t="shared" si="15"/>
        <v>11.86122979</v>
      </c>
      <c r="AF29" s="121">
        <f>IF((Lecturas!Q27-Lecturas!P27)&lt;= 0,"",Lecturas!Q27-Lecturas!P27)</f>
        <v>1.035</v>
      </c>
      <c r="AG29" s="126">
        <f t="shared" si="16"/>
        <v>14.74657734</v>
      </c>
      <c r="AH29" s="121">
        <f>IF((Lecturas!R27-Lecturas!Q27)&lt;= 0,"",Lecturas!R27-Lecturas!Q27)</f>
        <v>1.352</v>
      </c>
      <c r="AI29" s="126">
        <f t="shared" si="17"/>
        <v>18.81166935</v>
      </c>
      <c r="AJ29" s="121">
        <f>IF((Lecturas!S27-Lecturas!R27)&lt;= 0,"",Lecturas!S27-Lecturas!R27)</f>
        <v>1.02</v>
      </c>
      <c r="AK29" s="126">
        <f t="shared" si="18"/>
        <v>14.69589379</v>
      </c>
      <c r="AL29" s="121">
        <f>IF((Lecturas!T27-Lecturas!S27)&lt;= 0,"",Lecturas!T27-Lecturas!S27)</f>
        <v>0.682</v>
      </c>
      <c r="AM29" s="126">
        <f t="shared" si="19"/>
        <v>6.771457623</v>
      </c>
      <c r="AN29" s="121">
        <f>IF((Lecturas!U27-Lecturas!T27)&lt;= 0,"",Lecturas!U27-Lecturas!T27)</f>
        <v>0.605</v>
      </c>
      <c r="AO29" s="126">
        <f t="shared" si="20"/>
        <v>9.839078217</v>
      </c>
      <c r="AP29" s="121">
        <f>IF((Lecturas!V27-Lecturas!U27)&lt;= 0,"",Lecturas!V27-Lecturas!U27)</f>
        <v>0.982</v>
      </c>
      <c r="AQ29" s="126">
        <f t="shared" si="21"/>
        <v>13.08341175</v>
      </c>
      <c r="AR29" s="121">
        <f>IF((Lecturas!W27-Lecturas!V27)&lt;= 0,"",Lecturas!W27-Lecturas!V27)</f>
        <v>0.654</v>
      </c>
      <c r="AS29" s="126">
        <f t="shared" si="22"/>
        <v>7.72826978</v>
      </c>
      <c r="AT29" s="121">
        <f>IF((Lecturas!X27-Lecturas!W27)&lt;= 0,"",Lecturas!X27-Lecturas!W27)</f>
        <v>0.76</v>
      </c>
      <c r="AU29" s="126">
        <f t="shared" si="23"/>
        <v>9.139146512</v>
      </c>
      <c r="AV29" s="121">
        <f>IF((Lecturas!Y27-Lecturas!X27)&lt;= 0,"",Lecturas!Y27-Lecturas!X27)</f>
        <v>3.769</v>
      </c>
      <c r="AW29" s="126">
        <f t="shared" si="24"/>
        <v>46.20210845</v>
      </c>
      <c r="AX29" s="121">
        <f>IF((Lecturas!Z27-Lecturas!Y27)&lt;= 0,"0",Lecturas!Z27-Lecturas!Y27)</f>
        <v>4.4</v>
      </c>
      <c r="AY29" s="126">
        <f t="shared" si="25"/>
        <v>51.05788186</v>
      </c>
      <c r="AZ29" s="121">
        <f>IF((Lecturas!AA27-Lecturas!Z27)&lt;= 0,"0",Lecturas!AA27-Lecturas!Z27)</f>
        <v>5.955</v>
      </c>
      <c r="BA29" s="126">
        <f t="shared" si="26"/>
        <v>82.20300328</v>
      </c>
      <c r="BB29" s="144">
        <f>IF((Lecturas!AB27-Lecturas!AA27)&lt;= 0,"0",Lecturas!AB27-Lecturas!AA27)</f>
        <v>5.592</v>
      </c>
      <c r="BC29" s="126">
        <f t="shared" si="27"/>
        <v>83.79984363</v>
      </c>
      <c r="BD29" s="121">
        <f>IF((Lecturas!AC27-Lecturas!AB27)&lt;= 0,"0",Lecturas!AC27-Lecturas!AB27)</f>
        <v>4.192</v>
      </c>
      <c r="BE29" s="126">
        <f t="shared" si="28"/>
        <v>90.61015436</v>
      </c>
      <c r="BF29" s="121" t="str">
        <f>IF((Lecturas!AD27-Lecturas!AC27)&lt;= 0,"0",Lecturas!AD27-Lecturas!AC27)</f>
        <v>0</v>
      </c>
      <c r="BG29" s="126" t="str">
        <f t="shared" si="29"/>
        <v>0</v>
      </c>
      <c r="BH29" s="121" t="str">
        <f>IF((Lecturas!AE27-Lecturas!AD27)&lt;= 0,"0",Lecturas!AE27-Lecturas!AD27)</f>
        <v>0</v>
      </c>
      <c r="BI29" s="126" t="str">
        <f t="shared" si="30"/>
        <v>0</v>
      </c>
      <c r="BJ29" s="121" t="str">
        <f>IF((Lecturas!AF27-Lecturas!AE27)&lt;= 0,"0",Lecturas!AF27-Lecturas!AE27)</f>
        <v>0</v>
      </c>
      <c r="BK29" s="126" t="str">
        <f t="shared" si="31"/>
        <v>0</v>
      </c>
      <c r="BL29" s="121" t="str">
        <f>IF((Lecturas!AG27-Lecturas!AF27)&lt;= 0,"0",Lecturas!AG27-Lecturas!AF27)</f>
        <v>0</v>
      </c>
      <c r="BM29" s="126" t="str">
        <f t="shared" si="32"/>
        <v>0</v>
      </c>
      <c r="BN29" s="121" t="str">
        <f>IF((Lecturas!AH27-Lecturas!AG27)&lt;= 0,"0",Lecturas!AH27-Lecturas!AG27)</f>
        <v>0</v>
      </c>
      <c r="BO29" s="126" t="str">
        <f t="shared" si="33"/>
        <v>0</v>
      </c>
    </row>
    <row r="30" ht="15.75" customHeight="1">
      <c r="A30" s="120">
        <f t="shared" si="1"/>
        <v>19.1</v>
      </c>
      <c r="B30" s="121">
        <f t="shared" si="2"/>
        <v>1.343</v>
      </c>
      <c r="C30" s="74">
        <v>601.0</v>
      </c>
      <c r="D30" s="123" t="s">
        <v>366</v>
      </c>
      <c r="E30" s="75">
        <v>2034053.0</v>
      </c>
      <c r="F30" s="121">
        <f>Lecturas!D28-Lecturas!C28</f>
        <v>3.214</v>
      </c>
      <c r="G30" s="126">
        <f t="shared" si="3"/>
        <v>71.78767011</v>
      </c>
      <c r="H30" s="121">
        <f>IF((Lecturas!E28-Lecturas!D28) &lt; 0, "", Lecturas!E28-Lecturas!D28)</f>
        <v>0.178</v>
      </c>
      <c r="I30" s="126">
        <f t="shared" si="4"/>
        <v>3.180092742</v>
      </c>
      <c r="J30" s="121">
        <f>IF(OR((Lecturas!F28-Lecturas!E28) &lt;= 0), "", Lecturas!F28-Lecturas!E28)</f>
        <v>1.577</v>
      </c>
      <c r="K30" s="126">
        <f t="shared" si="5"/>
        <v>19.17762096</v>
      </c>
      <c r="L30" s="121">
        <f>IF(OR((Lecturas!G28-Lecturas!F28) &lt;= 0), "", Lecturas!G28-Lecturas!F28)</f>
        <v>0.743</v>
      </c>
      <c r="M30" s="126">
        <f t="shared" si="6"/>
        <v>11.59870301</v>
      </c>
      <c r="N30" s="121">
        <f>IF(OR((Lecturas!H28-Lecturas!G28) &lt;= 0), "", Lecturas!H28-Lecturas!G28)</f>
        <v>0.122</v>
      </c>
      <c r="O30" s="126">
        <f t="shared" si="7"/>
        <v>1.853994007</v>
      </c>
      <c r="P30" s="121">
        <f>IF(OR((Lecturas!I28-Lecturas!H28) &lt; 0), "", Lecturas!I28-Lecturas!H28)</f>
        <v>0</v>
      </c>
      <c r="Q30" s="126">
        <f t="shared" si="8"/>
        <v>0</v>
      </c>
      <c r="R30" s="121">
        <f>IF(OR((Lecturas!J28-Lecturas!I28) &lt;= 0), "", Lecturas!J28-Lecturas!I28)</f>
        <v>2.001</v>
      </c>
      <c r="S30" s="126">
        <f t="shared" si="9"/>
        <v>33.15962682</v>
      </c>
      <c r="T30" s="121">
        <f>IF(OR((Lecturas!K28-Lecturas!J28) &lt;= 0), "", Lecturas!K28-Lecturas!J28)</f>
        <v>2.504</v>
      </c>
      <c r="U30" s="126">
        <f t="shared" si="10"/>
        <v>43.97540792</v>
      </c>
      <c r="V30" s="121">
        <f>IF(OR((Lecturas!L28-Lecturas!K28) &lt; 0), "", Lecturas!L28-Lecturas!K28)</f>
        <v>0.766</v>
      </c>
      <c r="W30" s="126">
        <f t="shared" si="11"/>
        <v>9.363181413</v>
      </c>
      <c r="X30" s="121">
        <f>IF(OR((Lecturas!M28-Lecturas!L28) &lt; 0), "", Lecturas!M28-Lecturas!L28)</f>
        <v>0.089</v>
      </c>
      <c r="Y30" s="126">
        <f t="shared" si="12"/>
        <v>1.079959498</v>
      </c>
      <c r="Z30" s="121">
        <f>IF(OR((Lecturas!N28-Lecturas!M28) &lt;= 0), "", Lecturas!N28-Lecturas!M28)</f>
        <v>2.096</v>
      </c>
      <c r="AA30" s="126">
        <f t="shared" si="13"/>
        <v>29.52493021</v>
      </c>
      <c r="AB30" s="121">
        <f>IF(OR((Lecturas!O28-Lecturas!N28) &lt; 0), "", Lecturas!O28-Lecturas!N28)</f>
        <v>0</v>
      </c>
      <c r="AC30" s="126">
        <f t="shared" si="14"/>
        <v>0</v>
      </c>
      <c r="AD30" s="121">
        <f>IF(OR((Lecturas!P28-Lecturas!O28) &lt; 0), "", Lecturas!P28-Lecturas!O28)</f>
        <v>0</v>
      </c>
      <c r="AE30" s="126">
        <f t="shared" si="15"/>
        <v>0</v>
      </c>
      <c r="AF30" s="121">
        <f>IF((Lecturas!Q28-Lecturas!P28)&lt;= 0,"",Lecturas!Q28-Lecturas!P28)</f>
        <v>1.343</v>
      </c>
      <c r="AG30" s="126">
        <f t="shared" si="16"/>
        <v>19.13493079</v>
      </c>
      <c r="AH30" s="121">
        <f>IF((Lecturas!R28-Lecturas!Q28)&lt;= 0,"",Lecturas!R28-Lecturas!Q28)</f>
        <v>0.783</v>
      </c>
      <c r="AI30" s="126">
        <f t="shared" si="17"/>
        <v>10.89462803</v>
      </c>
      <c r="AJ30" s="121">
        <f>IF((Lecturas!S28-Lecturas!R28)&lt;= 0,"",Lecturas!S28-Lecturas!R28)</f>
        <v>0.783</v>
      </c>
      <c r="AK30" s="126">
        <f t="shared" si="18"/>
        <v>11.28125965</v>
      </c>
      <c r="AL30" s="121">
        <f>IF((Lecturas!T28-Lecturas!S28)&lt;= 0,"",Lecturas!T28-Lecturas!S28)</f>
        <v>0.671</v>
      </c>
      <c r="AM30" s="126">
        <f t="shared" si="19"/>
        <v>6.662240565</v>
      </c>
      <c r="AN30" s="121">
        <f>IF((Lecturas!U28-Lecturas!T28)&lt;= 0,"",Lecturas!U28-Lecturas!T28)</f>
        <v>0.002</v>
      </c>
      <c r="AO30" s="126">
        <f t="shared" si="20"/>
        <v>0.0325258784</v>
      </c>
      <c r="AP30" s="121">
        <f>IF((Lecturas!V28-Lecturas!U28)&lt;= 0,"",Lecturas!V28-Lecturas!U28)</f>
        <v>1.165</v>
      </c>
      <c r="AQ30" s="126">
        <f t="shared" si="21"/>
        <v>15.52156281</v>
      </c>
      <c r="AR30" s="121">
        <f>IF((Lecturas!W28-Lecturas!V28)&lt;= 0,"",Lecturas!W28-Lecturas!V28)</f>
        <v>0.696</v>
      </c>
      <c r="AS30" s="126">
        <f t="shared" si="22"/>
        <v>8.224580684</v>
      </c>
      <c r="AT30" s="121">
        <f>IF((Lecturas!X28-Lecturas!W28)&lt;= 0,"",Lecturas!X28-Lecturas!W28)</f>
        <v>0.037</v>
      </c>
      <c r="AU30" s="126">
        <f t="shared" si="23"/>
        <v>0.4449321328</v>
      </c>
      <c r="AV30" s="121">
        <f>IF((Lecturas!Y28-Lecturas!X28)&lt;= 0,"",Lecturas!Y28-Lecturas!X28)</f>
        <v>3.201</v>
      </c>
      <c r="AW30" s="126">
        <f t="shared" si="24"/>
        <v>39.23930729</v>
      </c>
      <c r="AX30" s="121">
        <f>IF((Lecturas!Z28-Lecturas!Y28)&lt;= 0,"0",Lecturas!Z28-Lecturas!Y28)</f>
        <v>0.002</v>
      </c>
      <c r="AY30" s="126">
        <f t="shared" si="25"/>
        <v>0.02320812812</v>
      </c>
      <c r="AZ30" s="121" t="str">
        <f>IF((Lecturas!AA28-Lecturas!Z28)&lt;= 0,"0",Lecturas!AA28-Lecturas!Z28)</f>
        <v>0</v>
      </c>
      <c r="BA30" s="126">
        <f t="shared" si="26"/>
        <v>0</v>
      </c>
      <c r="BB30" s="144">
        <f>IF((Lecturas!AB28-Lecturas!AA28)&lt;= 0,"0",Lecturas!AB28-Lecturas!AA28)</f>
        <v>3.327</v>
      </c>
      <c r="BC30" s="126">
        <f t="shared" si="27"/>
        <v>49.8573104</v>
      </c>
      <c r="BD30" s="121">
        <f>IF((Lecturas!AC28-Lecturas!AB28)&lt;= 0,"0",Lecturas!AC28-Lecturas!AB28)</f>
        <v>0.186</v>
      </c>
      <c r="BE30" s="126">
        <f t="shared" si="28"/>
        <v>4.020393299</v>
      </c>
      <c r="BF30" s="121" t="str">
        <f>IF((Lecturas!AD28-Lecturas!AC28)&lt;= 0,"0",Lecturas!AD28-Lecturas!AC28)</f>
        <v>0</v>
      </c>
      <c r="BG30" s="126" t="str">
        <f t="shared" si="29"/>
        <v>0</v>
      </c>
      <c r="BH30" s="121" t="str">
        <f>IF((Lecturas!AE28-Lecturas!AD28)&lt;= 0,"0",Lecturas!AE28-Lecturas!AD28)</f>
        <v>0</v>
      </c>
      <c r="BI30" s="126" t="str">
        <f t="shared" si="30"/>
        <v>0</v>
      </c>
      <c r="BJ30" s="121" t="str">
        <f>IF((Lecturas!AF28-Lecturas!AE28)&lt;= 0,"0",Lecturas!AF28-Lecturas!AE28)</f>
        <v>0</v>
      </c>
      <c r="BK30" s="126" t="str">
        <f t="shared" si="31"/>
        <v>0</v>
      </c>
      <c r="BL30" s="121" t="str">
        <f>IF((Lecturas!AG28-Lecturas!AF28)&lt;= 0,"0",Lecturas!AG28-Lecturas!AF28)</f>
        <v>0</v>
      </c>
      <c r="BM30" s="126" t="str">
        <f t="shared" si="32"/>
        <v>0</v>
      </c>
      <c r="BN30" s="121" t="str">
        <f>IF((Lecturas!AH28-Lecturas!AG28)&lt;= 0,"0",Lecturas!AH28-Lecturas!AG28)</f>
        <v>0</v>
      </c>
      <c r="BO30" s="126" t="str">
        <f t="shared" si="33"/>
        <v>0</v>
      </c>
    </row>
    <row r="31" ht="15.75" customHeight="1">
      <c r="A31" s="120">
        <f t="shared" si="1"/>
        <v>114.8</v>
      </c>
      <c r="B31" s="121">
        <f t="shared" si="2"/>
        <v>8.059</v>
      </c>
      <c r="C31" s="74">
        <v>602.0</v>
      </c>
      <c r="D31" s="123" t="s">
        <v>367</v>
      </c>
      <c r="E31" s="75" t="s">
        <v>243</v>
      </c>
      <c r="F31" s="121">
        <f>Lecturas!D29-Lecturas!C29</f>
        <v>4.844</v>
      </c>
      <c r="G31" s="126">
        <f t="shared" si="3"/>
        <v>108.1952315</v>
      </c>
      <c r="H31" s="121">
        <f>IF((Lecturas!E29-Lecturas!D29) &lt; 0, "", Lecturas!E29-Lecturas!D29)</f>
        <v>5.45</v>
      </c>
      <c r="I31" s="126">
        <f t="shared" si="4"/>
        <v>97.3680081</v>
      </c>
      <c r="J31" s="121">
        <f>IF(OR((Lecturas!F29-Lecturas!E29) &lt;= 0), "", Lecturas!F29-Lecturas!E29)</f>
        <v>5.963</v>
      </c>
      <c r="K31" s="126">
        <f t="shared" si="5"/>
        <v>72.51499922</v>
      </c>
      <c r="L31" s="121">
        <f>IF(OR((Lecturas!G29-Lecturas!F29) &lt;= 0), "", Lecturas!G29-Lecturas!F29)</f>
        <v>4.706</v>
      </c>
      <c r="M31" s="126">
        <f t="shared" si="6"/>
        <v>73.46365596</v>
      </c>
      <c r="N31" s="121">
        <f>IF(OR((Lecturas!H29-Lecturas!G29) &lt;= 0), "", Lecturas!H29-Lecturas!G29)</f>
        <v>5.168</v>
      </c>
      <c r="O31" s="126">
        <f t="shared" si="7"/>
        <v>78.53640189</v>
      </c>
      <c r="P31" s="121">
        <f>IF(OR((Lecturas!I29-Lecturas!H29) &lt;= 0), "", Lecturas!I29-Lecturas!H29)</f>
        <v>7.428</v>
      </c>
      <c r="Q31" s="126">
        <f t="shared" si="8"/>
        <v>110.2385534</v>
      </c>
      <c r="R31" s="121">
        <f>IF(OR((Lecturas!J29-Lecturas!I29) &lt;= 0), "", Lecturas!J29-Lecturas!I29)</f>
        <v>7.481</v>
      </c>
      <c r="S31" s="126">
        <f t="shared" si="9"/>
        <v>123.9715983</v>
      </c>
      <c r="T31" s="121">
        <f>IF(OR((Lecturas!K29-Lecturas!J29) &lt;= 0), "", Lecturas!K29-Lecturas!J29)</f>
        <v>6.233</v>
      </c>
      <c r="U31" s="126">
        <f t="shared" si="10"/>
        <v>109.4643441</v>
      </c>
      <c r="V31" s="121">
        <f>IF(OR((Lecturas!L29-Lecturas!K29) &lt; 0), "", Lecturas!L29-Lecturas!K29)</f>
        <v>7.823</v>
      </c>
      <c r="W31" s="126">
        <f t="shared" si="11"/>
        <v>95.62424047</v>
      </c>
      <c r="X31" s="121">
        <f>IF(OR((Lecturas!M29-Lecturas!L29) &lt; 0), "", Lecturas!M29-Lecturas!L29)</f>
        <v>7.831</v>
      </c>
      <c r="Y31" s="126">
        <f t="shared" si="12"/>
        <v>95.02430142</v>
      </c>
      <c r="Z31" s="121">
        <f>IF(OR((Lecturas!N29-Lecturas!M29) &lt;= 0), "", Lecturas!N29-Lecturas!M29)</f>
        <v>7.608</v>
      </c>
      <c r="AA31" s="126">
        <f t="shared" si="13"/>
        <v>107.1687352</v>
      </c>
      <c r="AB31" s="121">
        <f>IF(OR((Lecturas!O29-Lecturas!N29) &lt; 0), "", Lecturas!O29-Lecturas!N29)</f>
        <v>7.463</v>
      </c>
      <c r="AC31" s="126">
        <f t="shared" si="14"/>
        <v>95.87745277</v>
      </c>
      <c r="AD31" s="121">
        <f>IF(OR((Lecturas!P29-Lecturas!O29) &lt; 0), "", Lecturas!P29-Lecturas!O29)</f>
        <v>7.219</v>
      </c>
      <c r="AE31" s="126">
        <f t="shared" si="15"/>
        <v>90.80192774</v>
      </c>
      <c r="AF31" s="121">
        <f>IF((Lecturas!Q29-Lecturas!P29)&lt;= 0,"",Lecturas!Q29-Lecturas!P29)</f>
        <v>8.059</v>
      </c>
      <c r="AG31" s="126">
        <f t="shared" si="16"/>
        <v>114.8238326</v>
      </c>
      <c r="AH31" s="121">
        <f>IF((Lecturas!R29-Lecturas!Q29)&lt;= 0,"",Lecturas!R29-Lecturas!Q29)</f>
        <v>8.232</v>
      </c>
      <c r="AI31" s="126">
        <f t="shared" si="17"/>
        <v>114.5396909</v>
      </c>
      <c r="AJ31" s="121">
        <f>IF((Lecturas!S29-Lecturas!R29)&lt;= 0,"",Lecturas!S29-Lecturas!R29)</f>
        <v>8.018</v>
      </c>
      <c r="AK31" s="126">
        <f t="shared" si="18"/>
        <v>115.5212514</v>
      </c>
      <c r="AL31" s="121">
        <f>IF((Lecturas!T29-Lecturas!S29)&lt;= 0,"",Lecturas!T29-Lecturas!S29)</f>
        <v>9.605</v>
      </c>
      <c r="AM31" s="126">
        <f t="shared" si="19"/>
        <v>95.36634966</v>
      </c>
      <c r="AN31" s="121">
        <f>IF((Lecturas!U29-Lecturas!T29)&lt;= 0,"",Lecturas!U29-Lecturas!T29)</f>
        <v>6.139</v>
      </c>
      <c r="AO31" s="126">
        <f t="shared" si="20"/>
        <v>99.83818375</v>
      </c>
      <c r="AP31" s="121">
        <f>IF((Lecturas!V29-Lecturas!U29)&lt;= 0,"",Lecturas!V29-Lecturas!U29)</f>
        <v>7.095</v>
      </c>
      <c r="AQ31" s="126">
        <f t="shared" si="21"/>
        <v>94.52831603</v>
      </c>
      <c r="AR31" s="121">
        <f>IF((Lecturas!W29-Lecturas!V29)&lt;= 0,"",Lecturas!W29-Lecturas!V29)</f>
        <v>5.601</v>
      </c>
      <c r="AS31" s="126">
        <f t="shared" si="22"/>
        <v>66.18660404</v>
      </c>
      <c r="AT31" s="121">
        <f>IF((Lecturas!X29-Lecturas!W29)&lt;= 0,"",Lecturas!X29-Lecturas!W29)</f>
        <v>6.434</v>
      </c>
      <c r="AU31" s="126">
        <f t="shared" si="23"/>
        <v>77.37009034</v>
      </c>
      <c r="AV31" s="121">
        <f>IF((Lecturas!Y29-Lecturas!X29)&lt;= 0,"",Lecturas!Y29-Lecturas!X29)</f>
        <v>6.847</v>
      </c>
      <c r="AW31" s="126">
        <f t="shared" si="24"/>
        <v>83.93362605</v>
      </c>
      <c r="AX31" s="121">
        <f>IF((Lecturas!Z29-Lecturas!Y29)&lt;= 0,"0",Lecturas!Z29-Lecturas!Y29)</f>
        <v>7.078</v>
      </c>
      <c r="AY31" s="126">
        <f t="shared" si="25"/>
        <v>82.13356541</v>
      </c>
      <c r="AZ31" s="121">
        <f>IF((Lecturas!AA29-Lecturas!Z29)&lt;= 0,"0",Lecturas!AA29-Lecturas!Z29)</f>
        <v>7.544</v>
      </c>
      <c r="BA31" s="126">
        <f t="shared" si="26"/>
        <v>104.1376082</v>
      </c>
      <c r="BB31" s="144">
        <f>IF((Lecturas!AB29-Lecturas!AA29)&lt;= 0,"0",Lecturas!AB29-Lecturas!AA29)</f>
        <v>6.349</v>
      </c>
      <c r="BC31" s="126">
        <f t="shared" si="27"/>
        <v>95.1439927</v>
      </c>
      <c r="BD31" s="121">
        <f>IF((Lecturas!AC29-Lecturas!AB29)&lt;= 0,"0",Lecturas!AC29-Lecturas!AB29)</f>
        <v>7.019</v>
      </c>
      <c r="BE31" s="126">
        <f t="shared" si="28"/>
        <v>151.7158095</v>
      </c>
      <c r="BF31" s="121" t="str">
        <f>IF((Lecturas!AD29-Lecturas!AC29)&lt;= 0,"0",Lecturas!AD29-Lecturas!AC29)</f>
        <v>0</v>
      </c>
      <c r="BG31" s="126" t="str">
        <f t="shared" si="29"/>
        <v>0</v>
      </c>
      <c r="BH31" s="121" t="str">
        <f>IF((Lecturas!AE29-Lecturas!AD29)&lt;= 0,"0",Lecturas!AE29-Lecturas!AD29)</f>
        <v>0</v>
      </c>
      <c r="BI31" s="126" t="str">
        <f t="shared" si="30"/>
        <v>0</v>
      </c>
      <c r="BJ31" s="121" t="str">
        <f>IF((Lecturas!AF29-Lecturas!AE29)&lt;= 0,"0",Lecturas!AF29-Lecturas!AE29)</f>
        <v>0</v>
      </c>
      <c r="BK31" s="126" t="str">
        <f t="shared" si="31"/>
        <v>0</v>
      </c>
      <c r="BL31" s="121" t="str">
        <f>IF((Lecturas!AG29-Lecturas!AF29)&lt;= 0,"0",Lecturas!AG29-Lecturas!AF29)</f>
        <v>0</v>
      </c>
      <c r="BM31" s="126" t="str">
        <f t="shared" si="32"/>
        <v>0</v>
      </c>
      <c r="BN31" s="121" t="str">
        <f>IF((Lecturas!AH29-Lecturas!AG29)&lt;= 0,"0",Lecturas!AH29-Lecturas!AG29)</f>
        <v>0</v>
      </c>
      <c r="BO31" s="126" t="str">
        <f t="shared" si="33"/>
        <v>0</v>
      </c>
    </row>
    <row r="32" ht="15.75" customHeight="1">
      <c r="A32" s="120">
        <f t="shared" si="1"/>
        <v>141.8</v>
      </c>
      <c r="B32" s="121">
        <f t="shared" si="2"/>
        <v>9.955</v>
      </c>
      <c r="C32" s="74">
        <v>603.0</v>
      </c>
      <c r="D32" s="123" t="s">
        <v>371</v>
      </c>
      <c r="E32" s="75">
        <v>2034072.0</v>
      </c>
      <c r="F32" s="121">
        <f>Lecturas!D30-Lecturas!C30</f>
        <v>11.216</v>
      </c>
      <c r="G32" s="126">
        <f t="shared" si="3"/>
        <v>250.5197598</v>
      </c>
      <c r="H32" s="121">
        <f>IF((Lecturas!E30-Lecturas!D30) &lt; 0, "", Lecturas!E30-Lecturas!D30)</f>
        <v>11.519</v>
      </c>
      <c r="I32" s="126">
        <f t="shared" si="4"/>
        <v>205.794878</v>
      </c>
      <c r="J32" s="121">
        <f>IF(OR((Lecturas!F30-Lecturas!E30) &lt;= 0), "", Lecturas!F30-Lecturas!E30)</f>
        <v>9.558</v>
      </c>
      <c r="K32" s="126">
        <f t="shared" si="5"/>
        <v>116.2331649</v>
      </c>
      <c r="L32" s="121">
        <f>IF(OR((Lecturas!G30-Lecturas!F30) &lt;= 0), "", Lecturas!G30-Lecturas!F30)</f>
        <v>7.873</v>
      </c>
      <c r="M32" s="126">
        <f t="shared" si="6"/>
        <v>122.9025422</v>
      </c>
      <c r="N32" s="121">
        <f>IF(OR((Lecturas!H30-Lecturas!G30) &lt;= 0), "", Lecturas!H30-Lecturas!G30)</f>
        <v>7.237</v>
      </c>
      <c r="O32" s="126">
        <f t="shared" si="7"/>
        <v>109.9783167</v>
      </c>
      <c r="P32" s="121">
        <f>IF(OR((Lecturas!I30-Lecturas!H30) &lt;= 0), "", Lecturas!I30-Lecturas!H30)</f>
        <v>11.3</v>
      </c>
      <c r="Q32" s="126">
        <f t="shared" si="8"/>
        <v>167.7026997</v>
      </c>
      <c r="R32" s="121">
        <f>IF(OR((Lecturas!J30-Lecturas!I30) &lt;= 0), "", Lecturas!J30-Lecturas!I30)</f>
        <v>10.737</v>
      </c>
      <c r="S32" s="126">
        <f t="shared" si="9"/>
        <v>177.9284924</v>
      </c>
      <c r="T32" s="121">
        <f>IF(OR((Lecturas!K30-Lecturas!J30) &lt;= 0), "", Lecturas!K30-Lecturas!J30)</f>
        <v>6.958</v>
      </c>
      <c r="U32" s="126">
        <f t="shared" si="10"/>
        <v>122.1968404</v>
      </c>
      <c r="V32" s="121">
        <f>IF(OR((Lecturas!L30-Lecturas!K30) &lt; 0), "", Lecturas!L30-Lecturas!K30)</f>
        <v>7.611</v>
      </c>
      <c r="W32" s="126">
        <f t="shared" si="11"/>
        <v>93.03286389</v>
      </c>
      <c r="X32" s="121">
        <f>IF(OR((Lecturas!M30-Lecturas!L30) &lt; 0), "", Lecturas!M30-Lecturas!L30)</f>
        <v>8.413</v>
      </c>
      <c r="Y32" s="126">
        <f t="shared" si="12"/>
        <v>102.0865085</v>
      </c>
      <c r="Z32" s="121">
        <f>IF(OR((Lecturas!N30-Lecturas!M30) &lt;= 0), "", Lecturas!N30-Lecturas!M30)</f>
        <v>8.754</v>
      </c>
      <c r="AA32" s="126">
        <f t="shared" si="13"/>
        <v>123.3116599</v>
      </c>
      <c r="AB32" s="121">
        <f>IF(OR((Lecturas!O30-Lecturas!N30) &lt; 0), "", Lecturas!O30-Lecturas!N30)</f>
        <v>9.297</v>
      </c>
      <c r="AC32" s="126">
        <f t="shared" si="14"/>
        <v>119.4389225</v>
      </c>
      <c r="AD32" s="121">
        <f>IF(OR((Lecturas!P30-Lecturas!O30) &lt; 0), "", Lecturas!P30-Lecturas!O30)</f>
        <v>9.349</v>
      </c>
      <c r="AE32" s="126">
        <f t="shared" si="15"/>
        <v>117.5934648</v>
      </c>
      <c r="AF32" s="121">
        <f>IF((Lecturas!Q30-Lecturas!P30)&lt;= 0,"",Lecturas!Q30-Lecturas!P30)</f>
        <v>9.955</v>
      </c>
      <c r="AG32" s="126">
        <f t="shared" si="16"/>
        <v>141.8378526</v>
      </c>
      <c r="AH32" s="121">
        <f>IF((Lecturas!R30-Lecturas!Q30)&lt;= 0,"",Lecturas!R30-Lecturas!Q30)</f>
        <v>10.424</v>
      </c>
      <c r="AI32" s="126">
        <f t="shared" si="17"/>
        <v>145.0390838</v>
      </c>
      <c r="AJ32" s="121">
        <f>IF((Lecturas!S30-Lecturas!R30)&lt;= 0,"",Lecturas!S30-Lecturas!R30)</f>
        <v>10.204</v>
      </c>
      <c r="AK32" s="126">
        <f t="shared" si="18"/>
        <v>147.0165689</v>
      </c>
      <c r="AL32" s="121">
        <f>IF((Lecturas!T30-Lecturas!S30)&lt;= 0,"",Lecturas!T30-Lecturas!S30)</f>
        <v>11.83</v>
      </c>
      <c r="AM32" s="126">
        <f t="shared" si="19"/>
        <v>117.4579819</v>
      </c>
      <c r="AN32" s="121">
        <f>IF((Lecturas!U30-Lecturas!T30)&lt;= 0,"",Lecturas!U30-Lecturas!T30)</f>
        <v>9.243</v>
      </c>
      <c r="AO32" s="126">
        <f t="shared" si="20"/>
        <v>150.318347</v>
      </c>
      <c r="AP32" s="121">
        <f>IF((Lecturas!V30-Lecturas!U30)&lt;= 0,"",Lecturas!V30-Lecturas!U30)</f>
        <v>7.956</v>
      </c>
      <c r="AQ32" s="126">
        <f t="shared" si="21"/>
        <v>105.999617</v>
      </c>
      <c r="AR32" s="121">
        <f>IF((Lecturas!W30-Lecturas!V30)&lt;= 0,"",Lecturas!W30-Lecturas!V30)</f>
        <v>12.21</v>
      </c>
      <c r="AS32" s="126">
        <f t="shared" si="22"/>
        <v>144.2846698</v>
      </c>
      <c r="AT32" s="121">
        <f>IF((Lecturas!X30-Lecturas!W30)&lt;= 0,"",Lecturas!X30-Lecturas!W30)</f>
        <v>7.287</v>
      </c>
      <c r="AU32" s="126">
        <f t="shared" si="23"/>
        <v>87.62757978</v>
      </c>
      <c r="AV32" s="121">
        <f>IF((Lecturas!Y30-Lecturas!X30)&lt;= 0,"",Lecturas!Y30-Lecturas!X30)</f>
        <v>7.766</v>
      </c>
      <c r="AW32" s="126">
        <f t="shared" si="24"/>
        <v>95.19914414</v>
      </c>
      <c r="AX32" s="121">
        <f>IF((Lecturas!Z30-Lecturas!Y30)&lt;= 0,"0",Lecturas!Z30-Lecturas!Y30)</f>
        <v>7.704</v>
      </c>
      <c r="AY32" s="126">
        <f t="shared" si="25"/>
        <v>89.39770952</v>
      </c>
      <c r="AZ32" s="121">
        <f>IF((Lecturas!AA30-Lecturas!Z30)&lt;= 0,"0",Lecturas!AA30-Lecturas!Z30)</f>
        <v>9.14</v>
      </c>
      <c r="BA32" s="126">
        <f t="shared" si="26"/>
        <v>126.1688413</v>
      </c>
      <c r="BB32" s="144">
        <f>IF((Lecturas!AB30-Lecturas!AA30)&lt;= 0,"0",Lecturas!AB30-Lecturas!AA30)</f>
        <v>9.292</v>
      </c>
      <c r="BC32" s="126">
        <f t="shared" si="27"/>
        <v>139.2468074</v>
      </c>
      <c r="BD32" s="121">
        <f>IF((Lecturas!AC30-Lecturas!AB30)&lt;= 0,"0",Lecturas!AC30-Lecturas!AB30)</f>
        <v>9.457</v>
      </c>
      <c r="BE32" s="126">
        <f t="shared" si="28"/>
        <v>204.4132228</v>
      </c>
      <c r="BF32" s="121" t="str">
        <f>IF((Lecturas!AD30-Lecturas!AC30)&lt;= 0,"0",Lecturas!AD30-Lecturas!AC30)</f>
        <v>0</v>
      </c>
      <c r="BG32" s="126" t="str">
        <f t="shared" si="29"/>
        <v>0</v>
      </c>
      <c r="BH32" s="121" t="str">
        <f>IF((Lecturas!AE30-Lecturas!AD30)&lt;= 0,"0",Lecturas!AE30-Lecturas!AD30)</f>
        <v>0</v>
      </c>
      <c r="BI32" s="126" t="str">
        <f t="shared" si="30"/>
        <v>0</v>
      </c>
      <c r="BJ32" s="121" t="str">
        <f>IF((Lecturas!AF30-Lecturas!AE30)&lt;= 0,"0",Lecturas!AF30-Lecturas!AE30)</f>
        <v>0</v>
      </c>
      <c r="BK32" s="126" t="str">
        <f t="shared" si="31"/>
        <v>0</v>
      </c>
      <c r="BL32" s="121" t="str">
        <f>IF((Lecturas!AG30-Lecturas!AF30)&lt;= 0,"0",Lecturas!AG30-Lecturas!AF30)</f>
        <v>0</v>
      </c>
      <c r="BM32" s="126" t="str">
        <f t="shared" si="32"/>
        <v>0</v>
      </c>
      <c r="BN32" s="121" t="str">
        <f>IF((Lecturas!AH30-Lecturas!AG30)&lt;= 0,"0",Lecturas!AH30-Lecturas!AG30)</f>
        <v>0</v>
      </c>
      <c r="BO32" s="126" t="str">
        <f t="shared" si="33"/>
        <v>0</v>
      </c>
    </row>
    <row r="33" ht="15.75" customHeight="1">
      <c r="A33" s="120">
        <f t="shared" si="1"/>
        <v>35.7</v>
      </c>
      <c r="B33" s="121">
        <f t="shared" si="2"/>
        <v>2.504</v>
      </c>
      <c r="C33" s="74">
        <v>604.0</v>
      </c>
      <c r="D33" s="123" t="s">
        <v>375</v>
      </c>
      <c r="E33" s="75">
        <v>2034041.0</v>
      </c>
      <c r="F33" s="121">
        <f>Lecturas!D31-Lecturas!C31</f>
        <v>1.681</v>
      </c>
      <c r="G33" s="126">
        <f t="shared" si="3"/>
        <v>37.54669367</v>
      </c>
      <c r="H33" s="121">
        <f>IF((Lecturas!E31-Lecturas!D31) &lt; 0, "", Lecturas!E31-Lecturas!D31)</f>
        <v>1.752</v>
      </c>
      <c r="I33" s="126">
        <f t="shared" si="4"/>
        <v>31.30068811</v>
      </c>
      <c r="J33" s="121">
        <f>IF(OR((Lecturas!F31-Lecturas!E31) &lt;= 0), "", Lecturas!F31-Lecturas!E31)</f>
        <v>1.616</v>
      </c>
      <c r="K33" s="126">
        <f t="shared" si="5"/>
        <v>19.65189313</v>
      </c>
      <c r="L33" s="121">
        <f>IF(OR((Lecturas!G31-Lecturas!F31) &lt;= 0), "", Lecturas!G31-Lecturas!F31)</f>
        <v>1.706</v>
      </c>
      <c r="M33" s="126">
        <f t="shared" si="6"/>
        <v>26.63174608</v>
      </c>
      <c r="N33" s="121">
        <f>IF(OR((Lecturas!H31-Lecturas!G31) &lt;= 0), "", Lecturas!H31-Lecturas!G31)</f>
        <v>1.407</v>
      </c>
      <c r="O33" s="126">
        <f t="shared" si="7"/>
        <v>21.38171777</v>
      </c>
      <c r="P33" s="121">
        <f>IF(OR((Lecturas!I31-Lecturas!H31) &lt;= 0), "", Lecturas!I31-Lecturas!H31)</f>
        <v>1.461</v>
      </c>
      <c r="Q33" s="126">
        <f t="shared" si="8"/>
        <v>21.68262338</v>
      </c>
      <c r="R33" s="121">
        <f>IF(OR((Lecturas!J31-Lecturas!I31) &lt;= 0), "", Lecturas!J31-Lecturas!I31)</f>
        <v>1.525</v>
      </c>
      <c r="S33" s="126">
        <f t="shared" si="9"/>
        <v>25.27157966</v>
      </c>
      <c r="T33" s="121">
        <f>IF(OR((Lecturas!K31-Lecturas!J31) &lt;= 0), "", Lecturas!K31-Lecturas!J31)</f>
        <v>1.086</v>
      </c>
      <c r="U33" s="126">
        <f t="shared" si="10"/>
        <v>19.07240136</v>
      </c>
      <c r="V33" s="121">
        <f>IF(OR((Lecturas!L31-Lecturas!K31) &lt; 0), "", Lecturas!L31-Lecturas!K31)</f>
        <v>0.984</v>
      </c>
      <c r="W33" s="126">
        <f t="shared" si="11"/>
        <v>12.02789884</v>
      </c>
      <c r="X33" s="121">
        <f>IF(OR((Lecturas!M31-Lecturas!L31) &lt; 0), "", Lecturas!M31-Lecturas!L31)</f>
        <v>1.108</v>
      </c>
      <c r="Y33" s="126">
        <f t="shared" si="12"/>
        <v>13.44488903</v>
      </c>
      <c r="Z33" s="121">
        <f>IF(OR((Lecturas!N31-Lecturas!M31) &lt;= 0), "", Lecturas!N31-Lecturas!M31)</f>
        <v>1.175</v>
      </c>
      <c r="AA33" s="126">
        <f t="shared" si="13"/>
        <v>16.55142796</v>
      </c>
      <c r="AB33" s="121">
        <f>IF(OR((Lecturas!O31-Lecturas!N31) &lt; 0), "", Lecturas!O31-Lecturas!N31)</f>
        <v>2.273</v>
      </c>
      <c r="AC33" s="126">
        <f t="shared" si="14"/>
        <v>29.20131986</v>
      </c>
      <c r="AD33" s="121">
        <f>IF(OR((Lecturas!P31-Lecturas!O31) &lt; 0), "", Lecturas!P31-Lecturas!O31)</f>
        <v>1.839</v>
      </c>
      <c r="AE33" s="126">
        <f t="shared" si="15"/>
        <v>23.13128482</v>
      </c>
      <c r="AF33" s="121">
        <f>IF((Lecturas!Q31-Lecturas!P31)&lt;= 0,"",Lecturas!Q31-Lecturas!P31)</f>
        <v>2.504</v>
      </c>
      <c r="AG33" s="126">
        <f t="shared" si="16"/>
        <v>35.67674363</v>
      </c>
      <c r="AH33" s="121">
        <f>IF((Lecturas!R31-Lecturas!Q31)&lt;= 0,"",Lecturas!R31-Lecturas!Q31)</f>
        <v>2.842</v>
      </c>
      <c r="AI33" s="126">
        <f t="shared" si="17"/>
        <v>39.54346471</v>
      </c>
      <c r="AJ33" s="121">
        <f>IF((Lecturas!S31-Lecturas!R31)&lt;= 0,"",Lecturas!S31-Lecturas!R31)</f>
        <v>0.803</v>
      </c>
      <c r="AK33" s="126">
        <f t="shared" si="18"/>
        <v>11.56941443</v>
      </c>
      <c r="AL33" s="121">
        <f>IF((Lecturas!T31-Lecturas!S31)&lt;= 0,"",Lecturas!T31-Lecturas!S31)</f>
        <v>2.979</v>
      </c>
      <c r="AM33" s="126">
        <f t="shared" si="19"/>
        <v>29.57796519</v>
      </c>
      <c r="AN33" s="121">
        <f>IF((Lecturas!U31-Lecturas!T31)&lt;= 0,"",Lecturas!U31-Lecturas!T31)</f>
        <v>2.145</v>
      </c>
      <c r="AO33" s="126">
        <f t="shared" si="20"/>
        <v>34.88400459</v>
      </c>
      <c r="AP33" s="121">
        <f>IF((Lecturas!V31-Lecturas!U31)&lt;= 0,"",Lecturas!V31-Lecturas!U31)</f>
        <v>1.881</v>
      </c>
      <c r="AQ33" s="126">
        <f t="shared" si="21"/>
        <v>25.06099541</v>
      </c>
      <c r="AR33" s="121">
        <f>IF((Lecturas!W31-Lecturas!V31)&lt;= 0,"",Lecturas!W31-Lecturas!V31)</f>
        <v>1.059</v>
      </c>
      <c r="AS33" s="126">
        <f t="shared" si="22"/>
        <v>12.51412492</v>
      </c>
      <c r="AT33" s="121">
        <f>IF((Lecturas!X31-Lecturas!W31)&lt;= 0,"",Lecturas!X31-Lecturas!W31)</f>
        <v>1.165</v>
      </c>
      <c r="AU33" s="126">
        <f t="shared" si="23"/>
        <v>14.00934959</v>
      </c>
      <c r="AV33" s="121">
        <f>IF((Lecturas!Y31-Lecturas!X31)&lt;= 0,"",Lecturas!Y31-Lecturas!X31)</f>
        <v>1.817</v>
      </c>
      <c r="AW33" s="126">
        <f t="shared" si="24"/>
        <v>22.27360867</v>
      </c>
      <c r="AX33" s="121">
        <f>IF((Lecturas!Z31-Lecturas!Y31)&lt;= 0,"0",Lecturas!Z31-Lecturas!Y31)</f>
        <v>1.548</v>
      </c>
      <c r="AY33" s="126">
        <f t="shared" si="25"/>
        <v>17.96309116</v>
      </c>
      <c r="AZ33" s="121">
        <f>IF((Lecturas!AA31-Lecturas!Z31)&lt;= 0,"0",Lecturas!AA31-Lecturas!Z31)</f>
        <v>1.597</v>
      </c>
      <c r="BA33" s="126">
        <f t="shared" si="26"/>
        <v>22.04503715</v>
      </c>
      <c r="BB33" s="144">
        <f>IF((Lecturas!AB31-Lecturas!AA31)&lt;= 0,"0",Lecturas!AB31-Lecturas!AA31)</f>
        <v>1.567</v>
      </c>
      <c r="BC33" s="126">
        <f t="shared" si="27"/>
        <v>23.48253844</v>
      </c>
      <c r="BD33" s="121">
        <f>IF((Lecturas!AC31-Lecturas!AB31)&lt;= 0,"0",Lecturas!AC31-Lecturas!AB31)</f>
        <v>1.648</v>
      </c>
      <c r="BE33" s="126">
        <f t="shared" si="28"/>
        <v>35.62154923</v>
      </c>
      <c r="BF33" s="121" t="str">
        <f>IF((Lecturas!AD31-Lecturas!AC31)&lt;= 0,"0",Lecturas!AD31-Lecturas!AC31)</f>
        <v>0</v>
      </c>
      <c r="BG33" s="126" t="str">
        <f t="shared" si="29"/>
        <v>0</v>
      </c>
      <c r="BH33" s="121" t="str">
        <f>IF((Lecturas!AE31-Lecturas!AD31)&lt;= 0,"0",Lecturas!AE31-Lecturas!AD31)</f>
        <v>0</v>
      </c>
      <c r="BI33" s="126" t="str">
        <f t="shared" si="30"/>
        <v>0</v>
      </c>
      <c r="BJ33" s="121" t="str">
        <f>IF((Lecturas!AF31-Lecturas!AE31)&lt;= 0,"0",Lecturas!AF31-Lecturas!AE31)</f>
        <v>0</v>
      </c>
      <c r="BK33" s="126" t="str">
        <f t="shared" si="31"/>
        <v>0</v>
      </c>
      <c r="BL33" s="121" t="str">
        <f>IF((Lecturas!AG31-Lecturas!AF31)&lt;= 0,"0",Lecturas!AG31-Lecturas!AF31)</f>
        <v>0</v>
      </c>
      <c r="BM33" s="126" t="str">
        <f t="shared" si="32"/>
        <v>0</v>
      </c>
      <c r="BN33" s="121" t="str">
        <f>IF((Lecturas!AH31-Lecturas!AG31)&lt;= 0,"0",Lecturas!AH31-Lecturas!AG31)</f>
        <v>0</v>
      </c>
      <c r="BO33" s="126" t="str">
        <f t="shared" si="33"/>
        <v>0</v>
      </c>
    </row>
    <row r="34" ht="15.75" customHeight="1">
      <c r="A34" s="120">
        <f t="shared" si="1"/>
        <v>0</v>
      </c>
      <c r="B34" s="121">
        <f t="shared" si="2"/>
        <v>0</v>
      </c>
      <c r="C34" s="170">
        <v>605.0</v>
      </c>
      <c r="D34" s="123" t="s">
        <v>377</v>
      </c>
      <c r="E34" s="75">
        <v>2034051.0</v>
      </c>
      <c r="F34" s="121">
        <f>Lecturas!D32-Lecturas!C32</f>
        <v>1.816</v>
      </c>
      <c r="G34" s="126">
        <f t="shared" si="3"/>
        <v>40.56204385</v>
      </c>
      <c r="H34" s="121">
        <f>IF((Lecturas!E32-Lecturas!D32) &lt; 0, "", Lecturas!E32-Lecturas!D32)</f>
        <v>0.918</v>
      </c>
      <c r="I34" s="126">
        <f t="shared" si="4"/>
        <v>16.40070302</v>
      </c>
      <c r="J34" s="121">
        <f>IF(OR((Lecturas!F32-Lecturas!E32) &lt; 0), "", Lecturas!F32-Lecturas!E32)</f>
        <v>0</v>
      </c>
      <c r="K34" s="126">
        <f t="shared" si="5"/>
        <v>0</v>
      </c>
      <c r="L34" s="121">
        <f>IF(OR((Lecturas!G32-Lecturas!F32) &lt; 0), "", Lecturas!G32-Lecturas!F32)</f>
        <v>0</v>
      </c>
      <c r="M34" s="126">
        <f t="shared" si="6"/>
        <v>0</v>
      </c>
      <c r="N34" s="121">
        <f>IF(OR((Lecturas!H32-Lecturas!G32) &lt; 0), "", Lecturas!H32-Lecturas!G32)</f>
        <v>0</v>
      </c>
      <c r="O34" s="126">
        <f t="shared" si="7"/>
        <v>0</v>
      </c>
      <c r="P34" s="121">
        <f>IF(OR((Lecturas!I32-Lecturas!H32) &lt; 0), "", Lecturas!I32-Lecturas!H32)</f>
        <v>0</v>
      </c>
      <c r="Q34" s="126">
        <f t="shared" si="8"/>
        <v>0</v>
      </c>
      <c r="R34" s="121">
        <f>IF(OR((Lecturas!J32-Lecturas!I32) &lt; 0), "", Lecturas!J32-Lecturas!I32)</f>
        <v>0</v>
      </c>
      <c r="S34" s="126">
        <f t="shared" si="9"/>
        <v>0</v>
      </c>
      <c r="T34" s="121">
        <f>IF(OR((Lecturas!K32-Lecturas!J32) &lt; 0), "", Lecturas!K32-Lecturas!J32)</f>
        <v>0</v>
      </c>
      <c r="U34" s="126">
        <f t="shared" si="10"/>
        <v>0</v>
      </c>
      <c r="V34" s="121">
        <f>IF(OR((Lecturas!L32-Lecturas!K32) &lt; 0), "", Lecturas!L32-Lecturas!K32)</f>
        <v>0</v>
      </c>
      <c r="W34" s="126">
        <f t="shared" si="11"/>
        <v>0</v>
      </c>
      <c r="X34" s="121">
        <f>IF(OR((Lecturas!M32-Lecturas!L32) &lt; 0), "", Lecturas!M32-Lecturas!L32)</f>
        <v>0</v>
      </c>
      <c r="Y34" s="126">
        <f t="shared" si="12"/>
        <v>0</v>
      </c>
      <c r="Z34" s="121">
        <f>IF(OR((Lecturas!N32-Lecturas!M32) &lt; 0), "", Lecturas!N32-Lecturas!M32)</f>
        <v>0</v>
      </c>
      <c r="AA34" s="126">
        <f t="shared" si="13"/>
        <v>0</v>
      </c>
      <c r="AB34" s="121">
        <f>IF(OR((Lecturas!O32-Lecturas!N32) &lt; 0), "", Lecturas!O32-Lecturas!N32)</f>
        <v>0</v>
      </c>
      <c r="AC34" s="126">
        <f t="shared" si="14"/>
        <v>0</v>
      </c>
      <c r="AD34" s="121">
        <f>IF(OR((Lecturas!P32-Lecturas!O32) &lt; 0), "", Lecturas!P32-Lecturas!O32)</f>
        <v>0</v>
      </c>
      <c r="AE34" s="126">
        <f t="shared" si="15"/>
        <v>0</v>
      </c>
      <c r="AF34" s="121">
        <f>IF((Lecturas!Q32-Lecturas!P32)&lt; 0,"",Lecturas!Q32-Lecturas!P32)</f>
        <v>0</v>
      </c>
      <c r="AG34" s="126">
        <f t="shared" si="16"/>
        <v>0</v>
      </c>
      <c r="AH34" s="121">
        <v>0.0</v>
      </c>
      <c r="AI34" s="126">
        <f t="shared" si="17"/>
        <v>0</v>
      </c>
      <c r="AJ34" s="121">
        <v>0.0</v>
      </c>
      <c r="AK34" s="126">
        <f t="shared" si="18"/>
        <v>0</v>
      </c>
      <c r="AL34" s="121">
        <v>0.0</v>
      </c>
      <c r="AM34" s="126">
        <f t="shared" si="19"/>
        <v>0</v>
      </c>
      <c r="AN34" s="121" t="str">
        <f>IF((Lecturas!U32-Lecturas!T32)&lt;= 0,"",Lecturas!U32-Lecturas!T32)</f>
        <v/>
      </c>
      <c r="AO34" s="126">
        <f t="shared" si="20"/>
        <v>0</v>
      </c>
      <c r="AP34" s="121" t="str">
        <f>IF((Lecturas!V32-Lecturas!U32)&lt;= 0,"",Lecturas!V32-Lecturas!U32)</f>
        <v/>
      </c>
      <c r="AQ34" s="126">
        <f t="shared" si="21"/>
        <v>0</v>
      </c>
      <c r="AR34" s="121" t="str">
        <f>IF((Lecturas!W32-Lecturas!V32)&lt;= 0,"",Lecturas!W32-Lecturas!V32)</f>
        <v/>
      </c>
      <c r="AS34" s="126">
        <f t="shared" si="22"/>
        <v>0</v>
      </c>
      <c r="AT34" s="121" t="str">
        <f>IF((Lecturas!X32-Lecturas!W32)&lt;= 0,"",Lecturas!X32-Lecturas!W32)</f>
        <v/>
      </c>
      <c r="AU34" s="126">
        <f t="shared" si="23"/>
        <v>0</v>
      </c>
      <c r="AV34" s="121" t="str">
        <f>IF((Lecturas!Y32-Lecturas!X32)&lt;= 0,"",Lecturas!Y32-Lecturas!X32)</f>
        <v/>
      </c>
      <c r="AW34" s="126">
        <f t="shared" si="24"/>
        <v>0</v>
      </c>
      <c r="AX34" s="121" t="str">
        <f>IF((Lecturas!Z32-Lecturas!Y32)&lt;= 0,"0",Lecturas!Z32-Lecturas!Y32)</f>
        <v>0</v>
      </c>
      <c r="AY34" s="126">
        <f t="shared" si="25"/>
        <v>0</v>
      </c>
      <c r="AZ34" s="121" t="str">
        <f>IF((Lecturas!AA32-Lecturas!Z32)&lt;= 0,"0",Lecturas!AA32-Lecturas!Z32)</f>
        <v>0</v>
      </c>
      <c r="BA34" s="126">
        <f t="shared" si="26"/>
        <v>0</v>
      </c>
      <c r="BB34" s="159" t="str">
        <f>IF((Lecturas!AB32-Lecturas!AA32)&lt;= 0,"0",Lecturas!AB32-Lecturas!AA32)</f>
        <v>0</v>
      </c>
      <c r="BC34" s="126">
        <f t="shared" si="27"/>
        <v>0</v>
      </c>
      <c r="BD34" s="121" t="str">
        <f>IF((Lecturas!AC32-Lecturas!AB32)&lt;= 0,"0",Lecturas!AC32-Lecturas!AB32)</f>
        <v>0</v>
      </c>
      <c r="BE34" s="126">
        <f t="shared" si="28"/>
        <v>0</v>
      </c>
      <c r="BF34" s="121" t="str">
        <f>IF((Lecturas!AD32-Lecturas!AC32)&lt;= 0,"0",Lecturas!AD32-Lecturas!AC32)</f>
        <v>0</v>
      </c>
      <c r="BG34" s="126" t="str">
        <f t="shared" si="29"/>
        <v>0</v>
      </c>
      <c r="BH34" s="121" t="str">
        <f>IF((Lecturas!AE32-Lecturas!AD32)&lt;= 0,"0",Lecturas!AE32-Lecturas!AD32)</f>
        <v>0</v>
      </c>
      <c r="BI34" s="126" t="str">
        <f t="shared" si="30"/>
        <v>0</v>
      </c>
      <c r="BJ34" s="121" t="str">
        <f>IF((Lecturas!AF32-Lecturas!AE32)&lt;= 0,"0",Lecturas!AF32-Lecturas!AE32)</f>
        <v>0</v>
      </c>
      <c r="BK34" s="126" t="str">
        <f t="shared" si="31"/>
        <v>0</v>
      </c>
      <c r="BL34" s="121" t="str">
        <f>IF((Lecturas!AG32-Lecturas!AF32)&lt;= 0,"0",Lecturas!AG32-Lecturas!AF32)</f>
        <v>0</v>
      </c>
      <c r="BM34" s="126" t="str">
        <f t="shared" si="32"/>
        <v>0</v>
      </c>
      <c r="BN34" s="121" t="str">
        <f>IF((Lecturas!AH32-Lecturas!AG32)&lt;= 0,"0",Lecturas!AH32-Lecturas!AG32)</f>
        <v>0</v>
      </c>
      <c r="BO34" s="126" t="str">
        <f t="shared" si="33"/>
        <v>0</v>
      </c>
    </row>
    <row r="35" ht="15.75" customHeight="1">
      <c r="A35" s="120">
        <f t="shared" si="1"/>
        <v>21.1</v>
      </c>
      <c r="B35" s="121">
        <f t="shared" si="2"/>
        <v>1.482</v>
      </c>
      <c r="C35" s="74">
        <v>702.0</v>
      </c>
      <c r="D35" s="123" t="s">
        <v>380</v>
      </c>
      <c r="E35" s="75">
        <v>2034075.0</v>
      </c>
      <c r="F35" s="121">
        <f>Lecturas!D33-Lecturas!C33</f>
        <v>1.613</v>
      </c>
      <c r="G35" s="126">
        <f t="shared" si="3"/>
        <v>36.02785062</v>
      </c>
      <c r="H35" s="121">
        <f>IF((Lecturas!E33-Lecturas!D33) &lt; 0, "", Lecturas!E33-Lecturas!D33)</f>
        <v>1.081</v>
      </c>
      <c r="I35" s="126">
        <f t="shared" si="4"/>
        <v>19.31281041</v>
      </c>
      <c r="J35" s="121">
        <f>IF(OR((Lecturas!F33-Lecturas!E33) &lt;= 0), "", Lecturas!F33-Lecturas!E33)</f>
        <v>1.201</v>
      </c>
      <c r="K35" s="126">
        <f t="shared" si="5"/>
        <v>14.60515077</v>
      </c>
      <c r="L35" s="121">
        <f>IF(OR((Lecturas!G33-Lecturas!F33) &lt;= 0), "", Lecturas!G33-Lecturas!F33)</f>
        <v>0.891</v>
      </c>
      <c r="M35" s="126">
        <f t="shared" si="6"/>
        <v>13.90907723</v>
      </c>
      <c r="N35" s="121">
        <f>IF(OR((Lecturas!H33-Lecturas!G33) &lt;= 0), "", Lecturas!H33-Lecturas!G33)</f>
        <v>1.29</v>
      </c>
      <c r="O35" s="126">
        <f t="shared" si="7"/>
        <v>19.60370713</v>
      </c>
      <c r="P35" s="121">
        <f>IF(OR((Lecturas!I33-Lecturas!H33) &lt;= 0), "", Lecturas!I33-Lecturas!H33)</f>
        <v>1.305</v>
      </c>
      <c r="Q35" s="126">
        <f t="shared" si="8"/>
        <v>19.36743567</v>
      </c>
      <c r="R35" s="121">
        <f>IF(OR((Lecturas!J33-Lecturas!I33) &lt;= 0), "", Lecturas!J33-Lecturas!I33)</f>
        <v>1.299</v>
      </c>
      <c r="S35" s="126">
        <f t="shared" si="9"/>
        <v>21.52641441</v>
      </c>
      <c r="T35" s="121">
        <f>IF(OR((Lecturas!K33-Lecturas!J33) &lt;= 0), "", Lecturas!K33-Lecturas!J33)</f>
        <v>0.842</v>
      </c>
      <c r="U35" s="126">
        <f t="shared" si="10"/>
        <v>14.78725778</v>
      </c>
      <c r="V35" s="121">
        <f>IF(OR((Lecturas!L33-Lecturas!K33) &lt; 0), "", Lecturas!L33-Lecturas!K33)</f>
        <v>1.386</v>
      </c>
      <c r="W35" s="126">
        <f t="shared" si="11"/>
        <v>16.94173556</v>
      </c>
      <c r="X35" s="121">
        <f>IF(OR((Lecturas!M33-Lecturas!L33) &lt; 0), "", Lecturas!M33-Lecturas!L33)</f>
        <v>1.248</v>
      </c>
      <c r="Y35" s="126">
        <f t="shared" si="12"/>
        <v>15.14370172</v>
      </c>
      <c r="Z35" s="121">
        <f>IF(OR((Lecturas!N33-Lecturas!M33) &lt;= 0), "", Lecturas!N33-Lecturas!M33)</f>
        <v>1.112</v>
      </c>
      <c r="AA35" s="126">
        <f t="shared" si="13"/>
        <v>15.66398969</v>
      </c>
      <c r="AB35" s="121">
        <f>IF(OR((Lecturas!O33-Lecturas!N33) &lt; 0), "", Lecturas!O33-Lecturas!N33)</f>
        <v>1.413</v>
      </c>
      <c r="AC35" s="126">
        <f t="shared" si="14"/>
        <v>18.15286624</v>
      </c>
      <c r="AD35" s="121">
        <f>IF(OR((Lecturas!P33-Lecturas!O33) &lt; 0), "", Lecturas!P33-Lecturas!O33)</f>
        <v>1.355</v>
      </c>
      <c r="AE35" s="126">
        <f t="shared" si="15"/>
        <v>17.04344259</v>
      </c>
      <c r="AF35" s="121">
        <f>IF((Lecturas!Q33-Lecturas!P33)&lt;= 0,"",Lecturas!Q33-Lecturas!P33)</f>
        <v>1.482</v>
      </c>
      <c r="AG35" s="126">
        <f t="shared" si="16"/>
        <v>21.115389</v>
      </c>
      <c r="AH35" s="121">
        <f>IF((Lecturas!R33-Lecturas!Q33)&lt;= 0,"",Lecturas!R33-Lecturas!Q33)</f>
        <v>1.269</v>
      </c>
      <c r="AI35" s="126">
        <f t="shared" si="17"/>
        <v>17.65681095</v>
      </c>
      <c r="AJ35" s="121">
        <f>IF((Lecturas!S33-Lecturas!R33)&lt;= 0,"",Lecturas!S33-Lecturas!R33)</f>
        <v>0.902</v>
      </c>
      <c r="AK35" s="126">
        <f t="shared" si="18"/>
        <v>12.99578059</v>
      </c>
      <c r="AL35" s="121">
        <f>IF((Lecturas!T33-Lecturas!S33)&lt;= 0,"",Lecturas!T33-Lecturas!S33)</f>
        <v>1.512</v>
      </c>
      <c r="AM35" s="126">
        <f t="shared" si="19"/>
        <v>15.01238112</v>
      </c>
      <c r="AN35" s="121">
        <f>IF((Lecturas!U33-Lecturas!T33)&lt;= 0,"",Lecturas!U33-Lecturas!T33)</f>
        <v>0.964</v>
      </c>
      <c r="AO35" s="126">
        <f t="shared" si="20"/>
        <v>15.67747339</v>
      </c>
      <c r="AP35" s="121">
        <f>IF((Lecturas!V33-Lecturas!U33)&lt;= 0,"",Lecturas!V33-Lecturas!U33)</f>
        <v>1.084</v>
      </c>
      <c r="AQ35" s="126">
        <f t="shared" si="21"/>
        <v>14.44238119</v>
      </c>
      <c r="AR35" s="121">
        <f>IF((Lecturas!W33-Lecturas!V33)&lt;= 0,"",Lecturas!W33-Lecturas!V33)</f>
        <v>0.917</v>
      </c>
      <c r="AS35" s="126">
        <f t="shared" si="22"/>
        <v>10.83612139</v>
      </c>
      <c r="AT35" s="121">
        <f>IF((Lecturas!X33-Lecturas!W33)&lt;= 0,"",Lecturas!X33-Lecturas!W33)</f>
        <v>1.03</v>
      </c>
      <c r="AU35" s="126">
        <f t="shared" si="23"/>
        <v>12.38594856</v>
      </c>
      <c r="AV35" s="121">
        <f>IF((Lecturas!Y33-Lecturas!X33)&lt;= 0,"",Lecturas!Y33-Lecturas!X33)</f>
        <v>1.138</v>
      </c>
      <c r="AW35" s="126">
        <f t="shared" si="24"/>
        <v>13.95011924</v>
      </c>
      <c r="AX35" s="121">
        <f>IF((Lecturas!Z33-Lecturas!Y33)&lt;= 0,"0",Lecturas!Z33-Lecturas!Y33)</f>
        <v>0.858</v>
      </c>
      <c r="AY35" s="126">
        <f t="shared" si="25"/>
        <v>9.956286963</v>
      </c>
      <c r="AZ35" s="121">
        <f>IF((Lecturas!AA33-Lecturas!Z33)&lt;= 0,"0",Lecturas!AA33-Lecturas!Z33)</f>
        <v>1.097</v>
      </c>
      <c r="BA35" s="126">
        <f t="shared" si="26"/>
        <v>15.14302176</v>
      </c>
      <c r="BB35" s="144">
        <f>IF((Lecturas!AB33-Lecturas!AA33)&lt;= 0,"0",Lecturas!AB33-Lecturas!AA33)</f>
        <v>1.055</v>
      </c>
      <c r="BC35" s="126">
        <f t="shared" si="27"/>
        <v>15.80987751</v>
      </c>
      <c r="BD35" s="121">
        <f>IF((Lecturas!AC33-Lecturas!AB33)&lt;= 0,"0",Lecturas!AC33-Lecturas!AB33)</f>
        <v>1.295</v>
      </c>
      <c r="BE35" s="126">
        <f t="shared" si="28"/>
        <v>27.99144797</v>
      </c>
      <c r="BF35" s="121" t="str">
        <f>IF((Lecturas!AD33-Lecturas!AC33)&lt;= 0,"0",Lecturas!AD33-Lecturas!AC33)</f>
        <v>0</v>
      </c>
      <c r="BG35" s="126" t="str">
        <f t="shared" si="29"/>
        <v>0</v>
      </c>
      <c r="BH35" s="121" t="str">
        <f>IF((Lecturas!AE33-Lecturas!AD33)&lt;= 0,"0",Lecturas!AE33-Lecturas!AD33)</f>
        <v>0</v>
      </c>
      <c r="BI35" s="126" t="str">
        <f t="shared" si="30"/>
        <v>0</v>
      </c>
      <c r="BJ35" s="121" t="str">
        <f>IF((Lecturas!AF33-Lecturas!AE33)&lt;= 0,"0",Lecturas!AF33-Lecturas!AE33)</f>
        <v>0</v>
      </c>
      <c r="BK35" s="126" t="str">
        <f t="shared" si="31"/>
        <v>0</v>
      </c>
      <c r="BL35" s="121" t="str">
        <f>IF((Lecturas!AG33-Lecturas!AF33)&lt;= 0,"0",Lecturas!AG33-Lecturas!AF33)</f>
        <v>0</v>
      </c>
      <c r="BM35" s="126" t="str">
        <f t="shared" si="32"/>
        <v>0</v>
      </c>
      <c r="BN35" s="121" t="str">
        <f>IF((Lecturas!AH33-Lecturas!AG33)&lt;= 0,"0",Lecturas!AH33-Lecturas!AG33)</f>
        <v>0</v>
      </c>
      <c r="BO35" s="126" t="str">
        <f t="shared" si="33"/>
        <v>0</v>
      </c>
    </row>
    <row r="36" ht="15.75" customHeight="1">
      <c r="A36" s="120">
        <f t="shared" si="1"/>
        <v>3.9</v>
      </c>
      <c r="B36" s="121">
        <f t="shared" si="2"/>
        <v>0.272</v>
      </c>
      <c r="C36" s="74">
        <v>703.0</v>
      </c>
      <c r="D36" s="123" t="s">
        <v>382</v>
      </c>
      <c r="E36" s="75">
        <v>2034079.0</v>
      </c>
      <c r="F36" s="121">
        <f>Lecturas!D34-Lecturas!C34</f>
        <v>0.298</v>
      </c>
      <c r="G36" s="126">
        <f t="shared" si="3"/>
        <v>6.656106314</v>
      </c>
      <c r="H36" s="121">
        <f>IF((Lecturas!E34-Lecturas!D34) &lt; 0, "", Lecturas!E34-Lecturas!D34)</f>
        <v>0.351</v>
      </c>
      <c r="I36" s="126">
        <f t="shared" si="4"/>
        <v>6.270857035</v>
      </c>
      <c r="J36" s="121">
        <f>IF(OR((Lecturas!F34-Lecturas!E34) &lt;= 0), "", Lecturas!F34-Lecturas!E34)</f>
        <v>0.563</v>
      </c>
      <c r="K36" s="126">
        <f t="shared" si="5"/>
        <v>6.846544451</v>
      </c>
      <c r="L36" s="121">
        <f>IF(OR((Lecturas!G34-Lecturas!F34) &lt;= 0), "", Lecturas!G34-Lecturas!F34)</f>
        <v>0.506</v>
      </c>
      <c r="M36" s="126">
        <f t="shared" si="6"/>
        <v>7.898982133</v>
      </c>
      <c r="N36" s="121">
        <f>IF(OR((Lecturas!H34-Lecturas!G34) &lt;= 0), "", Lecturas!H34-Lecturas!G34)</f>
        <v>0.705</v>
      </c>
      <c r="O36" s="126">
        <f t="shared" si="7"/>
        <v>10.7136539</v>
      </c>
      <c r="P36" s="121">
        <f>IF(OR((Lecturas!I34-Lecturas!H34) &lt;= 0), "", Lecturas!I34-Lecturas!H34)</f>
        <v>0.875</v>
      </c>
      <c r="Q36" s="126">
        <f t="shared" si="8"/>
        <v>12.98582851</v>
      </c>
      <c r="R36" s="121">
        <f>IF(OR((Lecturas!J34-Lecturas!I34) &lt;= 0), "", Lecturas!J34-Lecturas!I34)</f>
        <v>1.289</v>
      </c>
      <c r="S36" s="126">
        <f t="shared" si="9"/>
        <v>21.36069914</v>
      </c>
      <c r="T36" s="121">
        <f>IF(OR((Lecturas!K34-Lecturas!J34) &lt;= 0), "", Lecturas!K34-Lecturas!J34)</f>
        <v>1.003</v>
      </c>
      <c r="U36" s="126">
        <f t="shared" si="10"/>
        <v>17.61475006</v>
      </c>
      <c r="V36" s="121">
        <f>IF(OR((Lecturas!L34-Lecturas!K34) &lt; 0), "", Lecturas!L34-Lecturas!K34)</f>
        <v>0.808</v>
      </c>
      <c r="W36" s="126">
        <f t="shared" si="11"/>
        <v>9.876567339</v>
      </c>
      <c r="X36" s="121">
        <f>IF(OR((Lecturas!M34-Lecturas!L34) &lt; 0), "", Lecturas!M34-Lecturas!L34)</f>
        <v>0.403</v>
      </c>
      <c r="Y36" s="126">
        <f t="shared" si="12"/>
        <v>4.89015368</v>
      </c>
      <c r="Z36" s="121">
        <f>IF(OR((Lecturas!N34-Lecturas!M34) &lt;= 0), "", Lecturas!N34-Lecturas!M34)</f>
        <v>0.242</v>
      </c>
      <c r="AA36" s="126">
        <f t="shared" si="13"/>
        <v>3.408889843</v>
      </c>
      <c r="AB36" s="121">
        <f>IF(OR((Lecturas!O34-Lecturas!N34) &lt; 0), "", Lecturas!O34-Lecturas!N34)</f>
        <v>0.262</v>
      </c>
      <c r="AC36" s="126">
        <f t="shared" si="14"/>
        <v>3.365924243</v>
      </c>
      <c r="AD36" s="121">
        <f>IF(OR((Lecturas!P34-Lecturas!O34) &lt; 0), "", Lecturas!P34-Lecturas!O34)</f>
        <v>0.225</v>
      </c>
      <c r="AE36" s="126">
        <f t="shared" si="15"/>
        <v>2.830091944</v>
      </c>
      <c r="AF36" s="121">
        <f>IF((Lecturas!Q34-Lecturas!P34)&lt;= 0,"",Lecturas!Q34-Lecturas!P34)</f>
        <v>0.272</v>
      </c>
      <c r="AG36" s="126">
        <f t="shared" si="16"/>
        <v>3.87542902</v>
      </c>
      <c r="AH36" s="121">
        <f>IF((Lecturas!R34-Lecturas!Q34)&lt;= 0,"",Lecturas!R34-Lecturas!Q34)</f>
        <v>0.102</v>
      </c>
      <c r="AI36" s="126">
        <f t="shared" si="17"/>
        <v>1.419223575</v>
      </c>
      <c r="AJ36" s="121">
        <f>IF((Lecturas!S34-Lecturas!R34)&lt;= 0,"",Lecturas!S34-Lecturas!R34)</f>
        <v>0.316</v>
      </c>
      <c r="AK36" s="126">
        <f t="shared" si="18"/>
        <v>4.552845528</v>
      </c>
      <c r="AL36" s="121">
        <f>IF((Lecturas!T34-Lecturas!S34)&lt;= 0,"",Lecturas!T34-Lecturas!S34)</f>
        <v>0.469</v>
      </c>
      <c r="AM36" s="126">
        <f t="shared" si="19"/>
        <v>4.656618219</v>
      </c>
      <c r="AN36" s="121">
        <f>IF((Lecturas!U34-Lecturas!T34)&lt;= 0,"",Lecturas!U34-Lecturas!T34)</f>
        <v>0.468</v>
      </c>
      <c r="AO36" s="126">
        <f t="shared" si="20"/>
        <v>7.611055546</v>
      </c>
      <c r="AP36" s="121">
        <f>IF((Lecturas!V34-Lecturas!U34)&lt;= 0,"",Lecturas!V34-Lecturas!U34)</f>
        <v>0.421</v>
      </c>
      <c r="AQ36" s="126">
        <f t="shared" si="21"/>
        <v>5.609079781</v>
      </c>
      <c r="AR36" s="121">
        <f>IF((Lecturas!W34-Lecturas!V34)&lt;= 0,"",Lecturas!W34-Lecturas!V34)</f>
        <v>0.309</v>
      </c>
      <c r="AS36" s="126">
        <f t="shared" si="22"/>
        <v>3.651430217</v>
      </c>
      <c r="AT36" s="121">
        <f>IF((Lecturas!X34-Lecturas!W34)&lt;= 0,"",Lecturas!X34-Lecturas!W34)</f>
        <v>0.491</v>
      </c>
      <c r="AU36" s="126">
        <f t="shared" si="23"/>
        <v>5.904369654</v>
      </c>
      <c r="AV36" s="121">
        <f>IF((Lecturas!Y34-Lecturas!X34)&lt;= 0,"",Lecturas!Y34-Lecturas!X34)</f>
        <v>0.322</v>
      </c>
      <c r="AW36" s="126">
        <f t="shared" si="24"/>
        <v>3.947221789</v>
      </c>
      <c r="AX36" s="121">
        <f>IF((Lecturas!Z34-Lecturas!Y34)&lt;= 0,"0",Lecturas!Z34-Lecturas!Y34)</f>
        <v>0.583</v>
      </c>
      <c r="AY36" s="126">
        <f t="shared" si="25"/>
        <v>6.765169347</v>
      </c>
      <c r="AZ36" s="121">
        <f>IF((Lecturas!AA34-Lecturas!Z34)&lt;= 0,"0",Lecturas!AA34-Lecturas!Z34)</f>
        <v>0.358</v>
      </c>
      <c r="BA36" s="126">
        <f t="shared" si="26"/>
        <v>4.941843018</v>
      </c>
      <c r="BB36" s="144">
        <f>IF((Lecturas!AB34-Lecturas!AA34)&lt;= 0,"0",Lecturas!AB34-Lecturas!AA34)</f>
        <v>0.35</v>
      </c>
      <c r="BC36" s="126">
        <f t="shared" si="27"/>
        <v>5.24498306</v>
      </c>
      <c r="BD36" s="121">
        <f>IF((Lecturas!AC34-Lecturas!AB34)&lt;= 0,"0",Lecturas!AC34-Lecturas!AB34)</f>
        <v>0.395</v>
      </c>
      <c r="BE36" s="126">
        <f t="shared" si="28"/>
        <v>8.537932007</v>
      </c>
      <c r="BF36" s="121" t="str">
        <f>IF((Lecturas!AD34-Lecturas!AC34)&lt;= 0,"0",Lecturas!AD34-Lecturas!AC34)</f>
        <v>0</v>
      </c>
      <c r="BG36" s="126" t="str">
        <f t="shared" si="29"/>
        <v>0</v>
      </c>
      <c r="BH36" s="121" t="str">
        <f>IF((Lecturas!AE34-Lecturas!AD34)&lt;= 0,"0",Lecturas!AE34-Lecturas!AD34)</f>
        <v>0</v>
      </c>
      <c r="BI36" s="126" t="str">
        <f t="shared" si="30"/>
        <v>0</v>
      </c>
      <c r="BJ36" s="121" t="str">
        <f>IF((Lecturas!AF34-Lecturas!AE34)&lt;= 0,"0",Lecturas!AF34-Lecturas!AE34)</f>
        <v>0</v>
      </c>
      <c r="BK36" s="126" t="str">
        <f t="shared" si="31"/>
        <v>0</v>
      </c>
      <c r="BL36" s="121" t="str">
        <f>IF((Lecturas!AG34-Lecturas!AF34)&lt;= 0,"0",Lecturas!AG34-Lecturas!AF34)</f>
        <v>0</v>
      </c>
      <c r="BM36" s="126" t="str">
        <f t="shared" si="32"/>
        <v>0</v>
      </c>
      <c r="BN36" s="121" t="str">
        <f>IF((Lecturas!AH34-Lecturas!AG34)&lt;= 0,"0",Lecturas!AH34-Lecturas!AG34)</f>
        <v>0</v>
      </c>
      <c r="BO36" s="126" t="str">
        <f t="shared" si="33"/>
        <v>0</v>
      </c>
    </row>
    <row r="37" ht="15.75" customHeight="1">
      <c r="A37" s="120">
        <f t="shared" si="1"/>
        <v>8.8</v>
      </c>
      <c r="B37" s="121">
        <f t="shared" si="2"/>
        <v>0.618</v>
      </c>
      <c r="C37" s="74">
        <v>704.0</v>
      </c>
      <c r="D37" s="123" t="s">
        <v>386</v>
      </c>
      <c r="E37" s="75">
        <v>2034036.0</v>
      </c>
      <c r="F37" s="121">
        <f>Lecturas!D35-Lecturas!C35</f>
        <v>0.389</v>
      </c>
      <c r="G37" s="126">
        <f t="shared" si="3"/>
        <v>8.688675692</v>
      </c>
      <c r="H37" s="121">
        <f>IF((Lecturas!E35-Lecturas!D35) &lt; 0, "", Lecturas!E35-Lecturas!D35)</f>
        <v>0.253</v>
      </c>
      <c r="I37" s="126">
        <f t="shared" si="4"/>
        <v>4.520019458</v>
      </c>
      <c r="J37" s="121">
        <f>IF(OR((Lecturas!F35-Lecturas!E35) &lt;= 0), "", Lecturas!F35-Lecturas!E35)</f>
        <v>0.311</v>
      </c>
      <c r="K37" s="126">
        <f t="shared" si="5"/>
        <v>3.782016562</v>
      </c>
      <c r="L37" s="121">
        <f>IF(OR((Lecturas!G35-Lecturas!F35) &lt;= 0), "", Lecturas!G35-Lecturas!F35)</f>
        <v>0.434</v>
      </c>
      <c r="M37" s="126">
        <f t="shared" si="6"/>
        <v>6.775016296</v>
      </c>
      <c r="N37" s="121">
        <f>IF(OR((Lecturas!H35-Lecturas!G35) &lt;= 0), "", Lecturas!H35-Lecturas!G35)</f>
        <v>0.272</v>
      </c>
      <c r="O37" s="126">
        <f t="shared" si="7"/>
        <v>4.133494836</v>
      </c>
      <c r="P37" s="121">
        <f>IF(OR((Lecturas!I35-Lecturas!H35) &lt;= 0), "", Lecturas!I35-Lecturas!H35)</f>
        <v>0.412</v>
      </c>
      <c r="Q37" s="126">
        <f t="shared" si="8"/>
        <v>6.114470111</v>
      </c>
      <c r="R37" s="121">
        <f>IF(OR((Lecturas!J35-Lecturas!I35) &lt;= 0), "", Lecturas!J35-Lecturas!I35)</f>
        <v>0.094</v>
      </c>
      <c r="S37" s="126">
        <f t="shared" si="9"/>
        <v>1.557723599</v>
      </c>
      <c r="T37" s="121">
        <f>IF(OR((Lecturas!K35-Lecturas!J35) &lt;= 0), "", Lecturas!K35-Lecturas!J35)</f>
        <v>0.612</v>
      </c>
      <c r="U37" s="126">
        <f t="shared" si="10"/>
        <v>10.74798309</v>
      </c>
      <c r="V37" s="121">
        <f>IF(OR((Lecturas!L35-Lecturas!K35) &lt; 0), "", Lecturas!L35-Lecturas!K35)</f>
        <v>0.564</v>
      </c>
      <c r="W37" s="126">
        <f t="shared" si="11"/>
        <v>6.894039579</v>
      </c>
      <c r="X37" s="121">
        <f>IF(OR((Lecturas!M35-Lecturas!L35) &lt; 0), "", Lecturas!M35-Lecturas!L35)</f>
        <v>0.479</v>
      </c>
      <c r="Y37" s="126">
        <f t="shared" si="12"/>
        <v>5.812366285</v>
      </c>
      <c r="Z37" s="121">
        <f>IF(OR((Lecturas!N35-Lecturas!M35) &lt;= 0), "", Lecturas!N35-Lecturas!M35)</f>
        <v>0.481</v>
      </c>
      <c r="AA37" s="126">
        <f t="shared" si="13"/>
        <v>6.775520721</v>
      </c>
      <c r="AB37" s="121">
        <f>IF(OR((Lecturas!O35-Lecturas!N35) &lt; 0), "", Lecturas!O35-Lecturas!N35)</f>
        <v>0.407</v>
      </c>
      <c r="AC37" s="126">
        <f t="shared" si="14"/>
        <v>5.228744912</v>
      </c>
      <c r="AD37" s="121">
        <f>IF(OR((Lecturas!P35-Lecturas!O35) &lt; 0), "", Lecturas!P35-Lecturas!O35)</f>
        <v>0.4</v>
      </c>
      <c r="AE37" s="126">
        <f t="shared" si="15"/>
        <v>5.031274567</v>
      </c>
      <c r="AF37" s="121">
        <f>IF((Lecturas!Q35-Lecturas!P35)&lt;= 0,"",Lecturas!Q35-Lecturas!P35)</f>
        <v>0.618</v>
      </c>
      <c r="AG37" s="126">
        <f t="shared" si="16"/>
        <v>8.8052027</v>
      </c>
      <c r="AH37" s="121">
        <f>IF((Lecturas!R35-Lecturas!Q35)&lt;= 0,"",Lecturas!R35-Lecturas!Q35)</f>
        <v>0.958</v>
      </c>
      <c r="AI37" s="126">
        <f t="shared" si="17"/>
        <v>13.32957044</v>
      </c>
      <c r="AJ37" s="121">
        <f>IF((Lecturas!S35-Lecturas!R35)&lt;= 0,"",Lecturas!S35-Lecturas!R35)</f>
        <v>0.742</v>
      </c>
      <c r="AK37" s="126">
        <f t="shared" si="18"/>
        <v>10.69054235</v>
      </c>
      <c r="AL37" s="121">
        <f>IF((Lecturas!T35-Lecturas!S35)&lt;= 0,"",Lecturas!T35-Lecturas!S35)</f>
        <v>1.249</v>
      </c>
      <c r="AM37" s="126">
        <f t="shared" si="19"/>
        <v>12.40110054</v>
      </c>
      <c r="AN37" s="121">
        <f>IF((Lecturas!U35-Lecturas!T35)&lt;= 0,"",Lecturas!U35-Lecturas!T35)</f>
        <v>0.643</v>
      </c>
      <c r="AO37" s="126">
        <f t="shared" si="20"/>
        <v>10.45706991</v>
      </c>
      <c r="AP37" s="121">
        <f>IF((Lecturas!V35-Lecturas!U35)&lt;= 0,"",Lecturas!V35-Lecturas!U35)</f>
        <v>0.714</v>
      </c>
      <c r="AQ37" s="126">
        <f t="shared" si="21"/>
        <v>9.512786137</v>
      </c>
      <c r="AR37" s="121">
        <f>IF((Lecturas!W35-Lecturas!V35)&lt;= 0,"",Lecturas!W35-Lecturas!V35)</f>
        <v>0.363</v>
      </c>
      <c r="AS37" s="126">
        <f t="shared" si="22"/>
        <v>4.289544236</v>
      </c>
      <c r="AT37" s="121">
        <f>IF((Lecturas!X35-Lecturas!W35)&lt;= 0,"",Lecturas!X35-Lecturas!W35)</f>
        <v>0.553</v>
      </c>
      <c r="AU37" s="126">
        <f t="shared" si="23"/>
        <v>6.649931607</v>
      </c>
      <c r="AV37" s="121">
        <f>IF((Lecturas!Y35-Lecturas!X35)&lt;= 0,"",Lecturas!Y35-Lecturas!X35)</f>
        <v>0.626</v>
      </c>
      <c r="AW37" s="126">
        <f t="shared" si="24"/>
        <v>7.673791428</v>
      </c>
      <c r="AX37" s="121">
        <f>IF((Lecturas!Z35-Lecturas!Y35)&lt;= 0,"0",Lecturas!Z35-Lecturas!Y35)</f>
        <v>0.53</v>
      </c>
      <c r="AY37" s="126">
        <f t="shared" si="25"/>
        <v>6.150153952</v>
      </c>
      <c r="AZ37" s="121">
        <f>IF((Lecturas!AA35-Lecturas!Z35)&lt;= 0,"0",Lecturas!AA35-Lecturas!Z35)</f>
        <v>0.819</v>
      </c>
      <c r="BA37" s="126">
        <f t="shared" si="26"/>
        <v>11.30550121</v>
      </c>
      <c r="BB37" s="144">
        <f>IF((Lecturas!AB35-Lecturas!AA35)&lt;= 0,"0",Lecturas!AB35-Lecturas!AA35)</f>
        <v>0.642</v>
      </c>
      <c r="BC37" s="126">
        <f t="shared" si="27"/>
        <v>9.620797498</v>
      </c>
      <c r="BD37" s="121">
        <f>IF((Lecturas!AC35-Lecturas!AB35)&lt;= 0,"0",Lecturas!AC35-Lecturas!AB35)</f>
        <v>0.447</v>
      </c>
      <c r="BE37" s="126">
        <f t="shared" si="28"/>
        <v>9.661912929</v>
      </c>
      <c r="BF37" s="121" t="str">
        <f>IF((Lecturas!AD35-Lecturas!AC35)&lt;= 0,"0",Lecturas!AD35-Lecturas!AC35)</f>
        <v>0</v>
      </c>
      <c r="BG37" s="126" t="str">
        <f t="shared" si="29"/>
        <v>0</v>
      </c>
      <c r="BH37" s="121" t="str">
        <f>IF((Lecturas!AE35-Lecturas!AD35)&lt;= 0,"0",Lecturas!AE35-Lecturas!AD35)</f>
        <v>0</v>
      </c>
      <c r="BI37" s="126" t="str">
        <f t="shared" si="30"/>
        <v>0</v>
      </c>
      <c r="BJ37" s="121" t="str">
        <f>IF((Lecturas!AF35-Lecturas!AE35)&lt;= 0,"0",Lecturas!AF35-Lecturas!AE35)</f>
        <v>0</v>
      </c>
      <c r="BK37" s="126" t="str">
        <f t="shared" si="31"/>
        <v>0</v>
      </c>
      <c r="BL37" s="121" t="str">
        <f>IF((Lecturas!AG35-Lecturas!AF35)&lt;= 0,"0",Lecturas!AG35-Lecturas!AF35)</f>
        <v>0</v>
      </c>
      <c r="BM37" s="126" t="str">
        <f t="shared" si="32"/>
        <v>0</v>
      </c>
      <c r="BN37" s="121" t="str">
        <f>IF((Lecturas!AH35-Lecturas!AG35)&lt;= 0,"0",Lecturas!AH35-Lecturas!AG35)</f>
        <v>0</v>
      </c>
      <c r="BO37" s="126" t="str">
        <f t="shared" si="33"/>
        <v>0</v>
      </c>
    </row>
    <row r="38" ht="15.75" customHeight="1">
      <c r="A38" s="120">
        <f t="shared" si="1"/>
        <v>114.1</v>
      </c>
      <c r="B38" s="121">
        <f t="shared" si="2"/>
        <v>8.009</v>
      </c>
      <c r="C38" s="74">
        <v>801.0</v>
      </c>
      <c r="D38" s="123" t="s">
        <v>387</v>
      </c>
      <c r="E38" s="75">
        <v>2034023.0</v>
      </c>
      <c r="F38" s="121">
        <f>Lecturas!D36-Lecturas!C36</f>
        <v>7.142</v>
      </c>
      <c r="G38" s="126">
        <f t="shared" si="3"/>
        <v>159.5231923</v>
      </c>
      <c r="H38" s="121">
        <f>IF((Lecturas!E36-Lecturas!D36) &lt; 0, "", Lecturas!E36-Lecturas!D36)</f>
        <v>6.725</v>
      </c>
      <c r="I38" s="126">
        <f t="shared" si="4"/>
        <v>120.1467623</v>
      </c>
      <c r="J38" s="121">
        <f>IF(OR((Lecturas!F36-Lecturas!E36) &lt;= 0), "", Lecturas!F36-Lecturas!E36)</f>
        <v>7.333</v>
      </c>
      <c r="K38" s="126">
        <f t="shared" si="5"/>
        <v>89.17532941</v>
      </c>
      <c r="L38" s="121">
        <f>IF(OR((Lecturas!G36-Lecturas!F36) &lt;= 0), "", Lecturas!G36-Lecturas!F36)</f>
        <v>5.893</v>
      </c>
      <c r="M38" s="126">
        <f t="shared" si="6"/>
        <v>91.99348164</v>
      </c>
      <c r="N38" s="121">
        <f>IF(OR((Lecturas!H36-Lecturas!G36) &lt;= 0), "", Lecturas!H36-Lecturas!G36)</f>
        <v>5.942</v>
      </c>
      <c r="O38" s="126">
        <f t="shared" si="7"/>
        <v>90.29862616</v>
      </c>
      <c r="P38" s="121">
        <f>IF(OR((Lecturas!I36-Lecturas!H36) &lt;= 0), "", Lecturas!I36-Lecturas!H36)</f>
        <v>8.777</v>
      </c>
      <c r="Q38" s="126">
        <f t="shared" si="8"/>
        <v>130.2589907</v>
      </c>
      <c r="R38" s="121">
        <f>IF(OR((Lecturas!J36-Lecturas!I36) &lt;= 0), "", Lecturas!J36-Lecturas!I36)</f>
        <v>6.571</v>
      </c>
      <c r="S38" s="126">
        <f t="shared" si="9"/>
        <v>108.8915082</v>
      </c>
      <c r="T38" s="121">
        <f>IF(OR((Lecturas!K36-Lecturas!J36) &lt;= 0), "", Lecturas!K36-Lecturas!J36)</f>
        <v>5.177</v>
      </c>
      <c r="U38" s="126">
        <f t="shared" si="10"/>
        <v>90.91880464</v>
      </c>
      <c r="V38" s="121">
        <f>IF(OR((Lecturas!L36-Lecturas!K36) &lt; 0), "", Lecturas!L36-Lecturas!K36)</f>
        <v>7.027</v>
      </c>
      <c r="W38" s="126">
        <f t="shared" si="11"/>
        <v>85.89435482</v>
      </c>
      <c r="X38" s="121">
        <f>IF(OR((Lecturas!M36-Lecturas!L36) &lt; 0), "", Lecturas!M36-Lecturas!L36)</f>
        <v>6.253</v>
      </c>
      <c r="Y38" s="126">
        <f t="shared" si="12"/>
        <v>75.87625549</v>
      </c>
      <c r="Z38" s="121">
        <f>IF(OR((Lecturas!N36-Lecturas!M36) &lt;= 0), "", Lecturas!N36-Lecturas!M36)</f>
        <v>6.514</v>
      </c>
      <c r="AA38" s="126">
        <f t="shared" si="13"/>
        <v>91.75829933</v>
      </c>
      <c r="AB38" s="121">
        <f>IF(OR((Lecturas!O36-Lecturas!N36) &lt; 0), "", Lecturas!O36-Lecturas!N36)</f>
        <v>6.718</v>
      </c>
      <c r="AC38" s="126">
        <f t="shared" si="14"/>
        <v>86.30640864</v>
      </c>
      <c r="AD38" s="121">
        <f>IF(OR((Lecturas!P36-Lecturas!O36) &lt; 0), "", Lecturas!P36-Lecturas!O36)</f>
        <v>5.697</v>
      </c>
      <c r="AE38" s="126">
        <f t="shared" si="15"/>
        <v>71.65792802</v>
      </c>
      <c r="AF38" s="121">
        <f>IF((Lecturas!Q36-Lecturas!P36)&lt;= 0,"",Lecturas!Q36-Lecturas!P36)</f>
        <v>8.009</v>
      </c>
      <c r="AG38" s="126">
        <f t="shared" si="16"/>
        <v>114.1114376</v>
      </c>
      <c r="AH38" s="121">
        <f>IF((Lecturas!R36-Lecturas!Q36)&lt;= 0,"",Lecturas!R36-Lecturas!Q36)</f>
        <v>7.168</v>
      </c>
      <c r="AI38" s="126">
        <f t="shared" si="17"/>
        <v>99.73524103</v>
      </c>
      <c r="AJ38" s="121">
        <f>IF((Lecturas!S36-Lecturas!R36)&lt;= 0,"",Lecturas!S36-Lecturas!R36)</f>
        <v>7.007</v>
      </c>
      <c r="AK38" s="126">
        <f t="shared" si="18"/>
        <v>100.9550273</v>
      </c>
      <c r="AL38" s="121">
        <f>IF((Lecturas!T36-Lecturas!S36)&lt;= 0,"",Lecturas!T36-Lecturas!S36)</f>
        <v>8.009</v>
      </c>
      <c r="AM38" s="126">
        <f t="shared" si="19"/>
        <v>79.51994737</v>
      </c>
      <c r="AN38" s="121">
        <f>IF((Lecturas!U36-Lecturas!T36)&lt;= 0,"",Lecturas!U36-Lecturas!T36)</f>
        <v>5.601</v>
      </c>
      <c r="AO38" s="126">
        <f t="shared" si="20"/>
        <v>91.08872246</v>
      </c>
      <c r="AP38" s="121">
        <f>IF((Lecturas!V36-Lecturas!U36)&lt;= 0,"",Lecturas!V36-Lecturas!U36)</f>
        <v>7.235</v>
      </c>
      <c r="AQ38" s="126">
        <f t="shared" si="21"/>
        <v>96.39356821</v>
      </c>
      <c r="AR38" s="121">
        <f>IF((Lecturas!W36-Lecturas!V36)&lt;= 0,"",Lecturas!W36-Lecturas!V36)</f>
        <v>4.195</v>
      </c>
      <c r="AS38" s="126">
        <f t="shared" si="22"/>
        <v>49.5720057</v>
      </c>
      <c r="AT38" s="121">
        <f>IF((Lecturas!X36-Lecturas!W36)&lt;= 0,"",Lecturas!X36-Lecturas!W36)</f>
        <v>6.523</v>
      </c>
      <c r="AU38" s="126">
        <f t="shared" si="23"/>
        <v>78.4403325</v>
      </c>
      <c r="AV38" s="121">
        <f>IF((Lecturas!Y36-Lecturas!X36)&lt;= 0,"",Lecturas!Y36-Lecturas!X36)</f>
        <v>5.656</v>
      </c>
      <c r="AW38" s="126">
        <f t="shared" si="24"/>
        <v>69.33380881</v>
      </c>
      <c r="AX38" s="121">
        <f>IF((Lecturas!Z36-Lecturas!Y36)&lt;= 0,"0",Lecturas!Z36-Lecturas!Y36)</f>
        <v>5.141</v>
      </c>
      <c r="AY38" s="126">
        <f t="shared" si="25"/>
        <v>59.65649333</v>
      </c>
      <c r="AZ38" s="121">
        <f>IF((Lecturas!AA36-Lecturas!Z36)&lt;= 0,"0",Lecturas!AA36-Lecturas!Z36)</f>
        <v>5.315</v>
      </c>
      <c r="BA38" s="126">
        <f t="shared" si="26"/>
        <v>73.36842358</v>
      </c>
      <c r="BB38" s="144">
        <f>IF((Lecturas!AB36-Lecturas!AA36)&lt;= 0,"0",Lecturas!AB36-Lecturas!AA36)</f>
        <v>5.509</v>
      </c>
      <c r="BC38" s="126">
        <f t="shared" si="27"/>
        <v>82.55603336</v>
      </c>
      <c r="BD38" s="121">
        <f>IF((Lecturas!AC36-Lecturas!AB36)&lt;= 0,"0",Lecturas!AC36-Lecturas!AB36)</f>
        <v>3.899</v>
      </c>
      <c r="BE38" s="126">
        <f t="shared" si="28"/>
        <v>84.27695416</v>
      </c>
      <c r="BF38" s="121" t="str">
        <f>IF((Lecturas!AD36-Lecturas!AC36)&lt;= 0,"0",Lecturas!AD36-Lecturas!AC36)</f>
        <v>0</v>
      </c>
      <c r="BG38" s="126" t="str">
        <f t="shared" si="29"/>
        <v>0</v>
      </c>
      <c r="BH38" s="121" t="str">
        <f>IF((Lecturas!AE36-Lecturas!AD36)&lt;= 0,"0",Lecturas!AE36-Lecturas!AD36)</f>
        <v>0</v>
      </c>
      <c r="BI38" s="126" t="str">
        <f t="shared" si="30"/>
        <v>0</v>
      </c>
      <c r="BJ38" s="121" t="str">
        <f>IF((Lecturas!AF36-Lecturas!AE36)&lt;= 0,"0",Lecturas!AF36-Lecturas!AE36)</f>
        <v>0</v>
      </c>
      <c r="BK38" s="126" t="str">
        <f t="shared" si="31"/>
        <v>0</v>
      </c>
      <c r="BL38" s="121" t="str">
        <f>IF((Lecturas!AG36-Lecturas!AF36)&lt;= 0,"0",Lecturas!AG36-Lecturas!AF36)</f>
        <v>0</v>
      </c>
      <c r="BM38" s="126" t="str">
        <f t="shared" si="32"/>
        <v>0</v>
      </c>
      <c r="BN38" s="121" t="str">
        <f>IF((Lecturas!AH36-Lecturas!AG36)&lt;= 0,"0",Lecturas!AH36-Lecturas!AG36)</f>
        <v>0</v>
      </c>
      <c r="BO38" s="126" t="str">
        <f t="shared" si="33"/>
        <v>0</v>
      </c>
    </row>
    <row r="39" ht="15.75" customHeight="1">
      <c r="A39" s="120">
        <f t="shared" si="1"/>
        <v>17.1</v>
      </c>
      <c r="B39" s="121">
        <f t="shared" si="2"/>
        <v>1.201</v>
      </c>
      <c r="C39" s="74">
        <v>802.0</v>
      </c>
      <c r="D39" s="123" t="s">
        <v>391</v>
      </c>
      <c r="E39" s="75">
        <v>2034084.0</v>
      </c>
      <c r="F39" s="121">
        <f>Lecturas!D37-Lecturas!C37</f>
        <v>0.788</v>
      </c>
      <c r="G39" s="126">
        <f t="shared" si="3"/>
        <v>17.60071066</v>
      </c>
      <c r="H39" s="121">
        <f>IF((Lecturas!E37-Lecturas!D37) &lt; 0, "", Lecturas!E37-Lecturas!D37)</f>
        <v>0.401</v>
      </c>
      <c r="I39" s="126">
        <f t="shared" si="4"/>
        <v>7.164141513</v>
      </c>
      <c r="J39" s="121">
        <f>IF(OR((Lecturas!F37-Lecturas!E37) &lt;= 0), "", Lecturas!F37-Lecturas!E37)</f>
        <v>0.552</v>
      </c>
      <c r="K39" s="126">
        <f t="shared" si="5"/>
        <v>6.712775376</v>
      </c>
      <c r="L39" s="121">
        <f>IF(OR((Lecturas!G37-Lecturas!F37) &lt;= 0), "", Lecturas!G37-Lecturas!F37)</f>
        <v>1.62</v>
      </c>
      <c r="M39" s="126">
        <f t="shared" si="6"/>
        <v>25.28923133</v>
      </c>
      <c r="N39" s="121">
        <f>IF(OR((Lecturas!H37-Lecturas!G37) &lt;= 0), "", Lecturas!H37-Lecturas!G37)</f>
        <v>0.723</v>
      </c>
      <c r="O39" s="126">
        <f t="shared" si="7"/>
        <v>10.98719399</v>
      </c>
      <c r="P39" s="121">
        <f>IF(OR((Lecturas!I37-Lecturas!H37) &lt;= 0), "", Lecturas!I37-Lecturas!H37)</f>
        <v>1.194</v>
      </c>
      <c r="Q39" s="126">
        <f t="shared" si="8"/>
        <v>17.72009057</v>
      </c>
      <c r="R39" s="121">
        <f>IF(OR((Lecturas!J37-Lecturas!I37) &lt;= 0), "", Lecturas!J37-Lecturas!I37)</f>
        <v>1.663</v>
      </c>
      <c r="S39" s="126">
        <f t="shared" si="9"/>
        <v>27.55845048</v>
      </c>
      <c r="T39" s="121">
        <f>IF(OR((Lecturas!K37-Lecturas!J37) &lt;= 0), "", Lecturas!K37-Lecturas!J37)</f>
        <v>1.134</v>
      </c>
      <c r="U39" s="126">
        <f t="shared" si="10"/>
        <v>19.91538042</v>
      </c>
      <c r="V39" s="121">
        <f>IF(OR((Lecturas!L37-Lecturas!K37) &lt; 0), "", Lecturas!L37-Lecturas!K37)</f>
        <v>1.613</v>
      </c>
      <c r="W39" s="126">
        <f t="shared" si="11"/>
        <v>19.71646426</v>
      </c>
      <c r="X39" s="121">
        <f>IF(OR((Lecturas!M37-Lecturas!L37) &lt; 0), "", Lecturas!M37-Lecturas!L37)</f>
        <v>1.188</v>
      </c>
      <c r="Y39" s="126">
        <f t="shared" si="12"/>
        <v>14.41563914</v>
      </c>
      <c r="Z39" s="121">
        <f>IF(OR((Lecturas!N37-Lecturas!M37) &lt;= 0), "", Lecturas!N37-Lecturas!M37)</f>
        <v>2.383</v>
      </c>
      <c r="AA39" s="126">
        <f t="shared" si="13"/>
        <v>33.56770453</v>
      </c>
      <c r="AB39" s="121">
        <f>IF(OR((Lecturas!O37-Lecturas!N37) &lt; 0), "", Lecturas!O37-Lecturas!N37)</f>
        <v>1.347</v>
      </c>
      <c r="AC39" s="126">
        <f t="shared" si="14"/>
        <v>17.30496166</v>
      </c>
      <c r="AD39" s="121">
        <f>IF(OR((Lecturas!P37-Lecturas!O37) &lt; 0), "", Lecturas!P37-Lecturas!O37)</f>
        <v>1.121</v>
      </c>
      <c r="AE39" s="126">
        <f t="shared" si="15"/>
        <v>14.10014697</v>
      </c>
      <c r="AF39" s="121">
        <f>IF((Lecturas!Q37-Lecturas!P37)&lt;= 0,"",Lecturas!Q37-Lecturas!P37)</f>
        <v>1.201</v>
      </c>
      <c r="AG39" s="126">
        <f t="shared" si="16"/>
        <v>17.11172887</v>
      </c>
      <c r="AH39" s="121">
        <f>IF((Lecturas!R37-Lecturas!Q37)&lt;= 0,"",Lecturas!R37-Lecturas!Q37)</f>
        <v>1.583</v>
      </c>
      <c r="AI39" s="126">
        <f t="shared" si="17"/>
        <v>22.02579333</v>
      </c>
      <c r="AJ39" s="121">
        <f>IF((Lecturas!S37-Lecturas!R37)&lt;= 0,"",Lecturas!S37-Lecturas!R37)</f>
        <v>2.265</v>
      </c>
      <c r="AK39" s="126">
        <f t="shared" si="18"/>
        <v>32.63352887</v>
      </c>
      <c r="AL39" s="121">
        <f>IF((Lecturas!T37-Lecturas!S37)&lt;= 0,"",Lecturas!T37-Lecturas!S37)</f>
        <v>3.434</v>
      </c>
      <c r="AM39" s="126">
        <f t="shared" si="19"/>
        <v>34.09557988</v>
      </c>
      <c r="AN39" s="121">
        <f>IF((Lecturas!U37-Lecturas!T37)&lt;= 0,"",Lecturas!U37-Lecturas!T37)</f>
        <v>1.64</v>
      </c>
      <c r="AO39" s="126">
        <f t="shared" si="20"/>
        <v>26.67122029</v>
      </c>
      <c r="AP39" s="121">
        <f>IF((Lecturas!V37-Lecturas!U37)&lt;= 0,"",Lecturas!V37-Lecturas!U37)</f>
        <v>1.374</v>
      </c>
      <c r="AQ39" s="126">
        <f t="shared" si="21"/>
        <v>18.30611786</v>
      </c>
      <c r="AR39" s="121">
        <f>IF((Lecturas!W37-Lecturas!V37)&lt;= 0,"",Lecturas!W37-Lecturas!V37)</f>
        <v>0.412</v>
      </c>
      <c r="AS39" s="126">
        <f t="shared" si="22"/>
        <v>4.868573623</v>
      </c>
      <c r="AT39" s="121">
        <f>IF((Lecturas!X37-Lecturas!W37)&lt;= 0,"",Lecturas!X37-Lecturas!W37)</f>
        <v>1.153</v>
      </c>
      <c r="AU39" s="126">
        <f t="shared" si="23"/>
        <v>13.86504727</v>
      </c>
      <c r="AV39" s="121">
        <f>IF((Lecturas!Y37-Lecturas!X37)&lt;= 0,"",Lecturas!Y37-Lecturas!X37)</f>
        <v>1.398</v>
      </c>
      <c r="AW39" s="126">
        <f t="shared" si="24"/>
        <v>17.13731696</v>
      </c>
      <c r="AX39" s="121">
        <f>IF((Lecturas!Z37-Lecturas!Y37)&lt;= 0,"0",Lecturas!Z37-Lecturas!Y37)</f>
        <v>1.466</v>
      </c>
      <c r="AY39" s="126">
        <f t="shared" si="25"/>
        <v>17.01155791</v>
      </c>
      <c r="AZ39" s="121">
        <f>IF((Lecturas!AA37-Lecturas!Z37)&lt;= 0,"0",Lecturas!AA37-Lecturas!Z37)</f>
        <v>1.645</v>
      </c>
      <c r="BA39" s="126">
        <f t="shared" si="26"/>
        <v>22.70763063</v>
      </c>
      <c r="BB39" s="144">
        <f>IF((Lecturas!AB37-Lecturas!AA37)&lt;= 0,"0",Lecturas!AB37-Lecturas!AA37)</f>
        <v>1.465</v>
      </c>
      <c r="BC39" s="126">
        <f t="shared" si="27"/>
        <v>21.95400052</v>
      </c>
      <c r="BD39" s="121">
        <f>IF((Lecturas!AC37-Lecturas!AB37)&lt;= 0,"0",Lecturas!AC37-Lecturas!AB37)</f>
        <v>1.274</v>
      </c>
      <c r="BE39" s="126">
        <f t="shared" si="28"/>
        <v>27.5375326</v>
      </c>
      <c r="BF39" s="121" t="str">
        <f>IF((Lecturas!AD37-Lecturas!AC37)&lt;= 0,"0",Lecturas!AD37-Lecturas!AC37)</f>
        <v>0</v>
      </c>
      <c r="BG39" s="126" t="str">
        <f t="shared" si="29"/>
        <v>0</v>
      </c>
      <c r="BH39" s="121" t="str">
        <f>IF((Lecturas!AE37-Lecturas!AD37)&lt;= 0,"0",Lecturas!AE37-Lecturas!AD37)</f>
        <v>0</v>
      </c>
      <c r="BI39" s="126" t="str">
        <f t="shared" si="30"/>
        <v>0</v>
      </c>
      <c r="BJ39" s="121" t="str">
        <f>IF((Lecturas!AF37-Lecturas!AE37)&lt;= 0,"0",Lecturas!AF37-Lecturas!AE37)</f>
        <v>0</v>
      </c>
      <c r="BK39" s="126" t="str">
        <f t="shared" si="31"/>
        <v>0</v>
      </c>
      <c r="BL39" s="121" t="str">
        <f>IF((Lecturas!AG37-Lecturas!AF37)&lt;= 0,"0",Lecturas!AG37-Lecturas!AF37)</f>
        <v>0</v>
      </c>
      <c r="BM39" s="126" t="str">
        <f t="shared" si="32"/>
        <v>0</v>
      </c>
      <c r="BN39" s="121" t="str">
        <f>IF((Lecturas!AH37-Lecturas!AG37)&lt;= 0,"0",Lecturas!AH37-Lecturas!AG37)</f>
        <v>0</v>
      </c>
      <c r="BO39" s="126" t="str">
        <f t="shared" si="33"/>
        <v>0</v>
      </c>
    </row>
    <row r="40" ht="21.75" customHeight="1">
      <c r="A40" s="120">
        <f t="shared" si="1"/>
        <v>0</v>
      </c>
      <c r="B40" s="121">
        <f t="shared" si="2"/>
        <v>0</v>
      </c>
      <c r="C40" s="170">
        <v>804.0</v>
      </c>
      <c r="D40" s="171" t="s">
        <v>392</v>
      </c>
      <c r="E40" s="142">
        <v>1.70800161E8</v>
      </c>
      <c r="F40" s="121">
        <f>Lecturas!D38-Lecturas!C38</f>
        <v>0</v>
      </c>
      <c r="G40" s="126">
        <f t="shared" si="3"/>
        <v>0</v>
      </c>
      <c r="H40" s="121">
        <f>IF((Lecturas!E38-Lecturas!D38) &lt; 0, "", Lecturas!E38-Lecturas!D38)</f>
        <v>0</v>
      </c>
      <c r="I40" s="126">
        <f t="shared" si="4"/>
        <v>0</v>
      </c>
      <c r="J40" s="121">
        <f>IF(OR((Lecturas!F38-Lecturas!E38) &lt; 0), "", Lecturas!F38-Lecturas!E38)</f>
        <v>0</v>
      </c>
      <c r="K40" s="126">
        <f t="shared" si="5"/>
        <v>0</v>
      </c>
      <c r="L40" s="121">
        <f>IF(OR((Lecturas!G38-Lecturas!F38) &lt; 0), "", Lecturas!G38-Lecturas!F38)</f>
        <v>0</v>
      </c>
      <c r="M40" s="126">
        <f t="shared" si="6"/>
        <v>0</v>
      </c>
      <c r="N40" s="121">
        <f>IF(OR((Lecturas!H38-Lecturas!G38) &lt; 0), "", Lecturas!H38-Lecturas!G38)</f>
        <v>0</v>
      </c>
      <c r="O40" s="126">
        <f t="shared" si="7"/>
        <v>0</v>
      </c>
      <c r="P40" s="121">
        <f>IF(OR((Lecturas!I38-Lecturas!H38) &lt; 0), "", Lecturas!I38-Lecturas!H38)</f>
        <v>0</v>
      </c>
      <c r="Q40" s="126">
        <f t="shared" si="8"/>
        <v>0</v>
      </c>
      <c r="R40" s="121">
        <f>IF(OR((Lecturas!J38-Lecturas!I38) &lt; 0), "", Lecturas!J38-Lecturas!I38)</f>
        <v>0</v>
      </c>
      <c r="S40" s="126">
        <f t="shared" si="9"/>
        <v>0</v>
      </c>
      <c r="T40" s="121">
        <f>IF(OR((Lecturas!K38-Lecturas!J38) &lt; 0), "", Lecturas!K38-Lecturas!J38)</f>
        <v>0</v>
      </c>
      <c r="U40" s="126">
        <f t="shared" si="10"/>
        <v>0</v>
      </c>
      <c r="V40" s="121">
        <f>IF(OR((Lecturas!L38-Lecturas!K38) &lt; 0), "", Lecturas!L38-Lecturas!K38)</f>
        <v>0</v>
      </c>
      <c r="W40" s="126">
        <f t="shared" si="11"/>
        <v>0</v>
      </c>
      <c r="X40" s="121">
        <f>IF(OR((Lecturas!M38-Lecturas!L38) &lt; 0), "", Lecturas!M38-Lecturas!L38)</f>
        <v>0</v>
      </c>
      <c r="Y40" s="126">
        <f t="shared" si="12"/>
        <v>0</v>
      </c>
      <c r="Z40" s="121">
        <f>IF(OR((Lecturas!N38-Lecturas!M38) &lt; 0), "", Lecturas!N38-Lecturas!M38)</f>
        <v>0</v>
      </c>
      <c r="AA40" s="126">
        <f t="shared" si="13"/>
        <v>0</v>
      </c>
      <c r="AB40" s="121">
        <f>IF(OR((Lecturas!O38-Lecturas!N38) &lt; 0), "", Lecturas!O38-Lecturas!N38)</f>
        <v>0</v>
      </c>
      <c r="AC40" s="126">
        <f t="shared" si="14"/>
        <v>0</v>
      </c>
      <c r="AD40" s="121">
        <f>IF(OR((Lecturas!P38-Lecturas!O38) &lt; 0), "", Lecturas!P38-Lecturas!O38)</f>
        <v>0</v>
      </c>
      <c r="AE40" s="126">
        <f t="shared" si="15"/>
        <v>0</v>
      </c>
      <c r="AF40" s="121">
        <f>IF((Lecturas!Q38-Lecturas!P38)&lt; 0,"",Lecturas!Q38-Lecturas!P38)</f>
        <v>0</v>
      </c>
      <c r="AG40" s="126">
        <f t="shared" si="16"/>
        <v>0</v>
      </c>
      <c r="AH40" s="121">
        <v>0.0</v>
      </c>
      <c r="AI40" s="126">
        <f t="shared" si="17"/>
        <v>0</v>
      </c>
      <c r="AJ40" s="121">
        <v>0.0</v>
      </c>
      <c r="AK40" s="126">
        <f t="shared" si="18"/>
        <v>0</v>
      </c>
      <c r="AL40" s="121">
        <v>0.0</v>
      </c>
      <c r="AM40" s="126">
        <f t="shared" si="19"/>
        <v>0</v>
      </c>
      <c r="AN40" s="121" t="str">
        <f>IF((Lecturas!U38-Lecturas!T38)&lt;= 0,"",Lecturas!U38-Lecturas!T38)</f>
        <v/>
      </c>
      <c r="AO40" s="126">
        <f t="shared" si="20"/>
        <v>0</v>
      </c>
      <c r="AP40" s="121" t="str">
        <f>IF((Lecturas!V38-Lecturas!U38)&lt;= 0,"",Lecturas!V38-Lecturas!U38)</f>
        <v/>
      </c>
      <c r="AQ40" s="126">
        <f t="shared" si="21"/>
        <v>0</v>
      </c>
      <c r="AR40" s="121" t="str">
        <f>IF((Lecturas!W38-Lecturas!V38)&lt;= 0,"",Lecturas!W38-Lecturas!V38)</f>
        <v/>
      </c>
      <c r="AS40" s="126">
        <f t="shared" si="22"/>
        <v>0</v>
      </c>
      <c r="AT40" s="121" t="str">
        <f>IF((Lecturas!X38-Lecturas!W38)&lt;= 0,"",Lecturas!X38-Lecturas!W38)</f>
        <v/>
      </c>
      <c r="AU40" s="126">
        <f t="shared" si="23"/>
        <v>0</v>
      </c>
      <c r="AV40" s="121" t="str">
        <f>IF((Lecturas!Y38-Lecturas!X38)&lt;= 0,"",Lecturas!Y38-Lecturas!X38)</f>
        <v/>
      </c>
      <c r="AW40" s="126">
        <f t="shared" si="24"/>
        <v>0</v>
      </c>
      <c r="AX40" s="121" t="str">
        <f>IF((Lecturas!Z38-Lecturas!Y38)&lt;= 0,"0",Lecturas!Z38-Lecturas!Y38)</f>
        <v>0</v>
      </c>
      <c r="AY40" s="126">
        <f t="shared" si="25"/>
        <v>0</v>
      </c>
      <c r="AZ40" s="121" t="str">
        <f>IF((Lecturas!AA38-Lecturas!Z38)&lt;= 0,"0",Lecturas!AA38-Lecturas!Z38)</f>
        <v>0</v>
      </c>
      <c r="BA40" s="126">
        <f t="shared" si="26"/>
        <v>0</v>
      </c>
      <c r="BB40" s="159" t="str">
        <f>IF((Lecturas!AB38-Lecturas!AA38)&lt;= 0,"0",Lecturas!AB38-Lecturas!AA38)</f>
        <v>0</v>
      </c>
      <c r="BC40" s="126">
        <f t="shared" si="27"/>
        <v>0</v>
      </c>
      <c r="BD40" s="121" t="str">
        <f>IF((Lecturas!AC38-Lecturas!AB38)&lt;= 0,"0",Lecturas!AC38-Lecturas!AB38)</f>
        <v>0</v>
      </c>
      <c r="BE40" s="126">
        <f t="shared" si="28"/>
        <v>0</v>
      </c>
      <c r="BF40" s="121" t="str">
        <f>IF((Lecturas!AD38-Lecturas!AC38)&lt;= 0,"0",Lecturas!AD38-Lecturas!AC38)</f>
        <v>0</v>
      </c>
      <c r="BG40" s="126" t="str">
        <f t="shared" si="29"/>
        <v>0</v>
      </c>
      <c r="BH40" s="121" t="str">
        <f>IF((Lecturas!AE38-Lecturas!AD38)&lt;= 0,"0",Lecturas!AE38-Lecturas!AD38)</f>
        <v>0</v>
      </c>
      <c r="BI40" s="126" t="str">
        <f t="shared" si="30"/>
        <v>0</v>
      </c>
      <c r="BJ40" s="121" t="str">
        <f>IF((Lecturas!AF38-Lecturas!AE38)&lt;= 0,"0",Lecturas!AF38-Lecturas!AE38)</f>
        <v>0</v>
      </c>
      <c r="BK40" s="126" t="str">
        <f t="shared" si="31"/>
        <v>0</v>
      </c>
      <c r="BL40" s="121" t="str">
        <f>IF((Lecturas!AG38-Lecturas!AF38)&lt;= 0,"0",Lecturas!AG38-Lecturas!AF38)</f>
        <v>0</v>
      </c>
      <c r="BM40" s="126" t="str">
        <f t="shared" si="32"/>
        <v>0</v>
      </c>
      <c r="BN40" s="121" t="str">
        <f>IF((Lecturas!AH38-Lecturas!AG38)&lt;= 0,"0",Lecturas!AH38-Lecturas!AG38)</f>
        <v>0</v>
      </c>
      <c r="BO40" s="126" t="str">
        <f t="shared" si="33"/>
        <v>0</v>
      </c>
    </row>
    <row r="41" ht="15.75" customHeight="1">
      <c r="A41" s="120">
        <f t="shared" si="1"/>
        <v>153.7</v>
      </c>
      <c r="B41" s="121">
        <f t="shared" si="2"/>
        <v>10.788</v>
      </c>
      <c r="C41" s="74">
        <v>901.0</v>
      </c>
      <c r="D41" s="123" t="s">
        <v>396</v>
      </c>
      <c r="E41" s="75">
        <v>2033963.0</v>
      </c>
      <c r="F41" s="121">
        <f>Lecturas!D39-Lecturas!C39</f>
        <v>1.096</v>
      </c>
      <c r="G41" s="126">
        <f t="shared" si="3"/>
        <v>24.48017624</v>
      </c>
      <c r="H41" s="121">
        <f>IF((Lecturas!E39-Lecturas!D39) &lt; 0, "", Lecturas!E39-Lecturas!D39)</f>
        <v>1.077</v>
      </c>
      <c r="I41" s="126">
        <f t="shared" si="4"/>
        <v>19.24134766</v>
      </c>
      <c r="J41" s="121">
        <f>IF(OR((Lecturas!F39-Lecturas!E39) &lt;= 0), "", Lecturas!F39-Lecturas!E39)</f>
        <v>1.285</v>
      </c>
      <c r="K41" s="126">
        <f t="shared" si="5"/>
        <v>15.62666007</v>
      </c>
      <c r="L41" s="121">
        <f>IF(OR((Lecturas!G39-Lecturas!F39) &lt;= 0), "", Lecturas!G39-Lecturas!F39)</f>
        <v>3.782</v>
      </c>
      <c r="M41" s="126">
        <f t="shared" si="6"/>
        <v>59.03942772</v>
      </c>
      <c r="N41" s="121">
        <f>IF(OR((Lecturas!H39-Lecturas!G39) &lt;= 0), "", Lecturas!H39-Lecturas!G39)</f>
        <v>7.468</v>
      </c>
      <c r="O41" s="126">
        <f t="shared" si="7"/>
        <v>113.4887479</v>
      </c>
      <c r="P41" s="121">
        <f>IF(OR((Lecturas!I39-Lecturas!H39) &lt;= 0), "", Lecturas!I39-Lecturas!H39)</f>
        <v>5.827</v>
      </c>
      <c r="Q41" s="126">
        <f t="shared" si="8"/>
        <v>86.47819742</v>
      </c>
      <c r="R41" s="121">
        <f>IF(OR((Lecturas!J39-Lecturas!I39) &lt;= 0), "", Lecturas!J39-Lecturas!I39)</f>
        <v>4.661</v>
      </c>
      <c r="S41" s="126">
        <f t="shared" si="9"/>
        <v>77.23989037</v>
      </c>
      <c r="T41" s="121">
        <f>IF(OR((Lecturas!K39-Lecturas!J39) &lt;= 0), "", Lecturas!K39-Lecturas!J39)</f>
        <v>3.362</v>
      </c>
      <c r="U41" s="126">
        <f t="shared" si="10"/>
        <v>59.04365872</v>
      </c>
      <c r="V41" s="121">
        <f>IF(OR((Lecturas!L39-Lecturas!K39) &lt; 0), "", Lecturas!L39-Lecturas!K39)</f>
        <v>3.67</v>
      </c>
      <c r="W41" s="126">
        <f t="shared" si="11"/>
        <v>44.86015116</v>
      </c>
      <c r="X41" s="121">
        <f>IF(OR((Lecturas!M39-Lecturas!L39) &lt; 0), "", Lecturas!M39-Lecturas!L39)</f>
        <v>3.185</v>
      </c>
      <c r="Y41" s="126">
        <f t="shared" si="12"/>
        <v>38.64798876</v>
      </c>
      <c r="Z41" s="121">
        <f>IF(OR((Lecturas!N39-Lecturas!M39) &lt;= 0), "", Lecturas!N39-Lecturas!M39)</f>
        <v>4.707</v>
      </c>
      <c r="AA41" s="126">
        <f t="shared" si="13"/>
        <v>66.30431608</v>
      </c>
      <c r="AB41" s="121">
        <f>IF(OR((Lecturas!O39-Lecturas!N39) &lt; 0), "", Lecturas!O39-Lecturas!N39)</f>
        <v>6.165</v>
      </c>
      <c r="AC41" s="126">
        <f t="shared" si="14"/>
        <v>79.20199602</v>
      </c>
      <c r="AD41" s="121">
        <f>IF(OR((Lecturas!P39-Lecturas!O39) &lt; 0), "", Lecturas!P39-Lecturas!O39)</f>
        <v>7.801</v>
      </c>
      <c r="AE41" s="126">
        <f t="shared" si="15"/>
        <v>98.12243224</v>
      </c>
      <c r="AF41" s="121">
        <f>IF((Lecturas!Q39-Lecturas!P39)&lt;= 0,"",Lecturas!Q39-Lecturas!P39)</f>
        <v>10.788</v>
      </c>
      <c r="AG41" s="126">
        <f t="shared" si="16"/>
        <v>153.7063539</v>
      </c>
      <c r="AH41" s="121">
        <f>IF((Lecturas!R39-Lecturas!Q39)&lt;= 0,"",Lecturas!R39-Lecturas!Q39)</f>
        <v>9.588</v>
      </c>
      <c r="AI41" s="126">
        <f t="shared" si="17"/>
        <v>133.407016</v>
      </c>
      <c r="AJ41" s="121">
        <f>IF((Lecturas!S39-Lecturas!R39)&lt;= 0,"",Lecturas!S39-Lecturas!R39)</f>
        <v>8.768</v>
      </c>
      <c r="AK41" s="126">
        <f t="shared" si="18"/>
        <v>126.3270557</v>
      </c>
      <c r="AL41" s="121">
        <f>IF((Lecturas!T39-Lecturas!S39)&lt;= 0,"",Lecturas!T39-Lecturas!S39)</f>
        <v>10.093</v>
      </c>
      <c r="AM41" s="126">
        <f t="shared" si="19"/>
        <v>100.2116155</v>
      </c>
      <c r="AN41" s="121">
        <f>IF((Lecturas!U39-Lecturas!T39)&lt;= 0,"",Lecturas!U39-Lecturas!T39)</f>
        <v>1.124</v>
      </c>
      <c r="AO41" s="126">
        <f t="shared" si="20"/>
        <v>18.27954366</v>
      </c>
      <c r="AP41" s="121">
        <f>IF((Lecturas!V39-Lecturas!U39)&lt;= 0,"",Lecturas!V39-Lecturas!U39)</f>
        <v>1.383</v>
      </c>
      <c r="AQ41" s="126">
        <f t="shared" si="21"/>
        <v>18.42602693</v>
      </c>
      <c r="AR41" s="121">
        <f>IF((Lecturas!W39-Lecturas!V39)&lt;= 0,"",Lecturas!W39-Lecturas!V39)</f>
        <v>0.449</v>
      </c>
      <c r="AS41" s="126">
        <f t="shared" si="22"/>
        <v>5.305799895</v>
      </c>
      <c r="AT41" s="121">
        <f>IF((Lecturas!X39-Lecturas!W39)&lt;= 0,"",Lecturas!X39-Lecturas!W39)</f>
        <v>0.824</v>
      </c>
      <c r="AU41" s="126">
        <f t="shared" si="23"/>
        <v>9.90875885</v>
      </c>
      <c r="AV41" s="121">
        <f>IF((Lecturas!Y39-Lecturas!X39)&lt;= 0,"",Lecturas!Y39-Lecturas!X39)</f>
        <v>1.078</v>
      </c>
      <c r="AW41" s="126">
        <f t="shared" si="24"/>
        <v>13.21461208</v>
      </c>
      <c r="AX41" s="121">
        <f>IF((Lecturas!Z39-Lecturas!Y39)&lt;= 0,"0",Lecturas!Z39-Lecturas!Y39)</f>
        <v>0.842</v>
      </c>
      <c r="AY41" s="126">
        <f t="shared" si="25"/>
        <v>9.770621938</v>
      </c>
      <c r="AZ41" s="121">
        <f>IF((Lecturas!AA39-Lecturas!Z39)&lt;= 0,"0",Lecturas!AA39-Lecturas!Z39)</f>
        <v>0.957</v>
      </c>
      <c r="BA41" s="126">
        <f t="shared" si="26"/>
        <v>13.21045745</v>
      </c>
      <c r="BB41" s="144">
        <f>IF((Lecturas!AB39-Lecturas!AA39)&lt;= 0,"0",Lecturas!AB39-Lecturas!AA39)</f>
        <v>0.839</v>
      </c>
      <c r="BC41" s="126">
        <f t="shared" si="27"/>
        <v>12.57297368</v>
      </c>
      <c r="BD41" s="121">
        <f>IF((Lecturas!AC39-Lecturas!AB39)&lt;= 0,"0",Lecturas!AC39-Lecturas!AB39)</f>
        <v>0.899</v>
      </c>
      <c r="BE41" s="126">
        <f t="shared" si="28"/>
        <v>19.43190095</v>
      </c>
      <c r="BF41" s="121" t="str">
        <f>IF((Lecturas!AD39-Lecturas!AC39)&lt;= 0,"0",Lecturas!AD39-Lecturas!AC39)</f>
        <v>0</v>
      </c>
      <c r="BG41" s="126" t="str">
        <f t="shared" si="29"/>
        <v>0</v>
      </c>
      <c r="BH41" s="121" t="str">
        <f>IF((Lecturas!AE39-Lecturas!AD39)&lt;= 0,"0",Lecturas!AE39-Lecturas!AD39)</f>
        <v>0</v>
      </c>
      <c r="BI41" s="126" t="str">
        <f t="shared" si="30"/>
        <v>0</v>
      </c>
      <c r="BJ41" s="121" t="str">
        <f>IF((Lecturas!AF39-Lecturas!AE39)&lt;= 0,"0",Lecturas!AF39-Lecturas!AE39)</f>
        <v>0</v>
      </c>
      <c r="BK41" s="126" t="str">
        <f t="shared" si="31"/>
        <v>0</v>
      </c>
      <c r="BL41" s="121" t="str">
        <f>IF((Lecturas!AG39-Lecturas!AF39)&lt;= 0,"0",Lecturas!AG39-Lecturas!AF39)</f>
        <v>0</v>
      </c>
      <c r="BM41" s="126" t="str">
        <f t="shared" si="32"/>
        <v>0</v>
      </c>
      <c r="BN41" s="121" t="str">
        <f>IF((Lecturas!AH39-Lecturas!AG39)&lt;= 0,"0",Lecturas!AH39-Lecturas!AG39)</f>
        <v>0</v>
      </c>
      <c r="BO41" s="126" t="str">
        <f t="shared" si="33"/>
        <v>0</v>
      </c>
    </row>
    <row r="42" ht="15.75" customHeight="1">
      <c r="A42" s="120">
        <f t="shared" si="1"/>
        <v>0</v>
      </c>
      <c r="B42" s="121">
        <f t="shared" si="2"/>
        <v>0</v>
      </c>
      <c r="C42" s="74">
        <v>902.0</v>
      </c>
      <c r="D42" s="123" t="s">
        <v>397</v>
      </c>
      <c r="E42" s="75" t="s">
        <v>246</v>
      </c>
      <c r="F42" s="121">
        <f>Lecturas!D40-Lecturas!C40</f>
        <v>0</v>
      </c>
      <c r="G42" s="126">
        <f t="shared" si="3"/>
        <v>0</v>
      </c>
      <c r="H42" s="121">
        <f>IF((Lecturas!E40-Lecturas!D40) &lt; 0, "", Lecturas!E40-Lecturas!D40)</f>
        <v>0</v>
      </c>
      <c r="I42" s="126">
        <f t="shared" si="4"/>
        <v>0</v>
      </c>
      <c r="J42" s="121">
        <f>IF(OR((Lecturas!F40-Lecturas!E40) &lt; 0), "", Lecturas!F40-Lecturas!E40)</f>
        <v>0</v>
      </c>
      <c r="K42" s="126">
        <f t="shared" si="5"/>
        <v>0</v>
      </c>
      <c r="L42" s="121">
        <f>IF(OR((Lecturas!G40-Lecturas!F40) &lt; 0), "", Lecturas!G40-Lecturas!F40)</f>
        <v>0</v>
      </c>
      <c r="M42" s="126">
        <f t="shared" si="6"/>
        <v>0</v>
      </c>
      <c r="N42" s="121">
        <f>IF(OR((Lecturas!H40-Lecturas!G40) &lt; 0), "", Lecturas!H40-Lecturas!G40)</f>
        <v>0</v>
      </c>
      <c r="O42" s="126">
        <f t="shared" si="7"/>
        <v>0</v>
      </c>
      <c r="P42" s="121">
        <f>IF(OR((Lecturas!I40-Lecturas!H40) &lt; 0), "", Lecturas!I40-Lecturas!H40)</f>
        <v>0</v>
      </c>
      <c r="Q42" s="126">
        <f t="shared" si="8"/>
        <v>0</v>
      </c>
      <c r="R42" s="121">
        <f>IF(OR((Lecturas!J40-Lecturas!I40) &lt; 0), "", Lecturas!J40-Lecturas!I40)</f>
        <v>0</v>
      </c>
      <c r="S42" s="126">
        <f t="shared" si="9"/>
        <v>0</v>
      </c>
      <c r="T42" s="121">
        <f>IF(OR((Lecturas!K40-Lecturas!J40) &lt; 0), "", Lecturas!K40-Lecturas!J40)</f>
        <v>0</v>
      </c>
      <c r="U42" s="126">
        <f t="shared" si="10"/>
        <v>0</v>
      </c>
      <c r="V42" s="121">
        <f>IF(OR((Lecturas!L40-Lecturas!K40) &lt; 0), "", Lecturas!L40-Lecturas!K40)</f>
        <v>0</v>
      </c>
      <c r="W42" s="126">
        <f t="shared" si="11"/>
        <v>0</v>
      </c>
      <c r="X42" s="121">
        <f>IF(OR((Lecturas!M40-Lecturas!L40) &lt; 0), "", Lecturas!M40-Lecturas!L40)</f>
        <v>0</v>
      </c>
      <c r="Y42" s="126">
        <f t="shared" si="12"/>
        <v>0</v>
      </c>
      <c r="Z42" s="121">
        <f>IF(OR((Lecturas!N40-Lecturas!M40) &lt; 0), "", Lecturas!N40-Lecturas!M40)</f>
        <v>0</v>
      </c>
      <c r="AA42" s="126">
        <f t="shared" si="13"/>
        <v>0</v>
      </c>
      <c r="AB42" s="121">
        <f>IF(OR((Lecturas!O40-Lecturas!N40) &lt; 0), "", Lecturas!O40-Lecturas!N40)</f>
        <v>0</v>
      </c>
      <c r="AC42" s="126">
        <f t="shared" si="14"/>
        <v>0</v>
      </c>
      <c r="AD42" s="121">
        <f>IF(OR((Lecturas!P40-Lecturas!O40) &lt; 0), "", Lecturas!P40-Lecturas!O40)</f>
        <v>0</v>
      </c>
      <c r="AE42" s="126">
        <f t="shared" si="15"/>
        <v>0</v>
      </c>
      <c r="AF42" s="121">
        <f>IF((Lecturas!Q40-Lecturas!P40)&lt; 0,"",Lecturas!Q40-Lecturas!P40)</f>
        <v>0</v>
      </c>
      <c r="AG42" s="126">
        <f t="shared" si="16"/>
        <v>0</v>
      </c>
      <c r="AH42" s="121">
        <f>IF((Lecturas!R40-Lecturas!Q40)&lt;= 0,"",Lecturas!R40-Lecturas!Q40)</f>
        <v>0.013</v>
      </c>
      <c r="AI42" s="126">
        <f t="shared" si="17"/>
        <v>0.180881436</v>
      </c>
      <c r="AJ42" s="121">
        <v>0.0</v>
      </c>
      <c r="AK42" s="126">
        <f t="shared" si="18"/>
        <v>0</v>
      </c>
      <c r="AL42" s="121">
        <v>0.0</v>
      </c>
      <c r="AM42" s="126">
        <f t="shared" si="19"/>
        <v>0</v>
      </c>
      <c r="AN42" s="121" t="str">
        <f>IF((Lecturas!U40-Lecturas!T40)&lt;= 0,"",Lecturas!U40-Lecturas!T40)</f>
        <v/>
      </c>
      <c r="AO42" s="126">
        <f t="shared" si="20"/>
        <v>0</v>
      </c>
      <c r="AP42" s="121" t="str">
        <f>IF((Lecturas!V40-Lecturas!U40)&lt;= 0,"",Lecturas!V40-Lecturas!U40)</f>
        <v/>
      </c>
      <c r="AQ42" s="126">
        <f t="shared" si="21"/>
        <v>0</v>
      </c>
      <c r="AR42" s="121">
        <f>IF((Lecturas!W40-Lecturas!V40)&lt;= 0,"",Lecturas!W40-Lecturas!V40)</f>
        <v>0.001</v>
      </c>
      <c r="AS42" s="126">
        <f t="shared" si="22"/>
        <v>0.01181692627</v>
      </c>
      <c r="AT42" s="121">
        <f>IF((Lecturas!X40-Lecturas!W40)&lt;= 0,"",Lecturas!X40-Lecturas!W40)</f>
        <v>0.072</v>
      </c>
      <c r="AU42" s="126">
        <f t="shared" si="23"/>
        <v>0.8658138801</v>
      </c>
      <c r="AV42" s="121">
        <f>IF((Lecturas!Y40-Lecturas!X40)&lt;= 0,"",Lecturas!Y40-Lecturas!X40)</f>
        <v>0.199</v>
      </c>
      <c r="AW42" s="126">
        <f t="shared" si="24"/>
        <v>2.439432099</v>
      </c>
      <c r="AX42" s="121">
        <f>IF((Lecturas!Z40-Lecturas!Y40)&lt;= 0,"0",Lecturas!Z40-Lecturas!Y40)</f>
        <v>0.123</v>
      </c>
      <c r="AY42" s="126">
        <f t="shared" si="25"/>
        <v>1.427299879</v>
      </c>
      <c r="AZ42" s="121">
        <f>IF((Lecturas!AA40-Lecturas!Z40)&lt;= 0,"0",Lecturas!AA40-Lecturas!Z40)</f>
        <v>0.197</v>
      </c>
      <c r="BA42" s="126">
        <f t="shared" si="26"/>
        <v>2.719394063</v>
      </c>
      <c r="BB42" s="144">
        <f>IF((Lecturas!AB40-Lecturas!AA40)&lt;= 0,"0",Lecturas!AB40-Lecturas!AA40)</f>
        <v>2.332</v>
      </c>
      <c r="BC42" s="126">
        <f t="shared" si="27"/>
        <v>34.94657284</v>
      </c>
      <c r="BD42" s="121">
        <f>IF((Lecturas!AC40-Lecturas!AB40)&lt;= 0,"0",Lecturas!AC40-Lecturas!AB40)</f>
        <v>3.536</v>
      </c>
      <c r="BE42" s="126">
        <f t="shared" si="28"/>
        <v>76.43070272</v>
      </c>
      <c r="BF42" s="121" t="str">
        <f>IF((Lecturas!AD40-Lecturas!AC40)&lt;= 0,"0",Lecturas!AD40-Lecturas!AC40)</f>
        <v>0</v>
      </c>
      <c r="BG42" s="126" t="str">
        <f t="shared" si="29"/>
        <v>0</v>
      </c>
      <c r="BH42" s="121" t="str">
        <f>IF((Lecturas!AE40-Lecturas!AD40)&lt;= 0,"0",Lecturas!AE40-Lecturas!AD40)</f>
        <v>0</v>
      </c>
      <c r="BI42" s="126" t="str">
        <f t="shared" si="30"/>
        <v>0</v>
      </c>
      <c r="BJ42" s="121" t="str">
        <f>IF((Lecturas!AF40-Lecturas!AE40)&lt;= 0,"0",Lecturas!AF40-Lecturas!AE40)</f>
        <v>0</v>
      </c>
      <c r="BK42" s="126" t="str">
        <f t="shared" si="31"/>
        <v>0</v>
      </c>
      <c r="BL42" s="121" t="str">
        <f>IF((Lecturas!AG40-Lecturas!AF40)&lt;= 0,"0",Lecturas!AG40-Lecturas!AF40)</f>
        <v>0</v>
      </c>
      <c r="BM42" s="126" t="str">
        <f t="shared" si="32"/>
        <v>0</v>
      </c>
      <c r="BN42" s="121" t="str">
        <f>IF((Lecturas!AH40-Lecturas!AG40)&lt;= 0,"0",Lecturas!AH40-Lecturas!AG40)</f>
        <v>0</v>
      </c>
      <c r="BO42" s="126" t="str">
        <f t="shared" si="33"/>
        <v>0</v>
      </c>
    </row>
    <row r="43" ht="17.25" customHeight="1">
      <c r="A43" s="120">
        <f t="shared" si="1"/>
        <v>20.3</v>
      </c>
      <c r="B43" s="121">
        <f t="shared" si="2"/>
        <v>1.426</v>
      </c>
      <c r="C43" s="74">
        <v>903.0</v>
      </c>
      <c r="D43" s="123" t="s">
        <v>398</v>
      </c>
      <c r="E43" s="75">
        <v>2034024.0</v>
      </c>
      <c r="F43" s="121">
        <f>Lecturas!D41-Lecturas!C41</f>
        <v>1.269</v>
      </c>
      <c r="G43" s="126">
        <f t="shared" si="3"/>
        <v>28.34429165</v>
      </c>
      <c r="H43" s="121">
        <f>IF((Lecturas!E41-Lecturas!D41) &lt; 0, "", Lecturas!E41-Lecturas!D41)</f>
        <v>1.521</v>
      </c>
      <c r="I43" s="126">
        <f t="shared" si="4"/>
        <v>27.17371382</v>
      </c>
      <c r="J43" s="121">
        <f>IF(OR((Lecturas!F41-Lecturas!E41) &lt;= 0), "", Lecturas!F41-Lecturas!E41)</f>
        <v>2.094</v>
      </c>
      <c r="K43" s="126">
        <f t="shared" si="5"/>
        <v>25.46476746</v>
      </c>
      <c r="L43" s="121">
        <f>IF(OR((Lecturas!G41-Lecturas!F41) &lt;= 0), "", Lecturas!G41-Lecturas!F41)</f>
        <v>1.49</v>
      </c>
      <c r="M43" s="126">
        <f t="shared" si="6"/>
        <v>23.25984857</v>
      </c>
      <c r="N43" s="121">
        <f>IF(OR((Lecturas!H41-Lecturas!G41) &lt;= 0), "", Lecturas!H41-Lecturas!G41)</f>
        <v>1.266</v>
      </c>
      <c r="O43" s="126">
        <f t="shared" si="7"/>
        <v>19.23898699</v>
      </c>
      <c r="P43" s="121">
        <f>IF(OR((Lecturas!I41-Lecturas!H41) &lt;= 0), "", Lecturas!I41-Lecturas!H41)</f>
        <v>1.394</v>
      </c>
      <c r="Q43" s="126">
        <f t="shared" si="8"/>
        <v>20.68827994</v>
      </c>
      <c r="R43" s="121">
        <f>IF(OR((Lecturas!J41-Lecturas!I41) &lt;= 0), "", Lecturas!J41-Lecturas!I41)</f>
        <v>1.876</v>
      </c>
      <c r="S43" s="126">
        <f t="shared" si="9"/>
        <v>31.08818587</v>
      </c>
      <c r="T43" s="121">
        <f>IF(OR((Lecturas!K41-Lecturas!J41) &lt;= 0), "", Lecturas!K41-Lecturas!J41)</f>
        <v>1.334</v>
      </c>
      <c r="U43" s="126">
        <f t="shared" si="10"/>
        <v>23.4277932</v>
      </c>
      <c r="V43" s="121">
        <f>IF(OR((Lecturas!L41-Lecturas!K41) &lt; 0), "", Lecturas!L41-Lecturas!K41)</f>
        <v>1.54</v>
      </c>
      <c r="W43" s="126">
        <f t="shared" si="11"/>
        <v>18.82415062</v>
      </c>
      <c r="X43" s="121">
        <f>IF(OR((Lecturas!M41-Lecturas!L41) &lt; 0), "", Lecturas!M41-Lecturas!L41)</f>
        <v>2.339</v>
      </c>
      <c r="Y43" s="126">
        <f t="shared" si="12"/>
        <v>28.38230635</v>
      </c>
      <c r="Z43" s="121">
        <f>IF(OR((Lecturas!N41-Lecturas!M41) &lt;= 0), "", Lecturas!N41-Lecturas!M41)</f>
        <v>2.527</v>
      </c>
      <c r="AA43" s="126">
        <f t="shared" si="13"/>
        <v>35.59613485</v>
      </c>
      <c r="AB43" s="121">
        <f>IF(OR((Lecturas!O41-Lecturas!N41) &lt; 0), "", Lecturas!O41-Lecturas!N41)</f>
        <v>1.888</v>
      </c>
      <c r="AC43" s="126">
        <f t="shared" si="14"/>
        <v>24.25520981</v>
      </c>
      <c r="AD43" s="121">
        <f>IF(OR((Lecturas!P41-Lecturas!O41) &lt; 0), "", Lecturas!P41-Lecturas!O41)</f>
        <v>1.835</v>
      </c>
      <c r="AE43" s="126">
        <f t="shared" si="15"/>
        <v>23.08097208</v>
      </c>
      <c r="AF43" s="121">
        <f>IF((Lecturas!Q41-Lecturas!P41)&lt;= 0,"",Lecturas!Q41-Lecturas!P41)</f>
        <v>1.426</v>
      </c>
      <c r="AG43" s="126">
        <f t="shared" si="16"/>
        <v>20.31750655</v>
      </c>
      <c r="AH43" s="121">
        <f>IF((Lecturas!R41-Lecturas!Q41)&lt;= 0,"",Lecturas!R41-Lecturas!Q41)</f>
        <v>1.76</v>
      </c>
      <c r="AI43" s="126">
        <f t="shared" si="17"/>
        <v>24.48856365</v>
      </c>
      <c r="AJ43" s="121">
        <f>IF((Lecturas!S41-Lecturas!R41)&lt;= 0,"",Lecturas!S41-Lecturas!R41)</f>
        <v>1.462</v>
      </c>
      <c r="AK43" s="126">
        <f t="shared" si="18"/>
        <v>21.06411444</v>
      </c>
      <c r="AL43" s="121">
        <f>IF((Lecturas!T41-Lecturas!S41)&lt;= 0,"",Lecturas!T41-Lecturas!S41)</f>
        <v>2.119</v>
      </c>
      <c r="AM43" s="126">
        <f t="shared" si="19"/>
        <v>21.03917698</v>
      </c>
      <c r="AN43" s="121">
        <f>IF((Lecturas!U41-Lecturas!T41)&lt;= 0,"",Lecturas!U41-Lecturas!T41)</f>
        <v>1.101</v>
      </c>
      <c r="AO43" s="126">
        <f t="shared" si="20"/>
        <v>17.90549606</v>
      </c>
      <c r="AP43" s="121">
        <f>IF((Lecturas!V41-Lecturas!U41)&lt;= 0,"",Lecturas!V41-Lecturas!U41)</f>
        <v>0.803</v>
      </c>
      <c r="AQ43" s="126">
        <f t="shared" si="21"/>
        <v>10.6985536</v>
      </c>
      <c r="AR43" s="121">
        <f>IF((Lecturas!W41-Lecturas!V41)&lt;= 0,"",Lecturas!W41-Lecturas!V41)</f>
        <v>1.254</v>
      </c>
      <c r="AS43" s="126">
        <f t="shared" si="22"/>
        <v>14.81842554</v>
      </c>
      <c r="AT43" s="121">
        <f>IF((Lecturas!X41-Lecturas!W41)&lt;= 0,"",Lecturas!X41-Lecturas!W41)</f>
        <v>3.596</v>
      </c>
      <c r="AU43" s="126">
        <f t="shared" si="23"/>
        <v>43.24259323</v>
      </c>
      <c r="AV43" s="121">
        <f>IF((Lecturas!Y41-Lecturas!X41)&lt;= 0,"",Lecturas!Y41-Lecturas!X41)</f>
        <v>1.91</v>
      </c>
      <c r="AW43" s="126">
        <f t="shared" si="24"/>
        <v>23.41364477</v>
      </c>
      <c r="AX43" s="121">
        <f>IF((Lecturas!Z41-Lecturas!Y41)&lt;= 0,"0",Lecturas!Z41-Lecturas!Y41)</f>
        <v>1.173</v>
      </c>
      <c r="AY43" s="126">
        <f t="shared" si="25"/>
        <v>13.61156714</v>
      </c>
      <c r="AZ43" s="121">
        <f>IF((Lecturas!AA41-Lecturas!Z41)&lt;= 0,"0",Lecturas!AA41-Lecturas!Z41)</f>
        <v>1.654</v>
      </c>
      <c r="BA43" s="126">
        <f t="shared" si="26"/>
        <v>22.83186691</v>
      </c>
      <c r="BB43" s="144">
        <f>IF((Lecturas!AB41-Lecturas!AA41)&lt;= 0,"0",Lecturas!AB41-Lecturas!AA41)</f>
        <v>1.673</v>
      </c>
      <c r="BC43" s="126">
        <f t="shared" si="27"/>
        <v>25.07101903</v>
      </c>
      <c r="BD43" s="121">
        <f>IF((Lecturas!AC41-Lecturas!AB41)&lt;= 0,"0",Lecturas!AC41-Lecturas!AB41)</f>
        <v>1.561</v>
      </c>
      <c r="BE43" s="126">
        <f t="shared" si="28"/>
        <v>33.74104269</v>
      </c>
      <c r="BF43" s="121" t="str">
        <f>IF((Lecturas!AD41-Lecturas!AC41)&lt;= 0,"0",Lecturas!AD41-Lecturas!AC41)</f>
        <v>0</v>
      </c>
      <c r="BG43" s="126" t="str">
        <f t="shared" si="29"/>
        <v>0</v>
      </c>
      <c r="BH43" s="121" t="str">
        <f>IF((Lecturas!AE41-Lecturas!AD41)&lt;= 0,"0",Lecturas!AE41-Lecturas!AD41)</f>
        <v>0</v>
      </c>
      <c r="BI43" s="126" t="str">
        <f t="shared" si="30"/>
        <v>0</v>
      </c>
      <c r="BJ43" s="121" t="str">
        <f>IF((Lecturas!AF41-Lecturas!AE41)&lt;= 0,"0",Lecturas!AF41-Lecturas!AE41)</f>
        <v>0</v>
      </c>
      <c r="BK43" s="126" t="str">
        <f t="shared" si="31"/>
        <v>0</v>
      </c>
      <c r="BL43" s="121" t="str">
        <f>IF((Lecturas!AG41-Lecturas!AF41)&lt;= 0,"0",Lecturas!AG41-Lecturas!AF41)</f>
        <v>0</v>
      </c>
      <c r="BM43" s="126" t="str">
        <f t="shared" si="32"/>
        <v>0</v>
      </c>
      <c r="BN43" s="121" t="str">
        <f>IF((Lecturas!AH41-Lecturas!AG41)&lt;= 0,"0",Lecturas!AH41-Lecturas!AG41)</f>
        <v>0</v>
      </c>
      <c r="BO43" s="126" t="str">
        <f t="shared" si="33"/>
        <v>0</v>
      </c>
    </row>
    <row r="44" ht="15.75" customHeight="1">
      <c r="A44" s="310">
        <f t="shared" si="1"/>
        <v>48.7</v>
      </c>
      <c r="B44" s="311">
        <f t="shared" si="2"/>
        <v>3.417</v>
      </c>
      <c r="C44" s="157">
        <v>1002.0</v>
      </c>
      <c r="D44" s="312" t="s">
        <v>399</v>
      </c>
      <c r="E44" s="158">
        <v>2034091.0</v>
      </c>
      <c r="F44" s="311">
        <f>Lecturas!D42-Lecturas!C42</f>
        <v>2.809</v>
      </c>
      <c r="G44" s="313">
        <f t="shared" si="3"/>
        <v>62.74161959</v>
      </c>
      <c r="H44" s="311">
        <f>IF((Lecturas!E42-Lecturas!D42) &lt; 0, "", Lecturas!E42-Lecturas!D42)</f>
        <v>5.825</v>
      </c>
      <c r="I44" s="313">
        <f t="shared" si="4"/>
        <v>104.0676417</v>
      </c>
      <c r="J44" s="311">
        <f>IF(OR((Lecturas!F42-Lecturas!E42) &lt;= 0), "", Lecturas!F42-Lecturas!E42)</f>
        <v>4.547</v>
      </c>
      <c r="K44" s="313">
        <f t="shared" si="5"/>
        <v>55.29527108</v>
      </c>
      <c r="L44" s="311">
        <f>IF(OR((Lecturas!G42-Lecturas!F42) &lt;= 0), "", Lecturas!G42-Lecturas!F42)</f>
        <v>3.962</v>
      </c>
      <c r="M44" s="313">
        <f t="shared" si="6"/>
        <v>61.84934231</v>
      </c>
      <c r="N44" s="311">
        <f>IF(OR((Lecturas!H42-Lecturas!G42) &lt;= 0), "", Lecturas!H42-Lecturas!G42)</f>
        <v>4.756</v>
      </c>
      <c r="O44" s="313">
        <f t="shared" si="7"/>
        <v>72.27537294</v>
      </c>
      <c r="P44" s="311">
        <f>IF(OR((Lecturas!I42-Lecturas!H42) &lt;= 0), "", Lecturas!I42-Lecturas!H42)</f>
        <v>2.542</v>
      </c>
      <c r="Q44" s="313">
        <f t="shared" si="8"/>
        <v>37.72568695</v>
      </c>
      <c r="R44" s="311">
        <f>IF(OR((Lecturas!J42-Lecturas!I42) &lt;= 0), "", Lecturas!J42-Lecturas!I42)</f>
        <v>2.802</v>
      </c>
      <c r="S44" s="313">
        <f t="shared" si="9"/>
        <v>46.43342047</v>
      </c>
      <c r="T44" s="311">
        <f>IF(OR((Lecturas!K42-Lecturas!J42) &lt;= 0), "", Lecturas!K42-Lecturas!J42)</f>
        <v>2.357</v>
      </c>
      <c r="U44" s="313">
        <f t="shared" si="10"/>
        <v>41.39378453</v>
      </c>
      <c r="V44" s="311">
        <f>IF(OR((Lecturas!L42-Lecturas!K42) &lt; 0), "", Lecturas!L42-Lecturas!K42)</f>
        <v>3.272</v>
      </c>
      <c r="W44" s="313">
        <f t="shared" si="11"/>
        <v>39.99520833</v>
      </c>
      <c r="X44" s="311">
        <f>IF(OR((Lecturas!M42-Lecturas!L42) &lt; 0), "", Lecturas!M42-Lecturas!L42)</f>
        <v>3.734</v>
      </c>
      <c r="Y44" s="313">
        <f t="shared" si="12"/>
        <v>45.3097614</v>
      </c>
      <c r="Z44" s="311">
        <f>IF(OR((Lecturas!N42-Lecturas!M42) &lt;= 0), "", Lecturas!N42-Lecturas!M42)</f>
        <v>3.339</v>
      </c>
      <c r="AA44" s="313">
        <f t="shared" si="13"/>
        <v>47.03422804</v>
      </c>
      <c r="AB44" s="311">
        <f>IF(OR((Lecturas!O42-Lecturas!N42) &lt; 0), "", Lecturas!O42-Lecturas!N42)</f>
        <v>2.553</v>
      </c>
      <c r="AC44" s="313">
        <f t="shared" si="14"/>
        <v>32.79849081</v>
      </c>
      <c r="AD44" s="311">
        <f>IF(OR((Lecturas!P42-Lecturas!O42) &lt; 0), "", Lecturas!P42-Lecturas!O42)</f>
        <v>3.463</v>
      </c>
      <c r="AE44" s="313">
        <f t="shared" si="15"/>
        <v>43.55825956</v>
      </c>
      <c r="AF44" s="311">
        <f>IF((Lecturas!Q42-Lecturas!P42)&lt;= 0,"",Lecturas!Q42-Lecturas!P42)</f>
        <v>3.417</v>
      </c>
      <c r="AG44" s="313">
        <f t="shared" si="16"/>
        <v>48.68507707</v>
      </c>
      <c r="AH44" s="311">
        <f>IF((Lecturas!R42-Lecturas!Q42)&lt;= 0,"",Lecturas!R42-Lecturas!Q42)</f>
        <v>3.182</v>
      </c>
      <c r="AI44" s="313">
        <f t="shared" si="17"/>
        <v>44.27420996</v>
      </c>
      <c r="AJ44" s="311">
        <f>IF((Lecturas!S42-Lecturas!R42)&lt;= 0,"",Lecturas!S42-Lecturas!R42)</f>
        <v>3.059</v>
      </c>
      <c r="AK44" s="313">
        <f t="shared" si="18"/>
        <v>44.07327364</v>
      </c>
      <c r="AL44" s="311">
        <f>IF((Lecturas!T42-Lecturas!S42)&lt;= 0,"",Lecturas!T42-Lecturas!S42)</f>
        <v>4.491</v>
      </c>
      <c r="AM44" s="313">
        <f t="shared" si="19"/>
        <v>44.59034631</v>
      </c>
      <c r="AN44" s="311">
        <f>IF((Lecturas!U42-Lecturas!T42)&lt;= 0,"",Lecturas!U42-Lecturas!T42)</f>
        <v>2.716</v>
      </c>
      <c r="AO44" s="313">
        <f t="shared" si="20"/>
        <v>44.17014287</v>
      </c>
      <c r="AP44" s="311">
        <f>IF((Lecturas!V42-Lecturas!U42)&lt;= 0,"",Lecturas!V42-Lecturas!U42)</f>
        <v>0.918</v>
      </c>
      <c r="AQ44" s="313">
        <f t="shared" si="21"/>
        <v>12.23072503</v>
      </c>
      <c r="AR44" s="121">
        <f>IF((Lecturas!W42-Lecturas!V42)&lt;= 0,"",Lecturas!W42-Lecturas!V42)</f>
        <v>1.442</v>
      </c>
      <c r="AS44" s="126">
        <f t="shared" si="22"/>
        <v>17.04000768</v>
      </c>
      <c r="AT44" s="121">
        <f>IF((Lecturas!X42-Lecturas!W42)&lt;= 0,"",Lecturas!X42-Lecturas!W42)</f>
        <v>0.192</v>
      </c>
      <c r="AU44" s="126">
        <f t="shared" si="23"/>
        <v>2.308837014</v>
      </c>
      <c r="AV44" s="121">
        <f>IF((Lecturas!Y42-Lecturas!X42)&lt;= 0,"",Lecturas!Y42-Lecturas!X42)</f>
        <v>12.381</v>
      </c>
      <c r="AW44" s="126">
        <f t="shared" si="24"/>
        <v>151.7719036</v>
      </c>
      <c r="AX44" s="121">
        <f>IF((Lecturas!Z42-Lecturas!Y42)&lt;= 0,"0",Lecturas!Z42-Lecturas!Y42)</f>
        <v>4.411</v>
      </c>
      <c r="AY44" s="126">
        <f t="shared" si="25"/>
        <v>51.18552657</v>
      </c>
      <c r="AZ44" s="121">
        <f>IF((Lecturas!AA42-Lecturas!Z42)&lt;= 0,"0",Lecturas!AA42-Lecturas!Z42)</f>
        <v>4.485</v>
      </c>
      <c r="BA44" s="126">
        <f t="shared" si="26"/>
        <v>61.91107803</v>
      </c>
      <c r="BB44" s="144">
        <f>IF((Lecturas!AB42-Lecturas!AA42)&lt;= 0,"0",Lecturas!AB42-Lecturas!AA42)</f>
        <v>1.656</v>
      </c>
      <c r="BC44" s="126">
        <f t="shared" si="27"/>
        <v>24.81626271</v>
      </c>
      <c r="BD44" s="121">
        <f>IF((Lecturas!AC42-Lecturas!AB42)&lt;= 0,"0",Lecturas!AC42-Lecturas!AB42)</f>
        <v>1.234</v>
      </c>
      <c r="BE44" s="313">
        <f t="shared" si="28"/>
        <v>26.67293189</v>
      </c>
      <c r="BF44" s="311" t="str">
        <f>IF((Lecturas!AD42-Lecturas!AC42)&lt;= 0,"0",Lecturas!AD42-Lecturas!AC42)</f>
        <v>0</v>
      </c>
      <c r="BG44" s="313" t="str">
        <f t="shared" si="29"/>
        <v>0</v>
      </c>
      <c r="BH44" s="311" t="str">
        <f>IF((Lecturas!AE42-Lecturas!AD42)&lt;= 0,"0",Lecturas!AE42-Lecturas!AD42)</f>
        <v>0</v>
      </c>
      <c r="BI44" s="313" t="str">
        <f t="shared" si="30"/>
        <v>0</v>
      </c>
      <c r="BJ44" s="311" t="str">
        <f>IF((Lecturas!AF42-Lecturas!AE42)&lt;= 0,"0",Lecturas!AF42-Lecturas!AE42)</f>
        <v>0</v>
      </c>
      <c r="BK44" s="313" t="str">
        <f t="shared" si="31"/>
        <v>0</v>
      </c>
      <c r="BL44" s="311" t="str">
        <f>IF((Lecturas!AG42-Lecturas!AF42)&lt;= 0,"0",Lecturas!AG42-Lecturas!AF42)</f>
        <v>0</v>
      </c>
      <c r="BM44" s="313" t="str">
        <f t="shared" si="32"/>
        <v>0</v>
      </c>
      <c r="BN44" s="311" t="str">
        <f>IF((Lecturas!AH42-Lecturas!AG42)&lt;= 0,"0",Lecturas!AH42-Lecturas!AG42)</f>
        <v>0</v>
      </c>
      <c r="BO44" s="313" t="str">
        <f t="shared" si="33"/>
        <v>0</v>
      </c>
    </row>
    <row r="45" ht="15.75" customHeight="1">
      <c r="A45" s="310">
        <f t="shared" si="1"/>
        <v>185.3</v>
      </c>
      <c r="B45" s="311">
        <f t="shared" si="2"/>
        <v>13.002</v>
      </c>
      <c r="C45" s="157">
        <v>1001.0</v>
      </c>
      <c r="D45" s="312" t="s">
        <v>400</v>
      </c>
      <c r="E45" s="158">
        <v>2034086.0</v>
      </c>
      <c r="F45" s="311">
        <f>Lecturas!D43-Lecturas!C43</f>
        <v>3.942</v>
      </c>
      <c r="G45" s="313">
        <f t="shared" si="3"/>
        <v>88.04822514</v>
      </c>
      <c r="H45" s="311">
        <f>IF((Lecturas!E43-Lecturas!D43) &lt; 0, "", Lecturas!E43-Lecturas!D43)</f>
        <v>6.134</v>
      </c>
      <c r="I45" s="313">
        <f t="shared" si="4"/>
        <v>109.5881398</v>
      </c>
      <c r="J45" s="311">
        <f>IF(OR((Lecturas!F43-Lecturas!E43) &lt;= 0), "", Lecturas!F43-Lecturas!E43)</f>
        <v>3.979</v>
      </c>
      <c r="K45" s="313">
        <f t="shared" si="5"/>
        <v>48.3879225</v>
      </c>
      <c r="L45" s="311">
        <f>IF(OR((Lecturas!G43-Lecturas!F43) &lt;= 0), "", Lecturas!G43-Lecturas!F43)</f>
        <v>8.023</v>
      </c>
      <c r="M45" s="313">
        <f t="shared" si="6"/>
        <v>125.2441377</v>
      </c>
      <c r="N45" s="311">
        <f>IF(OR((Lecturas!H43-Lecturas!G43) &lt;= 0), "", Lecturas!H43-Lecturas!G43)</f>
        <v>9.18</v>
      </c>
      <c r="O45" s="313">
        <f t="shared" si="7"/>
        <v>139.5054507</v>
      </c>
      <c r="P45" s="311">
        <f>IF(OR((Lecturas!I43-Lecturas!H43) &lt;= 0), "", Lecturas!I43-Lecturas!H43)</f>
        <v>9.009</v>
      </c>
      <c r="Q45" s="313">
        <f t="shared" si="8"/>
        <v>133.7020904</v>
      </c>
      <c r="R45" s="311">
        <f>IF(OR((Lecturas!J43-Lecturas!I43) &lt;= 0), "", Lecturas!J43-Lecturas!I43)</f>
        <v>10.824</v>
      </c>
      <c r="S45" s="313">
        <f t="shared" si="9"/>
        <v>179.3702153</v>
      </c>
      <c r="T45" s="311">
        <f>IF(OR((Lecturas!K43-Lecturas!J43) &lt;= 0), "", Lecturas!K43-Lecturas!J43)</f>
        <v>5.58</v>
      </c>
      <c r="U45" s="313">
        <f t="shared" si="10"/>
        <v>97.99631638</v>
      </c>
      <c r="V45" s="311">
        <f>IF(OR((Lecturas!L43-Lecturas!K43) &lt; 0), "", Lecturas!L43-Lecturas!K43)</f>
        <v>9.051</v>
      </c>
      <c r="W45" s="313">
        <f t="shared" si="11"/>
        <v>110.6346671</v>
      </c>
      <c r="X45" s="311">
        <f>IF(OR((Lecturas!M43-Lecturas!L43) &lt; 0), "", Lecturas!M43-Lecturas!L43)</f>
        <v>11.233</v>
      </c>
      <c r="Y45" s="313">
        <f t="shared" si="12"/>
        <v>136.3054499</v>
      </c>
      <c r="Z45" s="311">
        <f>IF(OR((Lecturas!N43-Lecturas!M43) &lt;= 0), "", Lecturas!N43-Lecturas!M43)</f>
        <v>10.231</v>
      </c>
      <c r="AA45" s="313">
        <f t="shared" si="13"/>
        <v>144.117157</v>
      </c>
      <c r="AB45" s="311">
        <f>IF(OR((Lecturas!O43-Lecturas!N43) &lt; 0), "", Lecturas!O43-Lecturas!N43)</f>
        <v>11.277</v>
      </c>
      <c r="AC45" s="313">
        <f t="shared" si="14"/>
        <v>144.8760599</v>
      </c>
      <c r="AD45" s="311">
        <f>IF(OR((Lecturas!P43-Lecturas!O43) &lt; 0), "", Lecturas!P43-Lecturas!O43)</f>
        <v>10.19</v>
      </c>
      <c r="AE45" s="313">
        <f t="shared" si="15"/>
        <v>128.1717196</v>
      </c>
      <c r="AF45" s="311">
        <f>IF((Lecturas!Q43-Lecturas!P43)&lt;= 0,"",Lecturas!Q43-Lecturas!P43)</f>
        <v>13.002</v>
      </c>
      <c r="AG45" s="313">
        <f t="shared" si="16"/>
        <v>185.2512063</v>
      </c>
      <c r="AH45" s="311">
        <f>IF((Lecturas!R43-Lecturas!Q43)&lt;= 0,"",Lecturas!R43-Lecturas!Q43)</f>
        <v>11.04</v>
      </c>
      <c r="AI45" s="313">
        <f t="shared" si="17"/>
        <v>153.6100811</v>
      </c>
      <c r="AJ45" s="311">
        <f>IF((Lecturas!S43-Lecturas!R43)&lt;= 0,"",Lecturas!S43-Lecturas!R43)</f>
        <v>10.104</v>
      </c>
      <c r="AK45" s="313">
        <f t="shared" si="18"/>
        <v>145.575795</v>
      </c>
      <c r="AL45" s="311">
        <f>IF((Lecturas!T43-Lecturas!S43)&lt;= 0,"",Lecturas!T43-Lecturas!S43)</f>
        <v>9.762</v>
      </c>
      <c r="AM45" s="313">
        <f t="shared" si="19"/>
        <v>96.92517495</v>
      </c>
      <c r="AN45" s="311">
        <f>IF((Lecturas!U43-Lecturas!T43)&lt;= 0,"",Lecturas!U43-Lecturas!T43)</f>
        <v>9.882</v>
      </c>
      <c r="AO45" s="313">
        <f t="shared" si="20"/>
        <v>160.7103652</v>
      </c>
      <c r="AP45" s="311">
        <f>IF((Lecturas!V43-Lecturas!U43)&lt;= 0,"",Lecturas!V43-Lecturas!U43)</f>
        <v>10.17</v>
      </c>
      <c r="AQ45" s="313">
        <f t="shared" si="21"/>
        <v>135.4972479</v>
      </c>
      <c r="AR45" s="121">
        <f>IF((Lecturas!W43-Lecturas!V43)&lt;= 0,"",Lecturas!W43-Lecturas!V43)</f>
        <v>6.997</v>
      </c>
      <c r="AS45" s="126">
        <f t="shared" si="22"/>
        <v>82.68303311</v>
      </c>
      <c r="AT45" s="121">
        <f>IF((Lecturas!X43-Lecturas!W43)&lt;= 0,"",Lecturas!X43-Lecturas!W43)</f>
        <v>12.742</v>
      </c>
      <c r="AU45" s="126">
        <f t="shared" si="23"/>
        <v>153.2250064</v>
      </c>
      <c r="AV45" s="121">
        <f>IF((Lecturas!Y43-Lecturas!X43)&lt;= 0,"",Lecturas!Y43-Lecturas!X43)</f>
        <v>12.606</v>
      </c>
      <c r="AW45" s="126">
        <f t="shared" si="24"/>
        <v>154.5300555</v>
      </c>
      <c r="AX45" s="121">
        <f>IF((Lecturas!Z43-Lecturas!Y43)&lt;= 0,"0",Lecturas!Z43-Lecturas!Y43)</f>
        <v>11.177</v>
      </c>
      <c r="AY45" s="126">
        <f t="shared" si="25"/>
        <v>129.698624</v>
      </c>
      <c r="AZ45" s="121">
        <f>IF((Lecturas!AA43-Lecturas!Z43)&lt;= 0,"0",Lecturas!AA43-Lecturas!Z43)</f>
        <v>12.765</v>
      </c>
      <c r="BA45" s="126">
        <f t="shared" si="26"/>
        <v>176.2084529</v>
      </c>
      <c r="BB45" s="144">
        <f>IF((Lecturas!AB43-Lecturas!AA43)&lt;= 0,"0",Lecturas!AB43-Lecturas!AA43)</f>
        <v>11.601</v>
      </c>
      <c r="BC45" s="126">
        <f t="shared" si="27"/>
        <v>173.8487099</v>
      </c>
      <c r="BD45" s="121">
        <f>IF((Lecturas!AC43-Lecturas!AB43)&lt;= 0,"0",Lecturas!AC43-Lecturas!AB43)</f>
        <v>7.461</v>
      </c>
      <c r="BE45" s="313">
        <f t="shared" si="28"/>
        <v>161.2696473</v>
      </c>
      <c r="BF45" s="311" t="str">
        <f>IF((Lecturas!AD43-Lecturas!AC43)&lt;= 0,"0",Lecturas!AD43-Lecturas!AC43)</f>
        <v>0</v>
      </c>
      <c r="BG45" s="313" t="str">
        <f t="shared" si="29"/>
        <v>0</v>
      </c>
      <c r="BH45" s="311" t="str">
        <f>IF((Lecturas!AE43-Lecturas!AD43)&lt;= 0,"0",Lecturas!AE43-Lecturas!AD43)</f>
        <v>0</v>
      </c>
      <c r="BI45" s="313" t="str">
        <f t="shared" si="30"/>
        <v>0</v>
      </c>
      <c r="BJ45" s="311" t="str">
        <f>IF((Lecturas!AF43-Lecturas!AE43)&lt;= 0,"0",Lecturas!AF43-Lecturas!AE43)</f>
        <v>0</v>
      </c>
      <c r="BK45" s="313" t="str">
        <f t="shared" si="31"/>
        <v>0</v>
      </c>
      <c r="BL45" s="311" t="str">
        <f>IF((Lecturas!AG43-Lecturas!AF43)&lt;= 0,"0",Lecturas!AG43-Lecturas!AF43)</f>
        <v>0</v>
      </c>
      <c r="BM45" s="313" t="str">
        <f t="shared" si="32"/>
        <v>0</v>
      </c>
      <c r="BN45" s="311" t="str">
        <f>IF((Lecturas!AH43-Lecturas!AG43)&lt;= 0,"0",Lecturas!AH43-Lecturas!AG43)</f>
        <v>0</v>
      </c>
      <c r="BO45" s="313" t="str">
        <f t="shared" si="33"/>
        <v>0</v>
      </c>
    </row>
    <row r="46" ht="15.75" customHeight="1">
      <c r="A46" s="120">
        <f t="shared" si="1"/>
        <v>0</v>
      </c>
      <c r="B46" s="121">
        <f t="shared" si="2"/>
        <v>0</v>
      </c>
      <c r="C46" s="74">
        <v>1003.0</v>
      </c>
      <c r="D46" s="123" t="s">
        <v>401</v>
      </c>
      <c r="E46" s="75">
        <v>2034021.0</v>
      </c>
      <c r="F46" s="121">
        <f>Lecturas!D44-Lecturas!C44</f>
        <v>0</v>
      </c>
      <c r="G46" s="126">
        <f t="shared" si="3"/>
        <v>0</v>
      </c>
      <c r="H46" s="121">
        <f>IF((Lecturas!E44-Lecturas!D44) &lt; 0, "", Lecturas!E44-Lecturas!D44)</f>
        <v>0</v>
      </c>
      <c r="I46" s="126">
        <f t="shared" si="4"/>
        <v>0</v>
      </c>
      <c r="J46" s="121">
        <f>IF(OR((Lecturas!F44-Lecturas!E44) &lt; 0), "", Lecturas!F44-Lecturas!E44)</f>
        <v>0</v>
      </c>
      <c r="K46" s="126">
        <f t="shared" si="5"/>
        <v>0</v>
      </c>
      <c r="L46" s="121">
        <f>IF(OR((Lecturas!G44-Lecturas!F44) &lt; 0), "", Lecturas!G44-Lecturas!F44)</f>
        <v>0</v>
      </c>
      <c r="M46" s="126">
        <f t="shared" si="6"/>
        <v>0</v>
      </c>
      <c r="N46" s="121">
        <f>IF(OR((Lecturas!H44-Lecturas!G44) &lt; 0), "", Lecturas!H44-Lecturas!G44)</f>
        <v>0</v>
      </c>
      <c r="O46" s="126">
        <f t="shared" si="7"/>
        <v>0</v>
      </c>
      <c r="P46" s="121">
        <f>IF(OR((Lecturas!I44-Lecturas!H44) &lt; 0), "", Lecturas!I44-Lecturas!H44)</f>
        <v>0</v>
      </c>
      <c r="Q46" s="126">
        <f t="shared" si="8"/>
        <v>0</v>
      </c>
      <c r="R46" s="121">
        <f>IF(OR((Lecturas!J44-Lecturas!I44) &lt; 0), "", Lecturas!J44-Lecturas!I44)</f>
        <v>0</v>
      </c>
      <c r="S46" s="126">
        <f t="shared" si="9"/>
        <v>0</v>
      </c>
      <c r="T46" s="121">
        <f>IF(OR((Lecturas!K44-Lecturas!J44) &lt; 0), "", Lecturas!K44-Lecturas!J44)</f>
        <v>0</v>
      </c>
      <c r="U46" s="126">
        <f t="shared" si="10"/>
        <v>0</v>
      </c>
      <c r="V46" s="121">
        <f>IF(OR((Lecturas!L44-Lecturas!K44) &lt; 0), "", Lecturas!L44-Lecturas!K44)</f>
        <v>0</v>
      </c>
      <c r="W46" s="126">
        <f t="shared" si="11"/>
        <v>0</v>
      </c>
      <c r="X46" s="121">
        <f>IF(OR((Lecturas!M44-Lecturas!L44) &lt; 0), "", Lecturas!M44-Lecturas!L44)</f>
        <v>0</v>
      </c>
      <c r="Y46" s="126">
        <f t="shared" si="12"/>
        <v>0</v>
      </c>
      <c r="Z46" s="121">
        <f>IF(OR((Lecturas!N44-Lecturas!M44) &lt; 0), "", Lecturas!N44-Lecturas!M44)</f>
        <v>0</v>
      </c>
      <c r="AA46" s="126">
        <f t="shared" si="13"/>
        <v>0</v>
      </c>
      <c r="AB46" s="121">
        <f>IF(OR((Lecturas!O44-Lecturas!N44) &lt; 0), "", Lecturas!O44-Lecturas!N44)</f>
        <v>0</v>
      </c>
      <c r="AC46" s="126">
        <f t="shared" si="14"/>
        <v>0</v>
      </c>
      <c r="AD46" s="121">
        <f>IF(OR((Lecturas!P44-Lecturas!O44) &lt; 0), "", Lecturas!P44-Lecturas!O44)</f>
        <v>0</v>
      </c>
      <c r="AE46" s="126">
        <f t="shared" si="15"/>
        <v>0</v>
      </c>
      <c r="AF46" s="121">
        <f>IF((Lecturas!Q44-Lecturas!P44)&lt; 0,"",Lecturas!Q44-Lecturas!P44)</f>
        <v>0</v>
      </c>
      <c r="AG46" s="126">
        <f t="shared" si="16"/>
        <v>0</v>
      </c>
      <c r="AH46" s="121">
        <v>0.0</v>
      </c>
      <c r="AI46" s="126">
        <f t="shared" si="17"/>
        <v>0</v>
      </c>
      <c r="AJ46" s="121">
        <v>0.0</v>
      </c>
      <c r="AK46" s="126">
        <f t="shared" si="18"/>
        <v>0</v>
      </c>
      <c r="AL46" s="121">
        <v>0.0</v>
      </c>
      <c r="AM46" s="126">
        <f t="shared" si="19"/>
        <v>0</v>
      </c>
      <c r="AN46" s="121" t="str">
        <f>IF((Lecturas!U44-Lecturas!T44)&lt;= 0,"",Lecturas!U44-Lecturas!T44)</f>
        <v/>
      </c>
      <c r="AO46" s="126">
        <f t="shared" si="20"/>
        <v>0</v>
      </c>
      <c r="AP46" s="121" t="str">
        <f>IF((Lecturas!V44-Lecturas!U44)&lt;= 0,"",Lecturas!V44-Lecturas!U44)</f>
        <v/>
      </c>
      <c r="AQ46" s="126">
        <f t="shared" si="21"/>
        <v>0</v>
      </c>
      <c r="AR46" s="121" t="str">
        <f>IF((Lecturas!W44-Lecturas!V44)&lt;= 0,"",Lecturas!W44-Lecturas!V44)</f>
        <v/>
      </c>
      <c r="AS46" s="126">
        <f t="shared" si="22"/>
        <v>0</v>
      </c>
      <c r="AT46" s="121" t="str">
        <f>IF((Lecturas!X44-Lecturas!W44)&lt;= 0,"",Lecturas!X44-Lecturas!W44)</f>
        <v/>
      </c>
      <c r="AU46" s="126">
        <f t="shared" si="23"/>
        <v>0</v>
      </c>
      <c r="AV46" s="121" t="str">
        <f>IF((Lecturas!Y44-Lecturas!X44)&lt;= 0,"",Lecturas!Y44-Lecturas!X44)</f>
        <v/>
      </c>
      <c r="AW46" s="126">
        <f t="shared" si="24"/>
        <v>0</v>
      </c>
      <c r="AX46" s="121" t="str">
        <f>IF((Lecturas!Z44-Lecturas!Y44)&lt;= 0,"0",Lecturas!Z44-Lecturas!Y44)</f>
        <v>0</v>
      </c>
      <c r="AY46" s="126">
        <f t="shared" si="25"/>
        <v>0</v>
      </c>
      <c r="AZ46" s="121" t="str">
        <f>IF((Lecturas!AA44-Lecturas!Z44)&lt;= 0,"0",Lecturas!AA44-Lecturas!Z44)</f>
        <v>0</v>
      </c>
      <c r="BA46" s="126">
        <f t="shared" si="26"/>
        <v>0</v>
      </c>
      <c r="BB46" s="159" t="str">
        <f>IF((Lecturas!AB44-Lecturas!AA44)&lt;= 0,"0",Lecturas!AB44-Lecturas!AA44)</f>
        <v>0</v>
      </c>
      <c r="BC46" s="126">
        <f t="shared" si="27"/>
        <v>0</v>
      </c>
      <c r="BD46" s="121" t="str">
        <f>IF((Lecturas!AC44-Lecturas!AB44)&lt;= 0,"0",Lecturas!AC44-Lecturas!AB44)</f>
        <v>0</v>
      </c>
      <c r="BE46" s="126">
        <f t="shared" si="28"/>
        <v>0</v>
      </c>
      <c r="BF46" s="121" t="str">
        <f>IF((Lecturas!AD44-Lecturas!AC44)&lt;= 0,"0",Lecturas!AD44-Lecturas!AC44)</f>
        <v>0</v>
      </c>
      <c r="BG46" s="126" t="str">
        <f t="shared" si="29"/>
        <v>0</v>
      </c>
      <c r="BH46" s="121" t="str">
        <f>IF((Lecturas!AE44-Lecturas!AD44)&lt;= 0,"0",Lecturas!AE44-Lecturas!AD44)</f>
        <v>0</v>
      </c>
      <c r="BI46" s="126" t="str">
        <f t="shared" si="30"/>
        <v>0</v>
      </c>
      <c r="BJ46" s="121" t="str">
        <f>IF((Lecturas!AF44-Lecturas!AE44)&lt;= 0,"0",Lecturas!AF44-Lecturas!AE44)</f>
        <v>0</v>
      </c>
      <c r="BK46" s="126" t="str">
        <f t="shared" si="31"/>
        <v>0</v>
      </c>
      <c r="BL46" s="121" t="str">
        <f>IF((Lecturas!AG44-Lecturas!AF44)&lt;= 0,"0",Lecturas!AG44-Lecturas!AF44)</f>
        <v>0</v>
      </c>
      <c r="BM46" s="126" t="str">
        <f t="shared" si="32"/>
        <v>0</v>
      </c>
      <c r="BN46" s="121" t="str">
        <f>IF((Lecturas!AH44-Lecturas!AG44)&lt;= 0,"0",Lecturas!AH44-Lecturas!AG44)</f>
        <v>0</v>
      </c>
      <c r="BO46" s="126" t="str">
        <f t="shared" si="33"/>
        <v>0</v>
      </c>
    </row>
    <row r="47" ht="15.75" customHeight="1">
      <c r="A47" s="120">
        <f t="shared" si="1"/>
        <v>30.6</v>
      </c>
      <c r="B47" s="121">
        <f t="shared" si="2"/>
        <v>2.151</v>
      </c>
      <c r="C47" s="74">
        <v>1101.0</v>
      </c>
      <c r="D47" s="123" t="s">
        <v>402</v>
      </c>
      <c r="E47" s="75">
        <v>2034054.0</v>
      </c>
      <c r="F47" s="121">
        <f>Lecturas!D45-Lecturas!C45</f>
        <v>2.691</v>
      </c>
      <c r="G47" s="126">
        <f t="shared" si="3"/>
        <v>60.10598017</v>
      </c>
      <c r="H47" s="121">
        <f>IF((Lecturas!E45-Lecturas!D45) &lt; 0, "", Lecturas!E45-Lecturas!D45)</f>
        <v>2.584</v>
      </c>
      <c r="I47" s="126">
        <f t="shared" si="4"/>
        <v>46.16494182</v>
      </c>
      <c r="J47" s="121">
        <f>IF(OR((Lecturas!F45-Lecturas!E45) &lt;= 0), "", Lecturas!F45-Lecturas!E45)</f>
        <v>1.279</v>
      </c>
      <c r="K47" s="126">
        <f t="shared" si="5"/>
        <v>15.55369512</v>
      </c>
      <c r="L47" s="121">
        <f>IF(OR((Lecturas!G45-Lecturas!F45) &lt;= 0), "", Lecturas!G45-Lecturas!F45)</f>
        <v>2.624</v>
      </c>
      <c r="M47" s="126">
        <f t="shared" si="6"/>
        <v>40.96231051</v>
      </c>
      <c r="N47" s="121">
        <f>IF(OR((Lecturas!H45-Lecturas!G45) &lt;= 0), "", Lecturas!H45-Lecturas!G45)</f>
        <v>3.159</v>
      </c>
      <c r="O47" s="126">
        <f t="shared" si="7"/>
        <v>48.00628745</v>
      </c>
      <c r="P47" s="121">
        <f>IF(OR((Lecturas!I45-Lecturas!H45) &lt;= 0), "", Lecturas!I45-Lecturas!H45)</f>
        <v>3.055</v>
      </c>
      <c r="Q47" s="126">
        <f t="shared" si="8"/>
        <v>45.33909269</v>
      </c>
      <c r="R47" s="121">
        <f>IF(OR((Lecturas!J45-Lecturas!I45) &lt;= 0), "", Lecturas!J45-Lecturas!I45)</f>
        <v>2.073</v>
      </c>
      <c r="S47" s="126">
        <f t="shared" si="9"/>
        <v>34.35277681</v>
      </c>
      <c r="T47" s="121">
        <f>IF(OR((Lecturas!K45-Lecturas!J45) &lt;= 0), "", Lecturas!K45-Lecturas!J45)</f>
        <v>2.402</v>
      </c>
      <c r="U47" s="126">
        <f t="shared" si="10"/>
        <v>42.18407741</v>
      </c>
      <c r="V47" s="121">
        <f>IF(OR((Lecturas!L45-Lecturas!K45) &lt; 0), "", Lecturas!L45-Lecturas!K45)</f>
        <v>1.97</v>
      </c>
      <c r="W47" s="126">
        <f t="shared" si="11"/>
        <v>24.08024463</v>
      </c>
      <c r="X47" s="121">
        <f>IF(OR((Lecturas!M45-Lecturas!L45) &lt; 0), "", Lecturas!M45-Lecturas!L45)</f>
        <v>1.959</v>
      </c>
      <c r="Y47" s="126">
        <f t="shared" si="12"/>
        <v>23.77124332</v>
      </c>
      <c r="Z47" s="121">
        <f>IF(OR((Lecturas!N45-Lecturas!M45) &lt;= 0), "", Lecturas!N45-Lecturas!M45)</f>
        <v>1.535</v>
      </c>
      <c r="AA47" s="126">
        <f t="shared" si="13"/>
        <v>21.62250376</v>
      </c>
      <c r="AB47" s="121">
        <f>IF(OR((Lecturas!O45-Lecturas!N45) &lt; 0), "", Lecturas!O45-Lecturas!N45)</f>
        <v>2.565</v>
      </c>
      <c r="AC47" s="126">
        <f t="shared" si="14"/>
        <v>32.95265528</v>
      </c>
      <c r="AD47" s="121">
        <f>IF(OR((Lecturas!P45-Lecturas!O45) &lt; 0), "", Lecturas!P45-Lecturas!O45)</f>
        <v>2.875</v>
      </c>
      <c r="AE47" s="126">
        <f t="shared" si="15"/>
        <v>36.16228595</v>
      </c>
      <c r="AF47" s="121">
        <f>IF((Lecturas!Q45-Lecturas!P45)&lt;= 0,"",Lecturas!Q45-Lecturas!P45)</f>
        <v>2.151</v>
      </c>
      <c r="AG47" s="126">
        <f t="shared" si="16"/>
        <v>30.64723464</v>
      </c>
      <c r="AH47" s="121">
        <f>IF((Lecturas!R45-Lecturas!Q45)&lt;= 0,"",Lecturas!R45-Lecturas!Q45)</f>
        <v>3.649</v>
      </c>
      <c r="AI47" s="126">
        <f t="shared" si="17"/>
        <v>50.7720277</v>
      </c>
      <c r="AJ47" s="121">
        <f>IF((Lecturas!S45-Lecturas!R45)&lt;= 0,"",Lecturas!S45-Lecturas!R45)</f>
        <v>1.949</v>
      </c>
      <c r="AK47" s="126">
        <f t="shared" si="18"/>
        <v>28.08068334</v>
      </c>
      <c r="AL47" s="121">
        <f>IF((Lecturas!T45-Lecturas!S45)&lt;= 0,"",Lecturas!T45-Lecturas!S45)</f>
        <v>4.023</v>
      </c>
      <c r="AM47" s="126">
        <f t="shared" si="19"/>
        <v>39.94365692</v>
      </c>
      <c r="AN47" s="121">
        <f>IF((Lecturas!U45-Lecturas!T45)&lt;= 0,"",Lecturas!U45-Lecturas!T45)</f>
        <v>3.352</v>
      </c>
      <c r="AO47" s="126">
        <f t="shared" si="20"/>
        <v>54.5133722</v>
      </c>
      <c r="AP47" s="121">
        <f>IF((Lecturas!V45-Lecturas!U45)&lt;= 0,"",Lecturas!V45-Lecturas!U45)</f>
        <v>3.442</v>
      </c>
      <c r="AQ47" s="126">
        <f t="shared" si="21"/>
        <v>45.85855726</v>
      </c>
      <c r="AR47" s="121">
        <f>IF((Lecturas!W45-Lecturas!V45)&lt;= 0,"",Lecturas!W45-Lecturas!V45)</f>
        <v>1.653</v>
      </c>
      <c r="AS47" s="126">
        <f t="shared" si="22"/>
        <v>19.53337912</v>
      </c>
      <c r="AT47" s="121">
        <f>IF((Lecturas!X45-Lecturas!W45)&lt;= 0,"",Lecturas!X45-Lecturas!W45)</f>
        <v>1.902</v>
      </c>
      <c r="AU47" s="126">
        <f t="shared" si="23"/>
        <v>22.87191667</v>
      </c>
      <c r="AV47" s="121">
        <f>IF((Lecturas!Y45-Lecturas!X45)&lt;= 0,"",Lecturas!Y45-Lecturas!X45)</f>
        <v>1.886</v>
      </c>
      <c r="AW47" s="126">
        <f t="shared" si="24"/>
        <v>23.11944191</v>
      </c>
      <c r="AX47" s="121">
        <f>IF((Lecturas!Z45-Lecturas!Y45)&lt;= 0,"0",Lecturas!Z45-Lecturas!Y45)</f>
        <v>2.583</v>
      </c>
      <c r="AY47" s="126">
        <f t="shared" si="25"/>
        <v>29.97329747</v>
      </c>
      <c r="AZ47" s="121">
        <f>IF((Lecturas!AA45-Lecturas!Z45)&lt;= 0,"0",Lecturas!AA45-Lecturas!Z45)</f>
        <v>2.681</v>
      </c>
      <c r="BA47" s="126">
        <f t="shared" si="26"/>
        <v>37.00860651</v>
      </c>
      <c r="BB47" s="144">
        <f>IF((Lecturas!AB45-Lecturas!AA45)&lt;= 0,"0",Lecturas!AB45-Lecturas!AA45)</f>
        <v>2.534</v>
      </c>
      <c r="BC47" s="126">
        <f t="shared" si="27"/>
        <v>37.97367735</v>
      </c>
      <c r="BD47" s="121">
        <f>IF((Lecturas!AC45-Lecturas!AB45)&lt;= 0,"0",Lecturas!AC45-Lecturas!AB45)</f>
        <v>2.26</v>
      </c>
      <c r="BE47" s="126">
        <f t="shared" si="28"/>
        <v>48.84994009</v>
      </c>
      <c r="BF47" s="121" t="str">
        <f>IF((Lecturas!AD45-Lecturas!AC45)&lt;= 0,"0",Lecturas!AD45-Lecturas!AC45)</f>
        <v>0</v>
      </c>
      <c r="BG47" s="126" t="str">
        <f t="shared" si="29"/>
        <v>0</v>
      </c>
      <c r="BH47" s="121" t="str">
        <f>IF((Lecturas!AE45-Lecturas!AD45)&lt;= 0,"0",Lecturas!AE45-Lecturas!AD45)</f>
        <v>0</v>
      </c>
      <c r="BI47" s="126" t="str">
        <f t="shared" si="30"/>
        <v>0</v>
      </c>
      <c r="BJ47" s="121" t="str">
        <f>IF((Lecturas!AF45-Lecturas!AE45)&lt;= 0,"0",Lecturas!AF45-Lecturas!AE45)</f>
        <v>0</v>
      </c>
      <c r="BK47" s="126" t="str">
        <f t="shared" si="31"/>
        <v>0</v>
      </c>
      <c r="BL47" s="121" t="str">
        <f>IF((Lecturas!AG45-Lecturas!AF45)&lt;= 0,"0",Lecturas!AG45-Lecturas!AF45)</f>
        <v>0</v>
      </c>
      <c r="BM47" s="126" t="str">
        <f t="shared" si="32"/>
        <v>0</v>
      </c>
      <c r="BN47" s="121" t="str">
        <f>IF((Lecturas!AH45-Lecturas!AG45)&lt;= 0,"0",Lecturas!AH45-Lecturas!AG45)</f>
        <v>0</v>
      </c>
      <c r="BO47" s="126" t="str">
        <f t="shared" si="33"/>
        <v>0</v>
      </c>
    </row>
    <row r="48" ht="15.75" customHeight="1">
      <c r="A48" s="120">
        <f t="shared" si="1"/>
        <v>60.5</v>
      </c>
      <c r="B48" s="121">
        <f t="shared" si="2"/>
        <v>4.246</v>
      </c>
      <c r="C48" s="74">
        <v>1102.0</v>
      </c>
      <c r="D48" s="123" t="s">
        <v>403</v>
      </c>
      <c r="E48" s="75">
        <v>2034060.0</v>
      </c>
      <c r="F48" s="121">
        <f>Lecturas!D46-Lecturas!C46</f>
        <v>4.309</v>
      </c>
      <c r="G48" s="126">
        <f t="shared" si="3"/>
        <v>96.24551043</v>
      </c>
      <c r="H48" s="121">
        <f>IF((Lecturas!E46-Lecturas!D46) &lt; 0, "", Lecturas!E46-Lecturas!D46)</f>
        <v>4.406</v>
      </c>
      <c r="I48" s="126">
        <f t="shared" si="4"/>
        <v>78.7162282</v>
      </c>
      <c r="J48" s="121">
        <f>IF(OR((Lecturas!F46-Lecturas!E46) &lt;= 0), "", Lecturas!F46-Lecturas!E46)</f>
        <v>4.319</v>
      </c>
      <c r="K48" s="126">
        <f t="shared" si="5"/>
        <v>52.52260299</v>
      </c>
      <c r="L48" s="121">
        <f>IF(OR((Lecturas!G46-Lecturas!F46) &lt;= 0), "", Lecturas!G46-Lecturas!F46)</f>
        <v>3.975</v>
      </c>
      <c r="M48" s="126">
        <f t="shared" si="6"/>
        <v>62.05228059</v>
      </c>
      <c r="N48" s="121">
        <f>IF(OR((Lecturas!H46-Lecturas!G46) &lt; 0), "", Lecturas!H46-Lecturas!G46)</f>
        <v>4.299</v>
      </c>
      <c r="O48" s="126">
        <f t="shared" si="7"/>
        <v>65.33049375</v>
      </c>
      <c r="P48" s="121">
        <f>IF(OR((Lecturas!I46-Lecturas!H46) &lt;= 0), "", Lecturas!I46-Lecturas!H46)</f>
        <v>3.892</v>
      </c>
      <c r="Q48" s="126">
        <f t="shared" si="8"/>
        <v>57.76096523</v>
      </c>
      <c r="R48" s="121">
        <f>IF(OR((Lecturas!J46-Lecturas!I46) &lt;= 0), "", Lecturas!J46-Lecturas!I46)</f>
        <v>3.259</v>
      </c>
      <c r="S48" s="126">
        <f t="shared" si="9"/>
        <v>54.00660861</v>
      </c>
      <c r="T48" s="121">
        <f>IF(OR((Lecturas!K46-Lecturas!J46) &lt; 0), "", Lecturas!K46-Lecturas!J46)</f>
        <v>0</v>
      </c>
      <c r="U48" s="126">
        <f t="shared" si="10"/>
        <v>0</v>
      </c>
      <c r="V48" s="121">
        <f>IF(OR((Lecturas!L46-Lecturas!K46) &lt; 0), "", Lecturas!L46-Lecturas!K46)</f>
        <v>0</v>
      </c>
      <c r="W48" s="126">
        <f t="shared" si="11"/>
        <v>0</v>
      </c>
      <c r="X48" s="121">
        <f>IF(OR((Lecturas!M46-Lecturas!L46) &lt; 0), "", Lecturas!M46-Lecturas!L46)</f>
        <v>0</v>
      </c>
      <c r="Y48" s="126">
        <f t="shared" si="12"/>
        <v>0</v>
      </c>
      <c r="Z48" s="121">
        <f>IF(OR((Lecturas!N46-Lecturas!M46) &lt; 0), "", Lecturas!N46-Lecturas!M46)</f>
        <v>0</v>
      </c>
      <c r="AA48" s="126">
        <f t="shared" si="13"/>
        <v>0</v>
      </c>
      <c r="AB48" s="121">
        <f>IF(OR((Lecturas!O46-Lecturas!N46) &lt; 0), "", Lecturas!O46-Lecturas!N46)</f>
        <v>4.228</v>
      </c>
      <c r="AC48" s="126">
        <f t="shared" si="14"/>
        <v>54.3172813</v>
      </c>
      <c r="AD48" s="121">
        <f>IF(OR((Lecturas!P46-Lecturas!O46) &lt; 0), "", Lecturas!P46-Lecturas!O46)</f>
        <v>3.532</v>
      </c>
      <c r="AE48" s="126">
        <f t="shared" si="15"/>
        <v>44.42615442</v>
      </c>
      <c r="AF48" s="121">
        <f>IF((Lecturas!Q46-Lecturas!P46)&lt;= 0,"",Lecturas!Q46-Lecturas!P46)</f>
        <v>4.246</v>
      </c>
      <c r="AG48" s="126">
        <f t="shared" si="16"/>
        <v>60.49658684</v>
      </c>
      <c r="AH48" s="121">
        <f>IF((Lecturas!R46-Lecturas!Q46)&lt;= 0,"",Lecturas!R46-Lecturas!Q46)</f>
        <v>3.693</v>
      </c>
      <c r="AI48" s="126">
        <f t="shared" si="17"/>
        <v>51.38424179</v>
      </c>
      <c r="AJ48" s="121">
        <f>IF((Lecturas!S46-Lecturas!R46)&lt;= 0,"",Lecturas!S46-Lecturas!R46)</f>
        <v>4.065</v>
      </c>
      <c r="AK48" s="126">
        <f t="shared" si="18"/>
        <v>58.56745909</v>
      </c>
      <c r="AL48" s="121">
        <f>IF((Lecturas!T46-Lecturas!S46)&lt;= 0,"",Lecturas!T46-Lecturas!S46)</f>
        <v>5.067</v>
      </c>
      <c r="AM48" s="126">
        <f t="shared" si="19"/>
        <v>50.30934865</v>
      </c>
      <c r="AN48" s="121">
        <f>IF((Lecturas!U46-Lecturas!T46)&lt;= 0,"",Lecturas!U46-Lecturas!T46)</f>
        <v>3.341</v>
      </c>
      <c r="AO48" s="126">
        <f t="shared" si="20"/>
        <v>54.33447987</v>
      </c>
      <c r="AP48" s="121">
        <f>IF((Lecturas!V46-Lecturas!U46)&lt;= 0,"",Lecturas!V46-Lecturas!U46)</f>
        <v>1.167</v>
      </c>
      <c r="AQ48" s="126">
        <f t="shared" si="21"/>
        <v>15.54820927</v>
      </c>
      <c r="AR48" s="121">
        <f>IF((Lecturas!W46-Lecturas!V46)&lt;= 0,"",Lecturas!W46-Lecturas!V46)</f>
        <v>1.558</v>
      </c>
      <c r="AS48" s="126">
        <f t="shared" si="22"/>
        <v>18.41077113</v>
      </c>
      <c r="AT48" s="121">
        <f>IF((Lecturas!X46-Lecturas!W46)&lt;= 0,"",Lecturas!X46-Lecturas!W46)</f>
        <v>0.001</v>
      </c>
      <c r="AU48" s="126">
        <f t="shared" si="23"/>
        <v>0.01202519278</v>
      </c>
      <c r="AV48" s="121" t="str">
        <f>IF((Lecturas!Y46-Lecturas!X46)&lt;= 0,"",Lecturas!Y46-Lecturas!X46)</f>
        <v/>
      </c>
      <c r="AW48" s="126">
        <f t="shared" si="24"/>
        <v>0</v>
      </c>
      <c r="AX48" s="121">
        <f>IF((Lecturas!Z46-Lecturas!Y46)&lt;= 0,"0",Lecturas!Z46-Lecturas!Y46)</f>
        <v>3.006</v>
      </c>
      <c r="AY48" s="126">
        <f t="shared" si="25"/>
        <v>34.88181656</v>
      </c>
      <c r="AZ48" s="121">
        <f>IF((Lecturas!AA46-Lecturas!Z46)&lt;= 0,"0",Lecturas!AA46-Lecturas!Z46)</f>
        <v>3.726</v>
      </c>
      <c r="BA48" s="126">
        <f t="shared" si="26"/>
        <v>51.43381868</v>
      </c>
      <c r="BB48" s="144">
        <f>IF((Lecturas!AB46-Lecturas!AA46)&lt;= 0,"0",Lecturas!AB46-Lecturas!AA46)</f>
        <v>3.759</v>
      </c>
      <c r="BC48" s="126">
        <f t="shared" si="27"/>
        <v>56.33111806</v>
      </c>
      <c r="BD48" s="121">
        <f>IF((Lecturas!AC46-Lecturas!AB46)&lt;= 0,"0",Lecturas!AC46-Lecturas!AB46)</f>
        <v>3.534</v>
      </c>
      <c r="BE48" s="126">
        <f t="shared" si="28"/>
        <v>76.38747269</v>
      </c>
      <c r="BF48" s="121" t="str">
        <f>IF((Lecturas!AD46-Lecturas!AC46)&lt;= 0,"0",Lecturas!AD46-Lecturas!AC46)</f>
        <v>0</v>
      </c>
      <c r="BG48" s="126" t="str">
        <f t="shared" si="29"/>
        <v>0</v>
      </c>
      <c r="BH48" s="121" t="str">
        <f>IF((Lecturas!AE46-Lecturas!AD46)&lt;= 0,"0",Lecturas!AE46-Lecturas!AD46)</f>
        <v>0</v>
      </c>
      <c r="BI48" s="126" t="str">
        <f t="shared" si="30"/>
        <v>0</v>
      </c>
      <c r="BJ48" s="121" t="str">
        <f>IF((Lecturas!AF46-Lecturas!AE46)&lt;= 0,"0",Lecturas!AF46-Lecturas!AE46)</f>
        <v>0</v>
      </c>
      <c r="BK48" s="126" t="str">
        <f t="shared" si="31"/>
        <v>0</v>
      </c>
      <c r="BL48" s="121" t="str">
        <f>IF((Lecturas!AG46-Lecturas!AF46)&lt;= 0,"0",Lecturas!AG46-Lecturas!AF46)</f>
        <v>0</v>
      </c>
      <c r="BM48" s="126" t="str">
        <f t="shared" si="32"/>
        <v>0</v>
      </c>
      <c r="BN48" s="121" t="str">
        <f>IF((Lecturas!AH46-Lecturas!AG46)&lt;= 0,"0",Lecturas!AH46-Lecturas!AG46)</f>
        <v>0</v>
      </c>
      <c r="BO48" s="126" t="str">
        <f t="shared" si="33"/>
        <v>0</v>
      </c>
    </row>
    <row r="49" ht="15.75" customHeight="1">
      <c r="A49" s="120">
        <f t="shared" si="1"/>
        <v>0</v>
      </c>
      <c r="B49" s="121">
        <f t="shared" si="2"/>
        <v>0</v>
      </c>
      <c r="C49" s="74">
        <v>1103.0</v>
      </c>
      <c r="D49" s="123" t="s">
        <v>404</v>
      </c>
      <c r="E49" s="75" t="s">
        <v>248</v>
      </c>
      <c r="F49" s="121">
        <f>Lecturas!D47-Lecturas!C47</f>
        <v>0</v>
      </c>
      <c r="G49" s="126">
        <f t="shared" si="3"/>
        <v>0</v>
      </c>
      <c r="H49" s="121">
        <f>IF((Lecturas!E47-Lecturas!D47) &lt; 0, "", Lecturas!E47-Lecturas!D47)</f>
        <v>0</v>
      </c>
      <c r="I49" s="126">
        <f t="shared" si="4"/>
        <v>0</v>
      </c>
      <c r="J49" s="121">
        <f>IF(OR((Lecturas!F47-Lecturas!E47) &lt; 0), "", Lecturas!F47-Lecturas!E47)</f>
        <v>0</v>
      </c>
      <c r="K49" s="126">
        <f t="shared" si="5"/>
        <v>0</v>
      </c>
      <c r="L49" s="121">
        <f>IF(OR((Lecturas!G47-Lecturas!F47) &lt; 0), "", Lecturas!G47-Lecturas!F47)</f>
        <v>0</v>
      </c>
      <c r="M49" s="126">
        <f t="shared" si="6"/>
        <v>0</v>
      </c>
      <c r="N49" s="121">
        <f>IF(OR((Lecturas!H47-Lecturas!G47) &lt; 0), "", Lecturas!H47-Lecturas!G47)</f>
        <v>0</v>
      </c>
      <c r="O49" s="126">
        <f t="shared" si="7"/>
        <v>0</v>
      </c>
      <c r="P49" s="121">
        <f>IF(OR((Lecturas!I47-Lecturas!H47) &lt; 0), "", Lecturas!I47-Lecturas!H47)</f>
        <v>0</v>
      </c>
      <c r="Q49" s="126">
        <f t="shared" si="8"/>
        <v>0</v>
      </c>
      <c r="R49" s="121">
        <f>IF(OR((Lecturas!J47-Lecturas!I47) &lt; 0), "", Lecturas!J47-Lecturas!I47)</f>
        <v>0</v>
      </c>
      <c r="S49" s="126">
        <f t="shared" si="9"/>
        <v>0</v>
      </c>
      <c r="T49" s="121">
        <f>IF(OR((Lecturas!K47-Lecturas!J47) &lt; 0), "", Lecturas!K47-Lecturas!J47)</f>
        <v>0</v>
      </c>
      <c r="U49" s="126">
        <f t="shared" si="10"/>
        <v>0</v>
      </c>
      <c r="V49" s="121">
        <f>IF(OR((Lecturas!L47-Lecturas!K47) &lt; 0), "", Lecturas!L47-Lecturas!K47)</f>
        <v>0</v>
      </c>
      <c r="W49" s="126">
        <f t="shared" si="11"/>
        <v>0</v>
      </c>
      <c r="X49" s="121">
        <f>IF(OR((Lecturas!M47-Lecturas!L47) &lt; 0), "", Lecturas!M47-Lecturas!L47)</f>
        <v>0</v>
      </c>
      <c r="Y49" s="126">
        <f t="shared" si="12"/>
        <v>0</v>
      </c>
      <c r="Z49" s="121">
        <f>IF(OR((Lecturas!N47-Lecturas!M47) &lt; 0), "", Lecturas!N47-Lecturas!M47)</f>
        <v>0</v>
      </c>
      <c r="AA49" s="126">
        <f t="shared" si="13"/>
        <v>0</v>
      </c>
      <c r="AB49" s="121">
        <f>IF(OR((Lecturas!O47-Lecturas!N47) &lt; 0), "", Lecturas!O47-Lecturas!N47)</f>
        <v>0</v>
      </c>
      <c r="AC49" s="126">
        <f t="shared" si="14"/>
        <v>0</v>
      </c>
      <c r="AD49" s="121">
        <f>IF(OR((Lecturas!P47-Lecturas!O47) &lt; 0), "", Lecturas!P47-Lecturas!O47)</f>
        <v>0</v>
      </c>
      <c r="AE49" s="126">
        <f t="shared" si="15"/>
        <v>0</v>
      </c>
      <c r="AF49" s="121">
        <f>IF((Lecturas!Q47-Lecturas!P47)&lt; 0,"",Lecturas!Q47-Lecturas!P47)</f>
        <v>0</v>
      </c>
      <c r="AG49" s="126">
        <f t="shared" si="16"/>
        <v>0</v>
      </c>
      <c r="AH49" s="121">
        <v>0.0</v>
      </c>
      <c r="AI49" s="126">
        <f t="shared" si="17"/>
        <v>0</v>
      </c>
      <c r="AJ49" s="121">
        <f>IF((Lecturas!S47-Lecturas!R47)&lt;= 0,"",Lecturas!S47-Lecturas!R47)</f>
        <v>0.005</v>
      </c>
      <c r="AK49" s="126">
        <f t="shared" si="18"/>
        <v>0.07203869507</v>
      </c>
      <c r="AL49" s="121" t="str">
        <f>IF((Lecturas!T47-Lecturas!S47)&lt;= 0,"",Lecturas!T47-Lecturas!S47)</f>
        <v/>
      </c>
      <c r="AM49" s="126">
        <f t="shared" si="19"/>
        <v>0</v>
      </c>
      <c r="AN49" s="121">
        <f>IF((Lecturas!U47-Lecturas!T47)&lt;= 0,"",Lecturas!U47-Lecturas!T47)</f>
        <v>1.63</v>
      </c>
      <c r="AO49" s="126">
        <f t="shared" si="20"/>
        <v>26.5085909</v>
      </c>
      <c r="AP49" s="121">
        <f>IF((Lecturas!V47-Lecturas!U47)&lt;= 0,"",Lecturas!V47-Lecturas!U47)</f>
        <v>1.086</v>
      </c>
      <c r="AQ49" s="126">
        <f t="shared" si="21"/>
        <v>14.46902765</v>
      </c>
      <c r="AR49" s="121">
        <f>IF((Lecturas!W47-Lecturas!V47)&lt;= 0,"",Lecturas!W47-Lecturas!V47)</f>
        <v>1.741</v>
      </c>
      <c r="AS49" s="126">
        <f t="shared" si="22"/>
        <v>20.57326864</v>
      </c>
      <c r="AT49" s="121">
        <f>IF((Lecturas!X47-Lecturas!W47)&lt;= 0,"",Lecturas!X47-Lecturas!W47)</f>
        <v>0.669</v>
      </c>
      <c r="AU49" s="126">
        <f t="shared" si="23"/>
        <v>8.044853969</v>
      </c>
      <c r="AV49" s="121" t="str">
        <f>IF((Lecturas!Y47-Lecturas!X47)&lt;= 0,"",Lecturas!Y47-Lecturas!X47)</f>
        <v/>
      </c>
      <c r="AW49" s="126">
        <f t="shared" si="24"/>
        <v>0</v>
      </c>
      <c r="AX49" s="121">
        <f>IF((Lecturas!Z47-Lecturas!Y47)&lt;= 0,"0",Lecturas!Z47-Lecturas!Y47)</f>
        <v>2.028</v>
      </c>
      <c r="AY49" s="126">
        <f t="shared" si="25"/>
        <v>23.53304191</v>
      </c>
      <c r="AZ49" s="121">
        <f>IF((Lecturas!AA47-Lecturas!Z47)&lt;= 0,"0",Lecturas!AA47-Lecturas!Z47)</f>
        <v>3.655</v>
      </c>
      <c r="BA49" s="126">
        <f t="shared" si="26"/>
        <v>50.45373249</v>
      </c>
      <c r="BB49" s="144">
        <f>IF((Lecturas!AB47-Lecturas!AA47)&lt;= 0,"0",Lecturas!AB47-Lecturas!AA47)</f>
        <v>2.591</v>
      </c>
      <c r="BC49" s="126">
        <f t="shared" si="27"/>
        <v>38.82786031</v>
      </c>
      <c r="BD49" s="121">
        <f>IF((Lecturas!AC47-Lecturas!AB47)&lt;= 0,"0",Lecturas!AC47-Lecturas!AB47)</f>
        <v>0.859</v>
      </c>
      <c r="BE49" s="126">
        <f t="shared" si="28"/>
        <v>18.56730024</v>
      </c>
      <c r="BF49" s="121" t="str">
        <f>IF((Lecturas!AD47-Lecturas!AC47)&lt;= 0,"0",Lecturas!AD47-Lecturas!AC47)</f>
        <v>0</v>
      </c>
      <c r="BG49" s="126" t="str">
        <f t="shared" si="29"/>
        <v>0</v>
      </c>
      <c r="BH49" s="121" t="str">
        <f>IF((Lecturas!AE47-Lecturas!AD47)&lt;= 0,"0",Lecturas!AE47-Lecturas!AD47)</f>
        <v>0</v>
      </c>
      <c r="BI49" s="126" t="str">
        <f t="shared" si="30"/>
        <v>0</v>
      </c>
      <c r="BJ49" s="121" t="str">
        <f>IF((Lecturas!AF47-Lecturas!AE47)&lt;= 0,"0",Lecturas!AF47-Lecturas!AE47)</f>
        <v>0</v>
      </c>
      <c r="BK49" s="126" t="str">
        <f t="shared" si="31"/>
        <v>0</v>
      </c>
      <c r="BL49" s="121" t="str">
        <f>IF((Lecturas!AG47-Lecturas!AF47)&lt;= 0,"0",Lecturas!AG47-Lecturas!AF47)</f>
        <v>0</v>
      </c>
      <c r="BM49" s="126" t="str">
        <f t="shared" si="32"/>
        <v>0</v>
      </c>
      <c r="BN49" s="121" t="str">
        <f>IF((Lecturas!AH47-Lecturas!AG47)&lt;= 0,"0",Lecturas!AH47-Lecturas!AG47)</f>
        <v>0</v>
      </c>
      <c r="BO49" s="126" t="str">
        <f t="shared" si="33"/>
        <v>0</v>
      </c>
    </row>
    <row r="50" ht="15.75" customHeight="1">
      <c r="A50" s="120">
        <f t="shared" si="1"/>
        <v>160.2</v>
      </c>
      <c r="B50" s="121">
        <f t="shared" si="2"/>
        <v>11.241</v>
      </c>
      <c r="C50" s="74">
        <v>1201.0</v>
      </c>
      <c r="D50" s="123" t="s">
        <v>405</v>
      </c>
      <c r="E50" s="75">
        <v>2034058.0</v>
      </c>
      <c r="F50" s="121">
        <f>Lecturas!D48-Lecturas!C48</f>
        <v>7.425</v>
      </c>
      <c r="G50" s="126">
        <f t="shared" si="3"/>
        <v>165.8442597</v>
      </c>
      <c r="H50" s="121">
        <f>IF((Lecturas!E48-Lecturas!D48) &lt; 0, "", Lecturas!E48-Lecturas!D48)</f>
        <v>6.8</v>
      </c>
      <c r="I50" s="126">
        <f t="shared" si="4"/>
        <v>121.486689</v>
      </c>
      <c r="J50" s="121">
        <f>IF(OR((Lecturas!F48-Lecturas!E48) &lt;= 0), "", Lecturas!F48-Lecturas!E48)</f>
        <v>10.201</v>
      </c>
      <c r="K50" s="126">
        <f t="shared" si="5"/>
        <v>124.0525754</v>
      </c>
      <c r="L50" s="121">
        <f>IF(OR((Lecturas!G48-Lecturas!F48) &lt;= 0), "", Lecturas!G48-Lecturas!F48)</f>
        <v>5.296</v>
      </c>
      <c r="M50" s="126">
        <f t="shared" si="6"/>
        <v>82.67393157</v>
      </c>
      <c r="N50" s="121">
        <f>IF(OR((Lecturas!H48-Lecturas!G48) &lt; 0), "", Lecturas!H48-Lecturas!G48)</f>
        <v>0</v>
      </c>
      <c r="O50" s="126">
        <f t="shared" si="7"/>
        <v>0</v>
      </c>
      <c r="P50" s="121">
        <f>IF(OR((Lecturas!I48-Lecturas!H48) &lt;= 0), "", Lecturas!I48-Lecturas!H48)</f>
        <v>6.904</v>
      </c>
      <c r="Q50" s="126">
        <f t="shared" si="8"/>
        <v>102.4618972</v>
      </c>
      <c r="R50" s="121">
        <f>IF(OR((Lecturas!J48-Lecturas!I48) &lt;= 0), "", Lecturas!J48-Lecturas!I48)</f>
        <v>15.315</v>
      </c>
      <c r="S50" s="126">
        <f t="shared" si="9"/>
        <v>253.7929459</v>
      </c>
      <c r="T50" s="121">
        <f>IF(OR((Lecturas!K48-Lecturas!J48) &lt;= 0), "", Lecturas!K48-Lecturas!J48)</f>
        <v>11.93</v>
      </c>
      <c r="U50" s="126">
        <f t="shared" si="10"/>
        <v>209.5154219</v>
      </c>
      <c r="V50" s="121">
        <f>IF(OR((Lecturas!L48-Lecturas!K48) &lt; 0), "", Lecturas!L48-Lecturas!K48)</f>
        <v>6.423</v>
      </c>
      <c r="W50" s="126">
        <f t="shared" si="11"/>
        <v>78.51137626</v>
      </c>
      <c r="X50" s="121">
        <f>IF(OR((Lecturas!M48-Lecturas!L48) &lt; 0), "", Lecturas!M48-Lecturas!L48)</f>
        <v>8.006</v>
      </c>
      <c r="Y50" s="126">
        <f t="shared" si="12"/>
        <v>97.14781728</v>
      </c>
      <c r="Z50" s="121">
        <f>IF(OR((Lecturas!N48-Lecturas!M48) &lt;= 0), "", Lecturas!N48-Lecturas!M48)</f>
        <v>9.061</v>
      </c>
      <c r="AA50" s="126">
        <f t="shared" si="13"/>
        <v>127.6361606</v>
      </c>
      <c r="AB50" s="121">
        <f>IF(OR((Lecturas!O48-Lecturas!N48) &lt; 0), "", Lecturas!O48-Lecturas!N48)</f>
        <v>9.728</v>
      </c>
      <c r="AC50" s="126">
        <f t="shared" si="14"/>
        <v>124.9759963</v>
      </c>
      <c r="AD50" s="121">
        <f>IF(OR((Lecturas!P48-Lecturas!O48) &lt; 0), "", Lecturas!P48-Lecturas!O48)</f>
        <v>10.617</v>
      </c>
      <c r="AE50" s="126">
        <f t="shared" si="15"/>
        <v>133.5426052</v>
      </c>
      <c r="AF50" s="121">
        <f>IF((Lecturas!Q48-Lecturas!P48)&lt;= 0,"",Lecturas!Q48-Lecturas!P48)</f>
        <v>11.241</v>
      </c>
      <c r="AG50" s="126">
        <f t="shared" si="16"/>
        <v>160.160653</v>
      </c>
      <c r="AH50" s="121">
        <f>IF((Lecturas!R48-Lecturas!Q48)&lt;= 0,"",Lecturas!R48-Lecturas!Q48)</f>
        <v>9.783</v>
      </c>
      <c r="AI50" s="126">
        <f t="shared" si="17"/>
        <v>136.1202376</v>
      </c>
      <c r="AJ50" s="121">
        <f>IF((Lecturas!S48-Lecturas!R48)&lt;= 0,"",Lecturas!S48-Lecturas!R48)</f>
        <v>11.615</v>
      </c>
      <c r="AK50" s="126">
        <f t="shared" si="18"/>
        <v>167.3458886</v>
      </c>
      <c r="AL50" s="121">
        <f>IF((Lecturas!T48-Lecturas!S48)&lt;= 0,"",Lecturas!T48-Lecturas!S48)</f>
        <v>11.257</v>
      </c>
      <c r="AM50" s="126">
        <f t="shared" si="19"/>
        <v>111.7687661</v>
      </c>
      <c r="AN50" s="121">
        <f>IF((Lecturas!U48-Lecturas!T48)&lt;= 0,"",Lecturas!U48-Lecturas!T48)</f>
        <v>8.948</v>
      </c>
      <c r="AO50" s="126">
        <f t="shared" si="20"/>
        <v>145.52078</v>
      </c>
      <c r="AP50" s="121">
        <f>IF((Lecturas!V48-Lecturas!U48)&lt;= 0,"",Lecturas!V48-Lecturas!U48)</f>
        <v>8.303</v>
      </c>
      <c r="AQ50" s="126">
        <f t="shared" si="21"/>
        <v>110.6227777</v>
      </c>
      <c r="AR50" s="121">
        <f>IF((Lecturas!W48-Lecturas!V48)&lt;= 0,"",Lecturas!W48-Lecturas!V48)</f>
        <v>11.003</v>
      </c>
      <c r="AS50" s="126">
        <f t="shared" si="22"/>
        <v>130.0216397</v>
      </c>
      <c r="AT50" s="121">
        <f>IF((Lecturas!X48-Lecturas!W48)&lt;= 0,"",Lecturas!X48-Lecturas!W48)</f>
        <v>8.502</v>
      </c>
      <c r="AU50" s="126">
        <f t="shared" si="23"/>
        <v>102.238189</v>
      </c>
      <c r="AV50" s="121">
        <f>IF((Lecturas!Y48-Lecturas!X48)&lt;= 0,"",Lecturas!Y48-Lecturas!X48)</f>
        <v>8.378</v>
      </c>
      <c r="AW50" s="126">
        <f t="shared" si="24"/>
        <v>102.7013172</v>
      </c>
      <c r="AX50" s="121">
        <f>IF((Lecturas!Z48-Lecturas!Y48)&lt;= 0,"0",Lecturas!Z48-Lecturas!Y48)</f>
        <v>9.023</v>
      </c>
      <c r="AY50" s="126">
        <f t="shared" si="25"/>
        <v>104.70347</v>
      </c>
      <c r="AZ50" s="121">
        <f>IF((Lecturas!AA48-Lecturas!Z48)&lt;= 0,"0",Lecturas!AA48-Lecturas!Z48)</f>
        <v>9.794</v>
      </c>
      <c r="BA50" s="126">
        <f t="shared" si="26"/>
        <v>135.1966774</v>
      </c>
      <c r="BB50" s="144">
        <f>IF((Lecturas!AB48-Lecturas!AA48)&lt;= 0,"0",Lecturas!AB48-Lecturas!AA48)</f>
        <v>10.104</v>
      </c>
      <c r="BC50" s="126">
        <f t="shared" si="27"/>
        <v>151.4151681</v>
      </c>
      <c r="BD50" s="121">
        <f>IF((Lecturas!AC48-Lecturas!AB48)&lt;= 0,"0",Lecturas!AC48-Lecturas!AB48)</f>
        <v>0.729</v>
      </c>
      <c r="BE50" s="126">
        <f t="shared" si="28"/>
        <v>15.75734793</v>
      </c>
      <c r="BF50" s="121" t="str">
        <f>IF((Lecturas!AD48-Lecturas!AC48)&lt;= 0,"0",Lecturas!AD48-Lecturas!AC48)</f>
        <v>0</v>
      </c>
      <c r="BG50" s="126" t="str">
        <f t="shared" si="29"/>
        <v>0</v>
      </c>
      <c r="BH50" s="121" t="str">
        <f>IF((Lecturas!AE48-Lecturas!AD48)&lt;= 0,"0",Lecturas!AE48-Lecturas!AD48)</f>
        <v>0</v>
      </c>
      <c r="BI50" s="126" t="str">
        <f t="shared" si="30"/>
        <v>0</v>
      </c>
      <c r="BJ50" s="121" t="str">
        <f>IF((Lecturas!AF48-Lecturas!AE48)&lt;= 0,"0",Lecturas!AF48-Lecturas!AE48)</f>
        <v>0</v>
      </c>
      <c r="BK50" s="126" t="str">
        <f t="shared" si="31"/>
        <v>0</v>
      </c>
      <c r="BL50" s="121" t="str">
        <f>IF((Lecturas!AG48-Lecturas!AF48)&lt;= 0,"0",Lecturas!AG48-Lecturas!AF48)</f>
        <v>0</v>
      </c>
      <c r="BM50" s="126" t="str">
        <f t="shared" si="32"/>
        <v>0</v>
      </c>
      <c r="BN50" s="121" t="str">
        <f>IF((Lecturas!AH48-Lecturas!AG48)&lt;= 0,"0",Lecturas!AH48-Lecturas!AG48)</f>
        <v>0</v>
      </c>
      <c r="BO50" s="126" t="str">
        <f t="shared" si="33"/>
        <v>0</v>
      </c>
    </row>
    <row r="51" ht="15.75" customHeight="1">
      <c r="A51" s="120">
        <f t="shared" si="1"/>
        <v>0</v>
      </c>
      <c r="B51" s="121">
        <f t="shared" si="2"/>
        <v>0</v>
      </c>
      <c r="C51" s="74">
        <v>1202.0</v>
      </c>
      <c r="D51" s="123" t="s">
        <v>406</v>
      </c>
      <c r="E51" s="75">
        <v>2034076.0</v>
      </c>
      <c r="F51" s="121">
        <f>Lecturas!D49-Lecturas!C49</f>
        <v>0</v>
      </c>
      <c r="G51" s="126">
        <f t="shared" si="3"/>
        <v>0</v>
      </c>
      <c r="H51" s="121">
        <f>IF((Lecturas!E49-Lecturas!D49) &lt; 0, "", Lecturas!E49-Lecturas!D49)</f>
        <v>0</v>
      </c>
      <c r="I51" s="126">
        <f t="shared" si="4"/>
        <v>0</v>
      </c>
      <c r="J51" s="121">
        <f>IF(OR((Lecturas!F49-Lecturas!E49) &lt; 0), "", Lecturas!F49-Lecturas!E49)</f>
        <v>0</v>
      </c>
      <c r="K51" s="126">
        <f t="shared" si="5"/>
        <v>0</v>
      </c>
      <c r="L51" s="121">
        <f>IF(OR((Lecturas!G49-Lecturas!F49) &lt; 0), "", Lecturas!G49-Lecturas!F49)</f>
        <v>0</v>
      </c>
      <c r="M51" s="126">
        <f t="shared" si="6"/>
        <v>0</v>
      </c>
      <c r="N51" s="121">
        <f>IF(OR((Lecturas!H49-Lecturas!G49) &lt; 0), "", Lecturas!H49-Lecturas!G49)</f>
        <v>0</v>
      </c>
      <c r="O51" s="126">
        <f t="shared" si="7"/>
        <v>0</v>
      </c>
      <c r="P51" s="121">
        <f>IF(OR((Lecturas!I49-Lecturas!H49) &lt;= 0), "", Lecturas!I49-Lecturas!H49)</f>
        <v>0.294</v>
      </c>
      <c r="Q51" s="126">
        <f t="shared" si="8"/>
        <v>4.36323838</v>
      </c>
      <c r="R51" s="121">
        <f>IF(OR((Lecturas!J49-Lecturas!I49) &lt;= 0), "", Lecturas!J49-Lecturas!I49)</f>
        <v>2.324</v>
      </c>
      <c r="S51" s="126">
        <f t="shared" si="9"/>
        <v>38.51223025</v>
      </c>
      <c r="T51" s="121">
        <f>IF(OR((Lecturas!K49-Lecturas!J49) &lt;= 0), "", Lecturas!K49-Lecturas!J49)</f>
        <v>1.329</v>
      </c>
      <c r="U51" s="126">
        <f t="shared" si="10"/>
        <v>23.33998288</v>
      </c>
      <c r="V51" s="121">
        <f>IF(OR((Lecturas!L49-Lecturas!K49) &lt; 0), "", Lecturas!L49-Lecturas!K49)</f>
        <v>1.176</v>
      </c>
      <c r="W51" s="126">
        <f t="shared" si="11"/>
        <v>14.37480593</v>
      </c>
      <c r="X51" s="121">
        <f>IF(OR((Lecturas!M49-Lecturas!L49) &lt; 0), "", Lecturas!M49-Lecturas!L49)</f>
        <v>0.43</v>
      </c>
      <c r="Y51" s="126">
        <f t="shared" si="12"/>
        <v>5.217781843</v>
      </c>
      <c r="Z51" s="121">
        <f>IF(OR((Lecturas!N49-Lecturas!M49) &lt; 0), "", Lecturas!N49-Lecturas!M49)</f>
        <v>0</v>
      </c>
      <c r="AA51" s="126">
        <f t="shared" si="13"/>
        <v>0</v>
      </c>
      <c r="AB51" s="121">
        <f>IF(OR((Lecturas!O49-Lecturas!N49) &lt; 0), "", Lecturas!O49-Lecturas!N49)</f>
        <v>0</v>
      </c>
      <c r="AC51" s="126">
        <f t="shared" si="14"/>
        <v>0</v>
      </c>
      <c r="AD51" s="121">
        <f>IF(OR((Lecturas!P49-Lecturas!O49) &lt; 0), "", Lecturas!P49-Lecturas!O49)</f>
        <v>0</v>
      </c>
      <c r="AE51" s="126">
        <f t="shared" si="15"/>
        <v>0</v>
      </c>
      <c r="AF51" s="121">
        <f>IF((Lecturas!Q49-Lecturas!P49)&lt; 0,"",Lecturas!Q49-Lecturas!P49)</f>
        <v>0</v>
      </c>
      <c r="AG51" s="126">
        <f t="shared" si="16"/>
        <v>0</v>
      </c>
      <c r="AH51" s="121">
        <v>0.0</v>
      </c>
      <c r="AI51" s="126">
        <f t="shared" si="17"/>
        <v>0</v>
      </c>
      <c r="AJ51" s="121" t="str">
        <f>IF((Lecturas!S49-Lecturas!R49)&lt;= 0,"",Lecturas!S49-Lecturas!R49)</f>
        <v/>
      </c>
      <c r="AK51" s="126">
        <f t="shared" si="18"/>
        <v>0</v>
      </c>
      <c r="AL51" s="121" t="str">
        <f>IF((Lecturas!T49-Lecturas!S49)&lt;= 0,"",Lecturas!T49-Lecturas!S49)</f>
        <v/>
      </c>
      <c r="AM51" s="126">
        <f t="shared" si="19"/>
        <v>0</v>
      </c>
      <c r="AN51" s="121">
        <f>IF((Lecturas!U49-Lecturas!T49)&lt;= 0,"",Lecturas!U49-Lecturas!T49)</f>
        <v>0.001</v>
      </c>
      <c r="AO51" s="126">
        <f t="shared" si="20"/>
        <v>0.0162629392</v>
      </c>
      <c r="AP51" s="121">
        <f>IF((Lecturas!V49-Lecturas!U49)&lt;= 0,"",Lecturas!V49-Lecturas!U49)</f>
        <v>0.328</v>
      </c>
      <c r="AQ51" s="126">
        <f t="shared" si="21"/>
        <v>4.370019402</v>
      </c>
      <c r="AR51" s="121">
        <f>IF((Lecturas!W49-Lecturas!V49)&lt;= 0,"",Lecturas!W49-Lecturas!V49)</f>
        <v>1.953</v>
      </c>
      <c r="AS51" s="126">
        <f t="shared" si="22"/>
        <v>23.078457</v>
      </c>
      <c r="AT51" s="121">
        <f>IF((Lecturas!X49-Lecturas!W49)&lt;= 0,"",Lecturas!X49-Lecturas!W49)</f>
        <v>1.09</v>
      </c>
      <c r="AU51" s="126">
        <f t="shared" si="23"/>
        <v>13.10746013</v>
      </c>
      <c r="AV51" s="121">
        <f>IF((Lecturas!Y49-Lecturas!X49)&lt;= 0,"",Lecturas!Y49-Lecturas!X49)</f>
        <v>0.041</v>
      </c>
      <c r="AW51" s="126">
        <f t="shared" si="24"/>
        <v>0.5025965632</v>
      </c>
      <c r="AX51" s="121" t="str">
        <f>IF((Lecturas!Z49-Lecturas!Y49)&lt;= 0,"0",Lecturas!Z49-Lecturas!Y49)</f>
        <v>0</v>
      </c>
      <c r="AY51" s="126">
        <f t="shared" si="25"/>
        <v>0</v>
      </c>
      <c r="AZ51" s="121" t="str">
        <f>IF((Lecturas!AA49-Lecturas!Z49)&lt;= 0,"0",Lecturas!AA49-Lecturas!Z49)</f>
        <v>0</v>
      </c>
      <c r="BA51" s="126">
        <f t="shared" si="26"/>
        <v>0</v>
      </c>
      <c r="BB51" s="159" t="str">
        <f>IF((Lecturas!AB49-Lecturas!AA49)&lt;= 0,"0",Lecturas!AB49-Lecturas!AA49)</f>
        <v>0</v>
      </c>
      <c r="BC51" s="126">
        <f t="shared" si="27"/>
        <v>0</v>
      </c>
      <c r="BD51" s="121" t="str">
        <f>IF((Lecturas!AC49-Lecturas!AB49)&lt;= 0,"0",Lecturas!AC49-Lecturas!AB49)</f>
        <v>0</v>
      </c>
      <c r="BE51" s="126">
        <f t="shared" si="28"/>
        <v>0</v>
      </c>
      <c r="BF51" s="121" t="str">
        <f>IF((Lecturas!AD49-Lecturas!AC49)&lt;= 0,"0",Lecturas!AD49-Lecturas!AC49)</f>
        <v>0</v>
      </c>
      <c r="BG51" s="126" t="str">
        <f t="shared" si="29"/>
        <v>0</v>
      </c>
      <c r="BH51" s="121" t="str">
        <f>IF((Lecturas!AE49-Lecturas!AD49)&lt;= 0,"0",Lecturas!AE49-Lecturas!AD49)</f>
        <v>0</v>
      </c>
      <c r="BI51" s="126" t="str">
        <f t="shared" si="30"/>
        <v>0</v>
      </c>
      <c r="BJ51" s="121" t="str">
        <f>IF((Lecturas!AF49-Lecturas!AE49)&lt;= 0,"0",Lecturas!AF49-Lecturas!AE49)</f>
        <v>0</v>
      </c>
      <c r="BK51" s="126" t="str">
        <f t="shared" si="31"/>
        <v>0</v>
      </c>
      <c r="BL51" s="121" t="str">
        <f>IF((Lecturas!AG49-Lecturas!AF49)&lt;= 0,"0",Lecturas!AG49-Lecturas!AF49)</f>
        <v>0</v>
      </c>
      <c r="BM51" s="126" t="str">
        <f t="shared" si="32"/>
        <v>0</v>
      </c>
      <c r="BN51" s="121" t="str">
        <f>IF((Lecturas!AH49-Lecturas!AG49)&lt;= 0,"0",Lecturas!AH49-Lecturas!AG49)</f>
        <v>0</v>
      </c>
      <c r="BO51" s="126" t="str">
        <f t="shared" si="33"/>
        <v>0</v>
      </c>
    </row>
    <row r="52" ht="15.75" customHeight="1">
      <c r="A52" s="120">
        <f t="shared" si="1"/>
        <v>58.4</v>
      </c>
      <c r="B52" s="121">
        <f t="shared" si="2"/>
        <v>4.102</v>
      </c>
      <c r="C52" s="74">
        <v>1203.0</v>
      </c>
      <c r="D52" s="123" t="s">
        <v>407</v>
      </c>
      <c r="E52" s="75">
        <v>2034077.0</v>
      </c>
      <c r="F52" s="121">
        <f>Lecturas!D50-Lecturas!C50</f>
        <v>2.724</v>
      </c>
      <c r="G52" s="126">
        <f t="shared" si="3"/>
        <v>60.84306577</v>
      </c>
      <c r="H52" s="121">
        <f>IF((Lecturas!E50-Lecturas!D50) &lt; 0, "", Lecturas!E50-Lecturas!D50)</f>
        <v>1.815</v>
      </c>
      <c r="I52" s="126">
        <f t="shared" si="4"/>
        <v>32.42622655</v>
      </c>
      <c r="J52" s="121">
        <f>IF(OR((Lecturas!F50-Lecturas!E50) &lt;= 0), "", Lecturas!F50-Lecturas!E50)</f>
        <v>3.812</v>
      </c>
      <c r="K52" s="126">
        <f t="shared" si="5"/>
        <v>46.35706474</v>
      </c>
      <c r="L52" s="121">
        <f>IF(OR((Lecturas!G50-Lecturas!F50) &lt;= 0), "", Lecturas!G50-Lecturas!F50)</f>
        <v>3.635</v>
      </c>
      <c r="M52" s="126">
        <f t="shared" si="6"/>
        <v>56.74466414</v>
      </c>
      <c r="N52" s="121">
        <f>IF(OR((Lecturas!H50-Lecturas!G50) &lt;= 0), "", Lecturas!H50-Lecturas!G50)</f>
        <v>3.962</v>
      </c>
      <c r="O52" s="126">
        <f t="shared" si="7"/>
        <v>60.20921522</v>
      </c>
      <c r="P52" s="121">
        <f>IF(OR((Lecturas!I50-Lecturas!H50) &lt;= 0), "", Lecturas!I50-Lecturas!H50)</f>
        <v>3.434</v>
      </c>
      <c r="Q52" s="126">
        <f t="shared" si="8"/>
        <v>50.96381156</v>
      </c>
      <c r="R52" s="121">
        <f>IF(OR((Lecturas!J50-Lecturas!I50) &lt;= 0), "", Lecturas!J50-Lecturas!I50)</f>
        <v>3.859</v>
      </c>
      <c r="S52" s="126">
        <f t="shared" si="9"/>
        <v>63.94952519</v>
      </c>
      <c r="T52" s="121">
        <f>IF(OR((Lecturas!K50-Lecturas!J50) &lt;= 0), "", Lecturas!K50-Lecturas!J50)</f>
        <v>3.095</v>
      </c>
      <c r="U52" s="126">
        <f t="shared" si="10"/>
        <v>54.35458767</v>
      </c>
      <c r="V52" s="121">
        <f>IF(OR((Lecturas!L50-Lecturas!K50) &lt; 0), "", Lecturas!L50-Lecturas!K50)</f>
        <v>3.175</v>
      </c>
      <c r="W52" s="126">
        <f t="shared" si="11"/>
        <v>38.80953132</v>
      </c>
      <c r="X52" s="121">
        <f>IF(OR((Lecturas!M50-Lecturas!L50) &lt; 0), "", Lecturas!M50-Lecturas!L50)</f>
        <v>3.171</v>
      </c>
      <c r="Y52" s="126">
        <f t="shared" si="12"/>
        <v>38.47810749</v>
      </c>
      <c r="Z52" s="121">
        <f>IF(OR((Lecturas!N50-Lecturas!M50) &lt;= 0), "", Lecturas!N50-Lecturas!M50)</f>
        <v>3.076</v>
      </c>
      <c r="AA52" s="126">
        <f t="shared" si="13"/>
        <v>43.32952545</v>
      </c>
      <c r="AB52" s="121">
        <f>IF(OR((Lecturas!O50-Lecturas!N50) &lt; 0), "", Lecturas!O50-Lecturas!N50)</f>
        <v>2.892</v>
      </c>
      <c r="AC52" s="126">
        <f t="shared" si="14"/>
        <v>37.15363706</v>
      </c>
      <c r="AD52" s="121">
        <f>IF(OR((Lecturas!P50-Lecturas!O50) &lt; 0), "", Lecturas!P50-Lecturas!O50)</f>
        <v>1.466</v>
      </c>
      <c r="AE52" s="126">
        <f t="shared" si="15"/>
        <v>18.43962129</v>
      </c>
      <c r="AF52" s="121">
        <f>IF((Lecturas!Q50-Lecturas!P50)&lt;= 0,"",Lecturas!Q50-Lecturas!P50)</f>
        <v>4.102</v>
      </c>
      <c r="AG52" s="126">
        <f t="shared" si="16"/>
        <v>58.44488912</v>
      </c>
      <c r="AH52" s="121">
        <f>IF((Lecturas!R50-Lecturas!Q50)&lt;= 0,"",Lecturas!R50-Lecturas!Q50)</f>
        <v>4.377</v>
      </c>
      <c r="AI52" s="126">
        <f t="shared" si="17"/>
        <v>60.90138811</v>
      </c>
      <c r="AJ52" s="121">
        <f>IF((Lecturas!S50-Lecturas!R50)&lt;= 0,"",Lecturas!S50-Lecturas!R50)</f>
        <v>4.153</v>
      </c>
      <c r="AK52" s="126">
        <f t="shared" si="18"/>
        <v>59.83534013</v>
      </c>
      <c r="AL52" s="121">
        <f>IF((Lecturas!T50-Lecturas!S50)&lt;= 0,"",Lecturas!T50-Lecturas!S50)</f>
        <v>3.417</v>
      </c>
      <c r="AM52" s="126">
        <f t="shared" si="19"/>
        <v>33.92678988</v>
      </c>
      <c r="AN52" s="121">
        <f>IF((Lecturas!U50-Lecturas!T50)&lt;= 0,"",Lecturas!U50-Lecturas!T50)</f>
        <v>2.838</v>
      </c>
      <c r="AO52" s="126">
        <f t="shared" si="20"/>
        <v>46.15422145</v>
      </c>
      <c r="AP52" s="121">
        <f>IF((Lecturas!V50-Lecturas!U50)&lt;= 0,"",Lecturas!V50-Lecturas!U50)</f>
        <v>2.119</v>
      </c>
      <c r="AQ52" s="126">
        <f t="shared" si="21"/>
        <v>28.23192412</v>
      </c>
      <c r="AR52" s="121">
        <f>IF((Lecturas!W50-Lecturas!V50)&lt;= 0,"",Lecturas!W50-Lecturas!V50)</f>
        <v>1.959</v>
      </c>
      <c r="AS52" s="126">
        <f t="shared" si="22"/>
        <v>23.14935856</v>
      </c>
      <c r="AT52" s="121">
        <f>IF((Lecturas!X50-Lecturas!W50)&lt;= 0,"",Lecturas!X50-Lecturas!W50)</f>
        <v>1.044</v>
      </c>
      <c r="AU52" s="126">
        <f t="shared" si="23"/>
        <v>12.55430126</v>
      </c>
      <c r="AV52" s="121">
        <f>IF((Lecturas!Y50-Lecturas!X50)&lt;= 0,"",Lecturas!Y50-Lecturas!X50)</f>
        <v>1.077</v>
      </c>
      <c r="AW52" s="126">
        <f t="shared" si="24"/>
        <v>13.20235362</v>
      </c>
      <c r="AX52" s="121">
        <f>IF((Lecturas!Z50-Lecturas!Y50)&lt;= 0,"0",Lecturas!Z50-Lecturas!Y50)</f>
        <v>2.029</v>
      </c>
      <c r="AY52" s="126">
        <f t="shared" si="25"/>
        <v>23.54464598</v>
      </c>
      <c r="AZ52" s="121">
        <f>IF((Lecturas!AA50-Lecturas!Z50)&lt;= 0,"0",Lecturas!AA50-Lecturas!Z50)</f>
        <v>2.924</v>
      </c>
      <c r="BA52" s="126">
        <f t="shared" si="26"/>
        <v>40.36298599</v>
      </c>
      <c r="BB52" s="144">
        <f>IF((Lecturas!AB50-Lecturas!AA50)&lt;= 0,"0",Lecturas!AB50-Lecturas!AA50)</f>
        <v>3.166</v>
      </c>
      <c r="BC52" s="126">
        <f t="shared" si="27"/>
        <v>47.44461819</v>
      </c>
      <c r="BD52" s="121">
        <f>IF((Lecturas!AC50-Lecturas!AB50)&lt;= 0,"0",Lecturas!AC50-Lecturas!AB50)</f>
        <v>2.866</v>
      </c>
      <c r="BE52" s="126">
        <f t="shared" si="28"/>
        <v>61.94864084</v>
      </c>
      <c r="BF52" s="121" t="str">
        <f>IF((Lecturas!AD50-Lecturas!AC50)&lt;= 0,"0",Lecturas!AD50-Lecturas!AC50)</f>
        <v>0</v>
      </c>
      <c r="BG52" s="126" t="str">
        <f t="shared" si="29"/>
        <v>0</v>
      </c>
      <c r="BH52" s="121" t="str">
        <f>IF((Lecturas!AE50-Lecturas!AD50)&lt;= 0,"0",Lecturas!AE50-Lecturas!AD50)</f>
        <v>0</v>
      </c>
      <c r="BI52" s="126" t="str">
        <f t="shared" si="30"/>
        <v>0</v>
      </c>
      <c r="BJ52" s="121" t="str">
        <f>IF((Lecturas!AF50-Lecturas!AE50)&lt;= 0,"0",Lecturas!AF50-Lecturas!AE50)</f>
        <v>0</v>
      </c>
      <c r="BK52" s="126" t="str">
        <f t="shared" si="31"/>
        <v>0</v>
      </c>
      <c r="BL52" s="121" t="str">
        <f>IF((Lecturas!AG50-Lecturas!AF50)&lt;= 0,"0",Lecturas!AG50-Lecturas!AF50)</f>
        <v>0</v>
      </c>
      <c r="BM52" s="126" t="str">
        <f t="shared" si="32"/>
        <v>0</v>
      </c>
      <c r="BN52" s="121" t="str">
        <f>IF((Lecturas!AH50-Lecturas!AG50)&lt;= 0,"0",Lecturas!AH50-Lecturas!AG50)</f>
        <v>0</v>
      </c>
      <c r="BO52" s="126" t="str">
        <f t="shared" si="33"/>
        <v>0</v>
      </c>
    </row>
    <row r="53" ht="15.75" customHeight="1">
      <c r="A53" s="120">
        <f t="shared" si="1"/>
        <v>0</v>
      </c>
      <c r="B53" s="121">
        <f t="shared" si="2"/>
        <v>0</v>
      </c>
      <c r="C53" s="170">
        <v>1301.0</v>
      </c>
      <c r="D53" s="205" t="s">
        <v>408</v>
      </c>
      <c r="E53" s="142">
        <v>2034059.0</v>
      </c>
      <c r="F53" s="121">
        <f>Lecturas!D51-Lecturas!C51</f>
        <v>0</v>
      </c>
      <c r="G53" s="126">
        <f t="shared" si="3"/>
        <v>0</v>
      </c>
      <c r="H53" s="121">
        <f>IF((Lecturas!E51-Lecturas!D51) &lt; 0, "", Lecturas!E51-Lecturas!D51)</f>
        <v>0</v>
      </c>
      <c r="I53" s="126">
        <f t="shared" si="4"/>
        <v>0</v>
      </c>
      <c r="J53" s="121">
        <f>IF(OR((Lecturas!F51-Lecturas!E51) &lt; 0), "", Lecturas!F51-Lecturas!E51)</f>
        <v>0</v>
      </c>
      <c r="K53" s="126">
        <f t="shared" si="5"/>
        <v>0</v>
      </c>
      <c r="L53" s="121">
        <f>IF(OR((Lecturas!G51-Lecturas!F51) &lt; 0), "", Lecturas!G51-Lecturas!F51)</f>
        <v>0</v>
      </c>
      <c r="M53" s="126">
        <f t="shared" si="6"/>
        <v>0</v>
      </c>
      <c r="N53" s="121">
        <f>IF(OR((Lecturas!H51-Lecturas!G51) &lt; 0), "", Lecturas!H51-Lecturas!G51)</f>
        <v>0</v>
      </c>
      <c r="O53" s="126">
        <f t="shared" si="7"/>
        <v>0</v>
      </c>
      <c r="P53" s="121">
        <f>IF(OR((Lecturas!I51-Lecturas!H51) &lt; 0), "", Lecturas!I51-Lecturas!H51)</f>
        <v>0</v>
      </c>
      <c r="Q53" s="126">
        <f t="shared" si="8"/>
        <v>0</v>
      </c>
      <c r="R53" s="121">
        <f>IF(OR((Lecturas!J51-Lecturas!I51) &lt; 0), "", Lecturas!J51-Lecturas!I51)</f>
        <v>0</v>
      </c>
      <c r="S53" s="126">
        <f t="shared" si="9"/>
        <v>0</v>
      </c>
      <c r="T53" s="121">
        <f>IF(OR((Lecturas!K51-Lecturas!J51) &lt; 0), "", Lecturas!K51-Lecturas!J51)</f>
        <v>0</v>
      </c>
      <c r="U53" s="126">
        <f t="shared" si="10"/>
        <v>0</v>
      </c>
      <c r="V53" s="121">
        <f>IF(OR((Lecturas!L51-Lecturas!K51) &lt; 0), "", Lecturas!L51-Lecturas!K51)</f>
        <v>0</v>
      </c>
      <c r="W53" s="126">
        <f t="shared" si="11"/>
        <v>0</v>
      </c>
      <c r="X53" s="121">
        <f>IF(OR((Lecturas!M51-Lecturas!L51) &lt; 0), "", Lecturas!M51-Lecturas!L51)</f>
        <v>0</v>
      </c>
      <c r="Y53" s="126">
        <f t="shared" si="12"/>
        <v>0</v>
      </c>
      <c r="Z53" s="121">
        <f>IF(OR((Lecturas!N51-Lecturas!M51) &lt; 0), "", Lecturas!N51-Lecturas!M51)</f>
        <v>0</v>
      </c>
      <c r="AA53" s="126">
        <f t="shared" si="13"/>
        <v>0</v>
      </c>
      <c r="AB53" s="121">
        <f>IF(OR((Lecturas!O51-Lecturas!N51) &lt; 0), "", Lecturas!O51-Lecturas!N51)</f>
        <v>0</v>
      </c>
      <c r="AC53" s="126">
        <f t="shared" si="14"/>
        <v>0</v>
      </c>
      <c r="AD53" s="121">
        <f>IF(OR((Lecturas!P51-Lecturas!O51) &lt; 0), "", Lecturas!P51-Lecturas!O51)</f>
        <v>0</v>
      </c>
      <c r="AE53" s="126">
        <f t="shared" si="15"/>
        <v>0</v>
      </c>
      <c r="AF53" s="121">
        <f>IF((Lecturas!Q51-Lecturas!P51)&lt; 0,"",Lecturas!Q51-Lecturas!P51)</f>
        <v>0</v>
      </c>
      <c r="AG53" s="126">
        <f t="shared" si="16"/>
        <v>0</v>
      </c>
      <c r="AH53" s="121">
        <v>0.0</v>
      </c>
      <c r="AI53" s="126">
        <f t="shared" si="17"/>
        <v>0</v>
      </c>
      <c r="AJ53" s="121" t="str">
        <f>IF((Lecturas!S51-Lecturas!R51)&lt;= 0,"",Lecturas!S51-Lecturas!R51)</f>
        <v/>
      </c>
      <c r="AK53" s="126">
        <f t="shared" si="18"/>
        <v>0</v>
      </c>
      <c r="AL53" s="121" t="str">
        <f>IF((Lecturas!T51-Lecturas!S51)&lt;= 0,"",Lecturas!T51-Lecturas!S51)</f>
        <v/>
      </c>
      <c r="AM53" s="126">
        <f t="shared" si="19"/>
        <v>0</v>
      </c>
      <c r="AN53" s="121" t="str">
        <f>IF((Lecturas!U51-Lecturas!T51)&lt;= 0,"",Lecturas!U51-Lecturas!T51)</f>
        <v/>
      </c>
      <c r="AO53" s="126">
        <f t="shared" si="20"/>
        <v>0</v>
      </c>
      <c r="AP53" s="121" t="str">
        <f>IF((Lecturas!V51-Lecturas!U51)&lt;= 0,"",Lecturas!V51-Lecturas!U51)</f>
        <v/>
      </c>
      <c r="AQ53" s="126">
        <f t="shared" si="21"/>
        <v>0</v>
      </c>
      <c r="AR53" s="121" t="str">
        <f>IF((Lecturas!W51-Lecturas!V51)&lt;= 0,"",Lecturas!W51-Lecturas!V51)</f>
        <v/>
      </c>
      <c r="AS53" s="126">
        <f t="shared" si="22"/>
        <v>0</v>
      </c>
      <c r="AT53" s="121" t="str">
        <f>IF((Lecturas!X51-Lecturas!W51)&lt;= 0,"",Lecturas!X51-Lecturas!W51)</f>
        <v/>
      </c>
      <c r="AU53" s="126">
        <f t="shared" si="23"/>
        <v>0</v>
      </c>
      <c r="AV53" s="121" t="str">
        <f>IF((Lecturas!Y51-Lecturas!X51)&lt;= 0,"",Lecturas!Y51-Lecturas!X51)</f>
        <v/>
      </c>
      <c r="AW53" s="126">
        <f t="shared" si="24"/>
        <v>0</v>
      </c>
      <c r="AX53" s="121" t="str">
        <f>IF((Lecturas!Z51-Lecturas!Y51)&lt;= 0,"0",Lecturas!Z51-Lecturas!Y51)</f>
        <v>0</v>
      </c>
      <c r="AY53" s="126">
        <f t="shared" si="25"/>
        <v>0</v>
      </c>
      <c r="AZ53" s="121" t="str">
        <f>IF((Lecturas!AA51-Lecturas!Z51)&lt;= 0,"0",Lecturas!AA51-Lecturas!Z51)</f>
        <v>0</v>
      </c>
      <c r="BA53" s="126">
        <f t="shared" si="26"/>
        <v>0</v>
      </c>
      <c r="BB53" s="159" t="str">
        <f>IF((Lecturas!AB51-Lecturas!AA51)&lt;= 0,"0",Lecturas!AB51-Lecturas!AA51)</f>
        <v>0</v>
      </c>
      <c r="BC53" s="126">
        <f t="shared" si="27"/>
        <v>0</v>
      </c>
      <c r="BD53" s="121" t="str">
        <f>IF((Lecturas!AC51-Lecturas!AB51)&lt;= 0,"0",Lecturas!AC51-Lecturas!AB51)</f>
        <v>0</v>
      </c>
      <c r="BE53" s="126">
        <f t="shared" si="28"/>
        <v>0</v>
      </c>
      <c r="BF53" s="121" t="str">
        <f>IF((Lecturas!AD51-Lecturas!AC51)&lt;= 0,"0",Lecturas!AD51-Lecturas!AC51)</f>
        <v>0</v>
      </c>
      <c r="BG53" s="126" t="str">
        <f t="shared" si="29"/>
        <v>0</v>
      </c>
      <c r="BH53" s="121" t="str">
        <f>IF((Lecturas!AE51-Lecturas!AD51)&lt;= 0,"0",Lecturas!AE51-Lecturas!AD51)</f>
        <v>0</v>
      </c>
      <c r="BI53" s="126" t="str">
        <f t="shared" si="30"/>
        <v>0</v>
      </c>
      <c r="BJ53" s="121" t="str">
        <f>IF((Lecturas!AF51-Lecturas!AE51)&lt;= 0,"0",Lecturas!AF51-Lecturas!AE51)</f>
        <v>0</v>
      </c>
      <c r="BK53" s="126" t="str">
        <f t="shared" si="31"/>
        <v>0</v>
      </c>
      <c r="BL53" s="121" t="str">
        <f>IF((Lecturas!AG51-Lecturas!AF51)&lt;= 0,"0",Lecturas!AG51-Lecturas!AF51)</f>
        <v>0</v>
      </c>
      <c r="BM53" s="126" t="str">
        <f t="shared" si="32"/>
        <v>0</v>
      </c>
      <c r="BN53" s="121" t="str">
        <f>IF((Lecturas!AH51-Lecturas!AG51)&lt;= 0,"0",Lecturas!AH51-Lecturas!AG51)</f>
        <v>0</v>
      </c>
      <c r="BO53" s="126" t="str">
        <f t="shared" si="33"/>
        <v>0</v>
      </c>
    </row>
    <row r="54" ht="15.75" customHeight="1">
      <c r="A54" s="120">
        <f t="shared" si="1"/>
        <v>34.2</v>
      </c>
      <c r="B54" s="121">
        <f t="shared" si="2"/>
        <v>2.401</v>
      </c>
      <c r="C54" s="74">
        <v>1302.0</v>
      </c>
      <c r="D54" s="123" t="s">
        <v>409</v>
      </c>
      <c r="E54" s="75">
        <v>2034066.0</v>
      </c>
      <c r="F54" s="121">
        <f>Lecturas!D52-Lecturas!C52</f>
        <v>5.106</v>
      </c>
      <c r="G54" s="126">
        <f t="shared" si="3"/>
        <v>114.0472444</v>
      </c>
      <c r="H54" s="121">
        <f>IF((Lecturas!E52-Lecturas!D52) &lt; 0, "", Lecturas!E52-Lecturas!D52)</f>
        <v>8.375</v>
      </c>
      <c r="I54" s="126">
        <f t="shared" si="4"/>
        <v>149.6251501</v>
      </c>
      <c r="J54" s="121">
        <f>IF(OR((Lecturas!F52-Lecturas!E52) &lt;= 0), "", Lecturas!F52-Lecturas!E52)</f>
        <v>8.383</v>
      </c>
      <c r="K54" s="126">
        <f t="shared" si="5"/>
        <v>101.9441956</v>
      </c>
      <c r="L54" s="121">
        <f>IF(OR((Lecturas!G52-Lecturas!F52) &lt;= 0), "", Lecturas!G52-Lecturas!F52)</f>
        <v>8.288</v>
      </c>
      <c r="M54" s="126">
        <f t="shared" si="6"/>
        <v>129.3809564</v>
      </c>
      <c r="N54" s="121">
        <f>IF(OR((Lecturas!H52-Lecturas!G52) &lt;= 0), "", Lecturas!H52-Lecturas!G52)</f>
        <v>8.085</v>
      </c>
      <c r="O54" s="126">
        <f t="shared" si="7"/>
        <v>122.8650947</v>
      </c>
      <c r="P54" s="121">
        <f>IF(OR((Lecturas!I52-Lecturas!H52) &lt;= 0), "", Lecturas!I52-Lecturas!H52)</f>
        <v>5.414</v>
      </c>
      <c r="Q54" s="126">
        <f t="shared" si="8"/>
        <v>80.34888636</v>
      </c>
      <c r="R54" s="121">
        <f>IF(OR((Lecturas!J52-Lecturas!I52) &lt;= 0), "", Lecturas!J52-Lecturas!I52)</f>
        <v>6.317</v>
      </c>
      <c r="S54" s="126">
        <f t="shared" si="9"/>
        <v>104.6823402</v>
      </c>
      <c r="T54" s="121">
        <f>IF(OR((Lecturas!K52-Lecturas!J52) &lt;= 0), "", Lecturas!K52-Lecturas!J52)</f>
        <v>3.957</v>
      </c>
      <c r="U54" s="126">
        <f t="shared" si="10"/>
        <v>69.49308672</v>
      </c>
      <c r="V54" s="121">
        <f>IF(OR((Lecturas!L52-Lecturas!K52) &lt; 0), "", Lecturas!L52-Lecturas!K52)</f>
        <v>5.684</v>
      </c>
      <c r="W54" s="126">
        <f t="shared" si="11"/>
        <v>69.47822866</v>
      </c>
      <c r="X54" s="121">
        <f>IF(OR((Lecturas!M52-Lecturas!L52) &lt; 0), "", Lecturas!M52-Lecturas!L52)</f>
        <v>5.045</v>
      </c>
      <c r="Y54" s="126">
        <f t="shared" si="12"/>
        <v>61.21792883</v>
      </c>
      <c r="Z54" s="121">
        <f>IF(OR((Lecturas!N52-Lecturas!M52) &lt;= 0), "", Lecturas!N52-Lecturas!M52)</f>
        <v>6.294</v>
      </c>
      <c r="AA54" s="126">
        <f t="shared" si="13"/>
        <v>88.65930857</v>
      </c>
      <c r="AB54" s="121">
        <f>IF(OR((Lecturas!O52-Lecturas!N52) &lt; 0), "", Lecturas!O52-Lecturas!N52)</f>
        <v>5.27</v>
      </c>
      <c r="AC54" s="126">
        <f t="shared" si="14"/>
        <v>67.70389603</v>
      </c>
      <c r="AD54" s="121">
        <f>IF(OR((Lecturas!P52-Lecturas!O52) &lt; 0), "", Lecturas!P52-Lecturas!O52)</f>
        <v>2.813</v>
      </c>
      <c r="AE54" s="126">
        <f t="shared" si="15"/>
        <v>35.38243839</v>
      </c>
      <c r="AF54" s="121">
        <f>IF((Lecturas!Q52-Lecturas!P52)&lt;= 0,"",Lecturas!Q52-Lecturas!P52)</f>
        <v>2.401</v>
      </c>
      <c r="AG54" s="126">
        <f t="shared" si="16"/>
        <v>34.20920984</v>
      </c>
      <c r="AH54" s="121">
        <v>0.0</v>
      </c>
      <c r="AI54" s="126">
        <f t="shared" si="17"/>
        <v>0</v>
      </c>
      <c r="AJ54" s="121">
        <f>IF((Lecturas!S52-Lecturas!R52)&lt;= 0,"",Lecturas!S52-Lecturas!R52)</f>
        <v>1.054</v>
      </c>
      <c r="AK54" s="126">
        <f t="shared" si="18"/>
        <v>15.18575692</v>
      </c>
      <c r="AL54" s="121">
        <f>IF((Lecturas!T52-Lecturas!S52)&lt;= 0,"",Lecturas!T52-Lecturas!S52)</f>
        <v>1.521</v>
      </c>
      <c r="AM54" s="126">
        <f t="shared" si="19"/>
        <v>15.10174053</v>
      </c>
      <c r="AN54" s="121">
        <f>IF((Lecturas!U52-Lecturas!T52)&lt;= 0,"",Lecturas!U52-Lecturas!T52)</f>
        <v>3.314</v>
      </c>
      <c r="AO54" s="126">
        <f t="shared" si="20"/>
        <v>53.89538051</v>
      </c>
      <c r="AP54" s="121">
        <f>IF((Lecturas!V52-Lecturas!U52)&lt;= 0,"",Lecturas!V52-Lecturas!U52)</f>
        <v>3.13</v>
      </c>
      <c r="AQ54" s="126">
        <f t="shared" si="21"/>
        <v>41.70170954</v>
      </c>
      <c r="AR54" s="121">
        <f>IF((Lecturas!W52-Lecturas!V52)&lt;= 0,"",Lecturas!W52-Lecturas!V52)</f>
        <v>5.91</v>
      </c>
      <c r="AS54" s="126">
        <f t="shared" si="22"/>
        <v>69.83803425</v>
      </c>
      <c r="AT54" s="121">
        <f>IF((Lecturas!X52-Lecturas!W52)&lt;= 0,"",Lecturas!X52-Lecturas!W52)</f>
        <v>2.684</v>
      </c>
      <c r="AU54" s="126">
        <f t="shared" si="23"/>
        <v>32.27561742</v>
      </c>
      <c r="AV54" s="121">
        <f>IF((Lecturas!Y52-Lecturas!X52)&lt;= 0,"",Lecturas!Y52-Lecturas!X52)</f>
        <v>3.123</v>
      </c>
      <c r="AW54" s="126">
        <f t="shared" si="24"/>
        <v>38.28314797</v>
      </c>
      <c r="AX54" s="121">
        <f>IF((Lecturas!Z52-Lecturas!Y52)&lt;= 0,"0",Lecturas!Z52-Lecturas!Y52)</f>
        <v>4.003</v>
      </c>
      <c r="AY54" s="126">
        <f t="shared" si="25"/>
        <v>46.45106843</v>
      </c>
      <c r="AZ54" s="121">
        <f>IF((Lecturas!AA52-Lecturas!Z52)&lt;= 0,"0",Lecturas!AA52-Lecturas!Z52)</f>
        <v>4.183</v>
      </c>
      <c r="BA54" s="126">
        <f t="shared" si="26"/>
        <v>57.74226074</v>
      </c>
      <c r="BB54" s="144">
        <f>IF((Lecturas!AB52-Lecturas!AA52)&lt;= 0,"0",Lecturas!AB52-Lecturas!AA52)</f>
        <v>2.457</v>
      </c>
      <c r="BC54" s="126">
        <f t="shared" si="27"/>
        <v>36.81978108</v>
      </c>
      <c r="BD54" s="121">
        <f>IF((Lecturas!AC52-Lecturas!AB52)&lt;= 0,"0",Lecturas!AC52-Lecturas!AB52)</f>
        <v>2.845</v>
      </c>
      <c r="BE54" s="126">
        <f t="shared" si="28"/>
        <v>61.49472547</v>
      </c>
      <c r="BF54" s="121" t="str">
        <f>IF((Lecturas!AD52-Lecturas!AC52)&lt;= 0,"0",Lecturas!AD52-Lecturas!AC52)</f>
        <v>0</v>
      </c>
      <c r="BG54" s="126" t="str">
        <f t="shared" si="29"/>
        <v>0</v>
      </c>
      <c r="BH54" s="121" t="str">
        <f>IF((Lecturas!AE52-Lecturas!AD52)&lt;= 0,"0",Lecturas!AE52-Lecturas!AD52)</f>
        <v>0</v>
      </c>
      <c r="BI54" s="126" t="str">
        <f t="shared" si="30"/>
        <v>0</v>
      </c>
      <c r="BJ54" s="121" t="str">
        <f>IF((Lecturas!AF52-Lecturas!AE52)&lt;= 0,"0",Lecturas!AF52-Lecturas!AE52)</f>
        <v>0</v>
      </c>
      <c r="BK54" s="126" t="str">
        <f t="shared" si="31"/>
        <v>0</v>
      </c>
      <c r="BL54" s="121" t="str">
        <f>IF((Lecturas!AG52-Lecturas!AF52)&lt;= 0,"0",Lecturas!AG52-Lecturas!AF52)</f>
        <v>0</v>
      </c>
      <c r="BM54" s="126" t="str">
        <f t="shared" si="32"/>
        <v>0</v>
      </c>
      <c r="BN54" s="121" t="str">
        <f>IF((Lecturas!AH52-Lecturas!AG52)&lt;= 0,"0",Lecturas!AH52-Lecturas!AG52)</f>
        <v>0</v>
      </c>
      <c r="BO54" s="126" t="str">
        <f t="shared" si="33"/>
        <v>0</v>
      </c>
    </row>
    <row r="55" ht="15.75" customHeight="1">
      <c r="A55" s="120">
        <f t="shared" si="1"/>
        <v>49.5</v>
      </c>
      <c r="B55" s="121">
        <f t="shared" si="2"/>
        <v>3.477</v>
      </c>
      <c r="C55" s="74">
        <v>1303.0</v>
      </c>
      <c r="D55" s="123" t="s">
        <v>410</v>
      </c>
      <c r="E55" s="75">
        <v>2034067.0</v>
      </c>
      <c r="F55" s="121">
        <f>Lecturas!D53-Lecturas!C53</f>
        <v>13.318</v>
      </c>
      <c r="G55" s="126">
        <f t="shared" si="3"/>
        <v>297.4698788</v>
      </c>
      <c r="H55" s="121">
        <f>IF((Lecturas!E53-Lecturas!D53) &lt; 0, "", Lecturas!E53-Lecturas!D53)</f>
        <v>0.955</v>
      </c>
      <c r="I55" s="126">
        <f t="shared" si="4"/>
        <v>17.06173353</v>
      </c>
      <c r="J55" s="121">
        <f>IF(OR((Lecturas!F53-Lecturas!E53) &lt; 0), "", Lecturas!F53-Lecturas!E53)</f>
        <v>0</v>
      </c>
      <c r="K55" s="126">
        <f t="shared" si="5"/>
        <v>0</v>
      </c>
      <c r="L55" s="121">
        <f>IF(OR((Lecturas!G53-Lecturas!F53) &lt; 0), "", Lecturas!G53-Lecturas!F53)</f>
        <v>0</v>
      </c>
      <c r="M55" s="126">
        <f t="shared" si="6"/>
        <v>0</v>
      </c>
      <c r="N55" s="121">
        <f>IF(OR((Lecturas!H53-Lecturas!G53) &lt;= 0), "", Lecturas!H53-Lecturas!G53)</f>
        <v>0.127</v>
      </c>
      <c r="O55" s="126">
        <f t="shared" si="7"/>
        <v>1.929977368</v>
      </c>
      <c r="P55" s="121">
        <f>IF(OR((Lecturas!I53-Lecturas!H53) &lt;= 0), "", Lecturas!I53-Lecturas!H53)</f>
        <v>1.784</v>
      </c>
      <c r="Q55" s="126">
        <f t="shared" si="8"/>
        <v>26.47624922</v>
      </c>
      <c r="R55" s="121">
        <f>IF(OR((Lecturas!J53-Lecturas!I53) &lt;= 0), "", Lecturas!J53-Lecturas!I53)</f>
        <v>4.477</v>
      </c>
      <c r="S55" s="126">
        <f t="shared" si="9"/>
        <v>74.19072928</v>
      </c>
      <c r="T55" s="121">
        <f>IF(OR((Lecturas!K53-Lecturas!J53) &lt;= 0), "", Lecturas!K53-Lecturas!J53)</f>
        <v>4.439</v>
      </c>
      <c r="U55" s="126">
        <f t="shared" si="10"/>
        <v>77.9580015</v>
      </c>
      <c r="V55" s="121">
        <f>IF(OR((Lecturas!L53-Lecturas!K53) &lt; 0), "", Lecturas!L53-Lecturas!K53)</f>
        <v>3.579</v>
      </c>
      <c r="W55" s="126">
        <f t="shared" si="11"/>
        <v>43.74781498</v>
      </c>
      <c r="X55" s="121">
        <f>IF(OR((Lecturas!M53-Lecturas!L53) &lt; 0), "", Lecturas!M53-Lecturas!L53)</f>
        <v>2.535</v>
      </c>
      <c r="Y55" s="126">
        <f t="shared" si="12"/>
        <v>30.76064412</v>
      </c>
      <c r="Z55" s="121">
        <f>IF(OR((Lecturas!N53-Lecturas!M53) &lt;= 0), "", Lecturas!N53-Lecturas!M53)</f>
        <v>4.379</v>
      </c>
      <c r="AA55" s="126">
        <f t="shared" si="13"/>
        <v>61.68400258</v>
      </c>
      <c r="AB55" s="121">
        <f>IF(OR((Lecturas!O53-Lecturas!N53) &lt; 0), "", Lecturas!O53-Lecturas!N53)</f>
        <v>3.671</v>
      </c>
      <c r="AC55" s="126">
        <f t="shared" si="14"/>
        <v>47.16148052</v>
      </c>
      <c r="AD55" s="121">
        <f>IF(OR((Lecturas!P53-Lecturas!O53) &lt; 0), "", Lecturas!P53-Lecturas!O53)</f>
        <v>5.527</v>
      </c>
      <c r="AE55" s="126">
        <f t="shared" si="15"/>
        <v>69.51963633</v>
      </c>
      <c r="AF55" s="121">
        <f>IF((Lecturas!Q53-Lecturas!P53)&lt;= 0,"",Lecturas!Q53-Lecturas!P53)</f>
        <v>3.477</v>
      </c>
      <c r="AG55" s="126">
        <f t="shared" si="16"/>
        <v>49.53995111</v>
      </c>
      <c r="AH55" s="121">
        <f>IF((Lecturas!R53-Lecturas!Q53)&lt;= 0,"",Lecturas!R53-Lecturas!Q53)</f>
        <v>4.853</v>
      </c>
      <c r="AI55" s="126">
        <f t="shared" si="17"/>
        <v>67.52443146</v>
      </c>
      <c r="AJ55" s="121">
        <f>IF((Lecturas!S53-Lecturas!R53)&lt;= 0,"",Lecturas!S53-Lecturas!R53)</f>
        <v>5.063</v>
      </c>
      <c r="AK55" s="126">
        <f t="shared" si="18"/>
        <v>72.94638263</v>
      </c>
      <c r="AL55" s="121">
        <f>IF((Lecturas!T53-Lecturas!S53)&lt;= 0,"",Lecturas!T53-Lecturas!S53)</f>
        <v>4.057</v>
      </c>
      <c r="AM55" s="126">
        <f t="shared" si="19"/>
        <v>40.28123692</v>
      </c>
      <c r="AN55" s="121">
        <f>IF((Lecturas!U53-Lecturas!T53)&lt;= 0,"",Lecturas!U53-Lecturas!T53)</f>
        <v>3.277</v>
      </c>
      <c r="AO55" s="126">
        <f t="shared" si="20"/>
        <v>53.29365176</v>
      </c>
      <c r="AP55" s="121">
        <f>IF((Lecturas!V53-Lecturas!U53)&lt;= 0,"",Lecturas!V53-Lecturas!U53)</f>
        <v>3.085</v>
      </c>
      <c r="AQ55" s="126">
        <f t="shared" si="21"/>
        <v>41.10216419</v>
      </c>
      <c r="AR55" s="121">
        <f>IF((Lecturas!W53-Lecturas!V53)&lt;= 0,"",Lecturas!W53-Lecturas!V53)</f>
        <v>2.153</v>
      </c>
      <c r="AS55" s="126">
        <f t="shared" si="22"/>
        <v>25.44184226</v>
      </c>
      <c r="AT55" s="121">
        <f>IF((Lecturas!X53-Lecturas!W53)&lt;= 0,"",Lecturas!X53-Lecturas!W53)</f>
        <v>4.564</v>
      </c>
      <c r="AU55" s="126">
        <f t="shared" si="23"/>
        <v>54.88297984</v>
      </c>
      <c r="AV55" s="121">
        <f>IF((Lecturas!Y53-Lecturas!X53)&lt;= 0,"",Lecturas!Y53-Lecturas!X53)</f>
        <v>1.949</v>
      </c>
      <c r="AW55" s="126">
        <f t="shared" si="24"/>
        <v>23.89172443</v>
      </c>
      <c r="AX55" s="121">
        <f>IF((Lecturas!Z53-Lecturas!Y53)&lt;= 0,"0",Lecturas!Z53-Lecturas!Y53)</f>
        <v>2.838</v>
      </c>
      <c r="AY55" s="126">
        <f t="shared" si="25"/>
        <v>32.9323338</v>
      </c>
      <c r="AZ55" s="121">
        <f>IF((Lecturas!AA53-Lecturas!Z53)&lt;= 0,"0",Lecturas!AA53-Lecturas!Z53)</f>
        <v>3.203</v>
      </c>
      <c r="BA55" s="126">
        <f t="shared" si="26"/>
        <v>44.21431058</v>
      </c>
      <c r="BB55" s="144">
        <f>IF((Lecturas!AB53-Lecturas!AA53)&lt;= 0,"0",Lecturas!AB53-Lecturas!AA53)</f>
        <v>2.577</v>
      </c>
      <c r="BC55" s="126">
        <f t="shared" si="27"/>
        <v>38.61806099</v>
      </c>
      <c r="BD55" s="121">
        <f>IF((Lecturas!AC53-Lecturas!AB53)&lt;= 0,"0",Lecturas!AC53-Lecturas!AB53)</f>
        <v>4.359</v>
      </c>
      <c r="BE55" s="126">
        <f t="shared" si="28"/>
        <v>94.21986232</v>
      </c>
      <c r="BF55" s="121" t="str">
        <f>IF((Lecturas!AD53-Lecturas!AC53)&lt;= 0,"0",Lecturas!AD53-Lecturas!AC53)</f>
        <v>0</v>
      </c>
      <c r="BG55" s="126" t="str">
        <f t="shared" si="29"/>
        <v>0</v>
      </c>
      <c r="BH55" s="121" t="str">
        <f>IF((Lecturas!AE53-Lecturas!AD53)&lt;= 0,"0",Lecturas!AE53-Lecturas!AD53)</f>
        <v>0</v>
      </c>
      <c r="BI55" s="126" t="str">
        <f t="shared" si="30"/>
        <v>0</v>
      </c>
      <c r="BJ55" s="121" t="str">
        <f>IF((Lecturas!AF53-Lecturas!AE53)&lt;= 0,"0",Lecturas!AF53-Lecturas!AE53)</f>
        <v>0</v>
      </c>
      <c r="BK55" s="126" t="str">
        <f t="shared" si="31"/>
        <v>0</v>
      </c>
      <c r="BL55" s="121" t="str">
        <f>IF((Lecturas!AG53-Lecturas!AF53)&lt;= 0,"0",Lecturas!AG53-Lecturas!AF53)</f>
        <v>0</v>
      </c>
      <c r="BM55" s="126" t="str">
        <f t="shared" si="32"/>
        <v>0</v>
      </c>
      <c r="BN55" s="121" t="str">
        <f>IF((Lecturas!AH53-Lecturas!AG53)&lt;= 0,"0",Lecturas!AH53-Lecturas!AG53)</f>
        <v>0</v>
      </c>
      <c r="BO55" s="126" t="str">
        <f t="shared" si="33"/>
        <v>0</v>
      </c>
    </row>
    <row r="56" ht="15.75" customHeight="1">
      <c r="A56" s="120">
        <f t="shared" si="1"/>
        <v>0</v>
      </c>
      <c r="B56" s="121">
        <f t="shared" si="2"/>
        <v>0</v>
      </c>
      <c r="C56" s="170">
        <v>1401.0</v>
      </c>
      <c r="D56" s="171" t="s">
        <v>433</v>
      </c>
      <c r="E56" s="142">
        <v>2034061.0</v>
      </c>
      <c r="F56" s="121">
        <f>Lecturas!D54-Lecturas!C54</f>
        <v>0</v>
      </c>
      <c r="G56" s="126">
        <f t="shared" si="3"/>
        <v>0</v>
      </c>
      <c r="H56" s="121">
        <f>IF((Lecturas!E54-Lecturas!D54) &lt; 0, "", Lecturas!E54-Lecturas!D54)</f>
        <v>0</v>
      </c>
      <c r="I56" s="126">
        <f t="shared" si="4"/>
        <v>0</v>
      </c>
      <c r="J56" s="121">
        <f>IF(OR((Lecturas!F54-Lecturas!E54) &lt;0), "", Lecturas!F54-Lecturas!E54)</f>
        <v>0</v>
      </c>
      <c r="K56" s="126">
        <f t="shared" si="5"/>
        <v>0</v>
      </c>
      <c r="L56" s="121">
        <f>IF(OR((Lecturas!G54-Lecturas!F54) &lt; 0), "", Lecturas!G54-Lecturas!F54)</f>
        <v>0</v>
      </c>
      <c r="M56" s="126">
        <f t="shared" si="6"/>
        <v>0</v>
      </c>
      <c r="N56" s="121">
        <f>IF(OR((Lecturas!H54-Lecturas!G54) &lt; 0), "", Lecturas!H54-Lecturas!G54)</f>
        <v>0</v>
      </c>
      <c r="O56" s="126">
        <f t="shared" si="7"/>
        <v>0</v>
      </c>
      <c r="P56" s="121">
        <f>IF(OR((Lecturas!I54-Lecturas!H54) &lt; 0), "", Lecturas!I54-Lecturas!H54)</f>
        <v>0</v>
      </c>
      <c r="Q56" s="126">
        <f t="shared" si="8"/>
        <v>0</v>
      </c>
      <c r="R56" s="121">
        <f>IF(OR((Lecturas!J54-Lecturas!I54) &lt; 0), "", Lecturas!J54-Lecturas!I54)</f>
        <v>0</v>
      </c>
      <c r="S56" s="126">
        <f t="shared" si="9"/>
        <v>0</v>
      </c>
      <c r="T56" s="121">
        <f>IF(OR((Lecturas!K54-Lecturas!J54) &lt; 0), "", Lecturas!K54-Lecturas!J54)</f>
        <v>0</v>
      </c>
      <c r="U56" s="126">
        <f t="shared" si="10"/>
        <v>0</v>
      </c>
      <c r="V56" s="121">
        <f>IF(OR((Lecturas!L54-Lecturas!K54) &lt; 0), "", Lecturas!L54-Lecturas!K54)</f>
        <v>0</v>
      </c>
      <c r="W56" s="126">
        <f t="shared" si="11"/>
        <v>0</v>
      </c>
      <c r="X56" s="121">
        <f>IF(OR((Lecturas!M54-Lecturas!L54) &lt; 0), "", Lecturas!M54-Lecturas!L54)</f>
        <v>0</v>
      </c>
      <c r="Y56" s="126">
        <f t="shared" si="12"/>
        <v>0</v>
      </c>
      <c r="Z56" s="121">
        <f>IF(OR((Lecturas!N54-Lecturas!M54) &lt; 0), "", Lecturas!N54-Lecturas!M54)</f>
        <v>0</v>
      </c>
      <c r="AA56" s="126">
        <f t="shared" si="13"/>
        <v>0</v>
      </c>
      <c r="AB56" s="121">
        <f>IF(OR((Lecturas!O54-Lecturas!N54) &lt; 0), "", Lecturas!O54-Lecturas!N54)</f>
        <v>0</v>
      </c>
      <c r="AC56" s="126">
        <f t="shared" si="14"/>
        <v>0</v>
      </c>
      <c r="AD56" s="121">
        <f>IF(OR((Lecturas!P54-Lecturas!O54) &lt; 0), "", Lecturas!P54-Lecturas!O54)</f>
        <v>0</v>
      </c>
      <c r="AE56" s="126">
        <f t="shared" si="15"/>
        <v>0</v>
      </c>
      <c r="AF56" s="121">
        <f>IF((Lecturas!Q54-Lecturas!P54)&lt; 0,"",Lecturas!Q54-Lecturas!P54)</f>
        <v>0</v>
      </c>
      <c r="AG56" s="126">
        <f t="shared" si="16"/>
        <v>0</v>
      </c>
      <c r="AH56" s="121">
        <v>0.0</v>
      </c>
      <c r="AI56" s="126">
        <f t="shared" si="17"/>
        <v>0</v>
      </c>
      <c r="AJ56" s="121" t="str">
        <f>IF((Lecturas!S54-Lecturas!R54)&lt;= 0,"",Lecturas!S54-Lecturas!R54)</f>
        <v/>
      </c>
      <c r="AK56" s="126">
        <f t="shared" si="18"/>
        <v>0</v>
      </c>
      <c r="AL56" s="121" t="str">
        <f>IF((Lecturas!T54-Lecturas!S54)&lt;= 0,"",Lecturas!T54-Lecturas!S54)</f>
        <v/>
      </c>
      <c r="AM56" s="126">
        <f t="shared" si="19"/>
        <v>0</v>
      </c>
      <c r="AN56" s="121" t="str">
        <f>IF((Lecturas!U54-Lecturas!T54)&lt;= 0,"",Lecturas!U54-Lecturas!T54)</f>
        <v/>
      </c>
      <c r="AO56" s="126">
        <f t="shared" si="20"/>
        <v>0</v>
      </c>
      <c r="AP56" s="121" t="str">
        <f>IF((Lecturas!V54-Lecturas!U54)&lt;= 0,"",Lecturas!V54-Lecturas!U54)</f>
        <v/>
      </c>
      <c r="AQ56" s="126">
        <f t="shared" si="21"/>
        <v>0</v>
      </c>
      <c r="AR56" s="121" t="str">
        <f>IF((Lecturas!W54-Lecturas!V54)&lt;= 0,"",Lecturas!W54-Lecturas!V54)</f>
        <v/>
      </c>
      <c r="AS56" s="126">
        <f t="shared" si="22"/>
        <v>0</v>
      </c>
      <c r="AT56" s="121" t="str">
        <f>IF((Lecturas!X54-Lecturas!W54)&lt;= 0,"",Lecturas!X54-Lecturas!W54)</f>
        <v/>
      </c>
      <c r="AU56" s="126">
        <f t="shared" si="23"/>
        <v>0</v>
      </c>
      <c r="AV56" s="121" t="str">
        <f>IF((Lecturas!Y54-Lecturas!X54)&lt;= 0,"",Lecturas!Y54-Lecturas!X54)</f>
        <v/>
      </c>
      <c r="AW56" s="126">
        <f t="shared" si="24"/>
        <v>0</v>
      </c>
      <c r="AX56" s="121" t="str">
        <f>IF((Lecturas!Z54-Lecturas!Y54)&lt;= 0,"0",Lecturas!Z54-Lecturas!Y54)</f>
        <v>0</v>
      </c>
      <c r="AY56" s="126">
        <f t="shared" si="25"/>
        <v>0</v>
      </c>
      <c r="AZ56" s="121" t="str">
        <f>IF((Lecturas!AA54-Lecturas!Z54)&lt;= 0,"0",Lecturas!AA54-Lecturas!Z54)</f>
        <v>0</v>
      </c>
      <c r="BA56" s="126">
        <f t="shared" si="26"/>
        <v>0</v>
      </c>
      <c r="BB56" s="159" t="str">
        <f>IF((Lecturas!AB54-Lecturas!AA54)&lt;= 0,"0",Lecturas!AB54-Lecturas!AA54)</f>
        <v>0</v>
      </c>
      <c r="BC56" s="126">
        <f t="shared" si="27"/>
        <v>0</v>
      </c>
      <c r="BD56" s="121" t="str">
        <f>IF((Lecturas!AC54-Lecturas!AB54)&lt;= 0,"0",Lecturas!AC54-Lecturas!AB54)</f>
        <v>0</v>
      </c>
      <c r="BE56" s="126">
        <f t="shared" si="28"/>
        <v>0</v>
      </c>
      <c r="BF56" s="121" t="str">
        <f>IF((Lecturas!AD54-Lecturas!AC54)&lt;= 0,"0",Lecturas!AD54-Lecturas!AC54)</f>
        <v>0</v>
      </c>
      <c r="BG56" s="126" t="str">
        <f t="shared" si="29"/>
        <v>0</v>
      </c>
      <c r="BH56" s="121" t="str">
        <f>IF((Lecturas!AE54-Lecturas!AD54)&lt;= 0,"0",Lecturas!AE54-Lecturas!AD54)</f>
        <v>0</v>
      </c>
      <c r="BI56" s="126" t="str">
        <f t="shared" si="30"/>
        <v>0</v>
      </c>
      <c r="BJ56" s="121" t="str">
        <f>IF((Lecturas!AF54-Lecturas!AE54)&lt;= 0,"0",Lecturas!AF54-Lecturas!AE54)</f>
        <v>0</v>
      </c>
      <c r="BK56" s="126" t="str">
        <f t="shared" si="31"/>
        <v>0</v>
      </c>
      <c r="BL56" s="121" t="str">
        <f>IF((Lecturas!AG54-Lecturas!AF54)&lt;= 0,"0",Lecturas!AG54-Lecturas!AF54)</f>
        <v>0</v>
      </c>
      <c r="BM56" s="126" t="str">
        <f t="shared" si="32"/>
        <v>0</v>
      </c>
      <c r="BN56" s="121" t="str">
        <f>IF((Lecturas!AH54-Lecturas!AG54)&lt;= 0,"0",Lecturas!AH54-Lecturas!AG54)</f>
        <v>0</v>
      </c>
      <c r="BO56" s="126" t="str">
        <f t="shared" si="33"/>
        <v>0</v>
      </c>
    </row>
    <row r="57" ht="21.75" customHeight="1">
      <c r="A57" s="120">
        <f t="shared" si="1"/>
        <v>0</v>
      </c>
      <c r="B57" s="121">
        <f t="shared" si="2"/>
        <v>0</v>
      </c>
      <c r="C57" s="74">
        <v>1402.0</v>
      </c>
      <c r="D57" s="123" t="s">
        <v>411</v>
      </c>
      <c r="E57" s="75">
        <v>2034080.0</v>
      </c>
      <c r="F57" s="121">
        <f>Lecturas!D55-Lecturas!C55</f>
        <v>3.132</v>
      </c>
      <c r="G57" s="126">
        <f t="shared" si="3"/>
        <v>69.95612408</v>
      </c>
      <c r="H57" s="121">
        <f>IF((Lecturas!E55-Lecturas!D55) &lt; 0, "", Lecturas!E55-Lecturas!D55)</f>
        <v>0.038</v>
      </c>
      <c r="I57" s="126">
        <f t="shared" si="4"/>
        <v>0.6788962032</v>
      </c>
      <c r="J57" s="121">
        <f>IF(OR((Lecturas!F55-Lecturas!E55) &lt; 0), "", Lecturas!F55-Lecturas!E55)</f>
        <v>0</v>
      </c>
      <c r="K57" s="126">
        <f t="shared" si="5"/>
        <v>0</v>
      </c>
      <c r="L57" s="121">
        <f>IF(OR((Lecturas!G55-Lecturas!F55) &lt; 0), "", Lecturas!G55-Lecturas!F55)</f>
        <v>0</v>
      </c>
      <c r="M57" s="126">
        <f t="shared" si="6"/>
        <v>0</v>
      </c>
      <c r="N57" s="121">
        <f>IF(OR((Lecturas!H55-Lecturas!G55) &lt; 0), "", Lecturas!H55-Lecturas!G55)</f>
        <v>0</v>
      </c>
      <c r="O57" s="126">
        <f t="shared" si="7"/>
        <v>0</v>
      </c>
      <c r="P57" s="121">
        <f>IF(OR((Lecturas!I55-Lecturas!H55) &lt; 0), "", Lecturas!I55-Lecturas!H55)</f>
        <v>0</v>
      </c>
      <c r="Q57" s="126">
        <f t="shared" si="8"/>
        <v>0</v>
      </c>
      <c r="R57" s="121">
        <f>IF(OR((Lecturas!J55-Lecturas!I55) &lt; 0), "", Lecturas!J55-Lecturas!I55)</f>
        <v>0</v>
      </c>
      <c r="S57" s="126">
        <f t="shared" si="9"/>
        <v>0</v>
      </c>
      <c r="T57" s="121">
        <f>IF(OR((Lecturas!K55-Lecturas!J55) &lt; 0), "", Lecturas!K55-Lecturas!J55)</f>
        <v>0</v>
      </c>
      <c r="U57" s="126">
        <f t="shared" si="10"/>
        <v>0</v>
      </c>
      <c r="V57" s="121">
        <f>IF(OR((Lecturas!L55-Lecturas!K55) &lt; 0), "", Lecturas!L55-Lecturas!K55)</f>
        <v>0</v>
      </c>
      <c r="W57" s="126">
        <f t="shared" si="11"/>
        <v>0</v>
      </c>
      <c r="X57" s="121">
        <f>IF(OR((Lecturas!M55-Lecturas!L55) &lt; 0), "", Lecturas!M55-Lecturas!L55)</f>
        <v>0</v>
      </c>
      <c r="Y57" s="126">
        <f t="shared" si="12"/>
        <v>0</v>
      </c>
      <c r="Z57" s="121">
        <f>IF(OR((Lecturas!N55-Lecturas!M55) &lt; 0), "", Lecturas!N55-Lecturas!M55)</f>
        <v>0</v>
      </c>
      <c r="AA57" s="126">
        <f t="shared" si="13"/>
        <v>0</v>
      </c>
      <c r="AB57" s="121">
        <f>IF(OR((Lecturas!O55-Lecturas!N55) &lt; 0), "", Lecturas!O55-Lecturas!N55)</f>
        <v>0</v>
      </c>
      <c r="AC57" s="126">
        <f t="shared" si="14"/>
        <v>0</v>
      </c>
      <c r="AD57" s="121">
        <f>IF(OR((Lecturas!P55-Lecturas!O55) &lt; 0), "", Lecturas!P55-Lecturas!O55)</f>
        <v>0</v>
      </c>
      <c r="AE57" s="126">
        <f t="shared" si="15"/>
        <v>0</v>
      </c>
      <c r="AF57" s="121">
        <f>IF((Lecturas!Q55-Lecturas!P55)&lt; 0,"",Lecturas!Q55-Lecturas!P55)</f>
        <v>0</v>
      </c>
      <c r="AG57" s="126">
        <f t="shared" si="16"/>
        <v>0</v>
      </c>
      <c r="AH57" s="121">
        <f>IF((Lecturas!R55-Lecturas!Q55)&lt;= 0,"",Lecturas!R55-Lecturas!Q55)</f>
        <v>0.009</v>
      </c>
      <c r="AI57" s="126">
        <f t="shared" si="17"/>
        <v>0.1252256096</v>
      </c>
      <c r="AJ57" s="121">
        <f>IF((Lecturas!S55-Lecturas!R55)&lt;= 0,"",Lecturas!S55-Lecturas!R55)</f>
        <v>0.724</v>
      </c>
      <c r="AK57" s="126">
        <f t="shared" si="18"/>
        <v>10.43120305</v>
      </c>
      <c r="AL57" s="121">
        <f>IF((Lecturas!T55-Lecturas!S55)&lt;= 0,"",Lecturas!T55-Lecturas!S55)</f>
        <v>0.097</v>
      </c>
      <c r="AM57" s="126">
        <f t="shared" si="19"/>
        <v>0.9630958789</v>
      </c>
      <c r="AN57" s="121">
        <f>IF((Lecturas!U55-Lecturas!T55)&lt;= 0,"",Lecturas!U55-Lecturas!T55)</f>
        <v>0.776</v>
      </c>
      <c r="AO57" s="126">
        <f t="shared" si="20"/>
        <v>12.62004082</v>
      </c>
      <c r="AP57" s="121">
        <f>IF((Lecturas!V55-Lecturas!U55)&lt;= 0,"",Lecturas!V55-Lecturas!U55)</f>
        <v>0.1</v>
      </c>
      <c r="AQ57" s="126">
        <f t="shared" si="21"/>
        <v>1.332322988</v>
      </c>
      <c r="AR57" s="121">
        <f>IF((Lecturas!W55-Lecturas!V55)&lt;= 0,"",Lecturas!W55-Lecturas!V55)</f>
        <v>0.086</v>
      </c>
      <c r="AS57" s="126">
        <f t="shared" si="22"/>
        <v>1.016255659</v>
      </c>
      <c r="AT57" s="121" t="str">
        <f>IF((Lecturas!X55-Lecturas!W55)&lt;= 0,"",Lecturas!X55-Lecturas!W55)</f>
        <v/>
      </c>
      <c r="AU57" s="126">
        <f t="shared" si="23"/>
        <v>0</v>
      </c>
      <c r="AV57" s="121">
        <f>IF((Lecturas!Y55-Lecturas!X55)&lt;= 0,"",Lecturas!Y55-Lecturas!X55)</f>
        <v>0.001</v>
      </c>
      <c r="AW57" s="126">
        <f t="shared" si="24"/>
        <v>0.01225845276</v>
      </c>
      <c r="AX57" s="121">
        <f>IF((Lecturas!Z55-Lecturas!Y55)&lt;= 0,"0",Lecturas!Z55-Lecturas!Y55)</f>
        <v>0.203</v>
      </c>
      <c r="AY57" s="126">
        <f t="shared" si="25"/>
        <v>2.355625004</v>
      </c>
      <c r="AZ57" s="121">
        <f>IF((Lecturas!AA55-Lecturas!Z55)&lt;= 0,"0",Lecturas!AA55-Lecturas!Z55)</f>
        <v>0.378</v>
      </c>
      <c r="BA57" s="126">
        <f t="shared" si="26"/>
        <v>5.217923634</v>
      </c>
      <c r="BB57" s="144">
        <f>IF((Lecturas!AB55-Lecturas!AA55)&lt;= 0,"0",Lecturas!AB55-Lecturas!AA55)</f>
        <v>0.018</v>
      </c>
      <c r="BC57" s="126">
        <f t="shared" si="27"/>
        <v>0.2697419859</v>
      </c>
      <c r="BD57" s="121" t="str">
        <f>IF((Lecturas!AC55-Lecturas!AB55)&lt;= 0,"0",Lecturas!AC55-Lecturas!AB55)</f>
        <v>0</v>
      </c>
      <c r="BE57" s="126">
        <f t="shared" si="28"/>
        <v>0</v>
      </c>
      <c r="BF57" s="121" t="str">
        <f>IF((Lecturas!AD55-Lecturas!AC55)&lt;= 0,"0",Lecturas!AD55-Lecturas!AC55)</f>
        <v>0</v>
      </c>
      <c r="BG57" s="126" t="str">
        <f t="shared" si="29"/>
        <v>0</v>
      </c>
      <c r="BH57" s="121" t="str">
        <f>IF((Lecturas!AE55-Lecturas!AD55)&lt;= 0,"0",Lecturas!AE55-Lecturas!AD55)</f>
        <v>0</v>
      </c>
      <c r="BI57" s="126" t="str">
        <f t="shared" si="30"/>
        <v>0</v>
      </c>
      <c r="BJ57" s="121" t="str">
        <f>IF((Lecturas!AF55-Lecturas!AE55)&lt;= 0,"0",Lecturas!AF55-Lecturas!AE55)</f>
        <v>0</v>
      </c>
      <c r="BK57" s="126" t="str">
        <f t="shared" si="31"/>
        <v>0</v>
      </c>
      <c r="BL57" s="121" t="str">
        <f>IF((Lecturas!AG55-Lecturas!AF55)&lt;= 0,"0",Lecturas!AG55-Lecturas!AF55)</f>
        <v>0</v>
      </c>
      <c r="BM57" s="126" t="str">
        <f t="shared" si="32"/>
        <v>0</v>
      </c>
      <c r="BN57" s="121" t="str">
        <f>IF((Lecturas!AH55-Lecturas!AG55)&lt;= 0,"0",Lecturas!AH55-Lecturas!AG55)</f>
        <v>0</v>
      </c>
      <c r="BO57" s="126" t="str">
        <f t="shared" si="33"/>
        <v>0</v>
      </c>
    </row>
    <row r="58" ht="15.75" customHeight="1">
      <c r="A58" s="120">
        <f t="shared" si="1"/>
        <v>0</v>
      </c>
      <c r="B58" s="121">
        <f t="shared" si="2"/>
        <v>0</v>
      </c>
      <c r="C58" s="74">
        <v>1403.0</v>
      </c>
      <c r="D58" s="123" t="s">
        <v>412</v>
      </c>
      <c r="E58" s="75">
        <v>2034073.0</v>
      </c>
      <c r="F58" s="121">
        <f>Lecturas!D56-Lecturas!C56</f>
        <v>0</v>
      </c>
      <c r="G58" s="126">
        <f t="shared" si="3"/>
        <v>0</v>
      </c>
      <c r="H58" s="121">
        <f>IF((Lecturas!E56-Lecturas!D56) &lt; 0, "", Lecturas!E56-Lecturas!D56)</f>
        <v>0</v>
      </c>
      <c r="I58" s="126">
        <f t="shared" si="4"/>
        <v>0</v>
      </c>
      <c r="J58" s="121">
        <f>IF(OR((Lecturas!F56-Lecturas!E56) &lt; 0), "", Lecturas!F56-Lecturas!E56)</f>
        <v>0</v>
      </c>
      <c r="K58" s="126">
        <f t="shared" si="5"/>
        <v>0</v>
      </c>
      <c r="L58" s="121">
        <f>IF(OR((Lecturas!G56-Lecturas!F56) &lt; 0), "", Lecturas!G56-Lecturas!F56)</f>
        <v>0</v>
      </c>
      <c r="M58" s="126">
        <f t="shared" si="6"/>
        <v>0</v>
      </c>
      <c r="N58" s="121">
        <f>IF(OR((Lecturas!H56-Lecturas!G56) &lt; 0), "", Lecturas!H56-Lecturas!G56)</f>
        <v>0</v>
      </c>
      <c r="O58" s="126">
        <f t="shared" si="7"/>
        <v>0</v>
      </c>
      <c r="P58" s="121">
        <f>IF(OR((Lecturas!I56-Lecturas!H56) &lt; 0), "", Lecturas!I56-Lecturas!H56)</f>
        <v>0</v>
      </c>
      <c r="Q58" s="126">
        <f t="shared" si="8"/>
        <v>0</v>
      </c>
      <c r="R58" s="121">
        <f>IF(OR((Lecturas!J56-Lecturas!I56) &lt; 0), "", Lecturas!J56-Lecturas!I56)</f>
        <v>0</v>
      </c>
      <c r="S58" s="126">
        <f t="shared" si="9"/>
        <v>0</v>
      </c>
      <c r="T58" s="121">
        <f>IF(OR((Lecturas!K56-Lecturas!J56) &lt; 0), "", Lecturas!K56-Lecturas!J56)</f>
        <v>0</v>
      </c>
      <c r="U58" s="126">
        <f t="shared" si="10"/>
        <v>0</v>
      </c>
      <c r="V58" s="121">
        <f>IF(OR((Lecturas!L56-Lecturas!K56) &lt; 0), "", Lecturas!L56-Lecturas!K56)</f>
        <v>0</v>
      </c>
      <c r="W58" s="126">
        <f t="shared" si="11"/>
        <v>0</v>
      </c>
      <c r="X58" s="121">
        <f>IF(OR((Lecturas!M56-Lecturas!L56) &lt; 0), "", Lecturas!M56-Lecturas!L56)</f>
        <v>0</v>
      </c>
      <c r="Y58" s="126">
        <f t="shared" si="12"/>
        <v>0</v>
      </c>
      <c r="Z58" s="121">
        <f>IF(OR((Lecturas!N56-Lecturas!M56) &lt; 0), "", Lecturas!N56-Lecturas!M56)</f>
        <v>0</v>
      </c>
      <c r="AA58" s="126">
        <f t="shared" si="13"/>
        <v>0</v>
      </c>
      <c r="AB58" s="121">
        <f>IF(OR((Lecturas!O56-Lecturas!N56) &lt; 0), "", Lecturas!O56-Lecturas!N56)</f>
        <v>0</v>
      </c>
      <c r="AC58" s="126">
        <f t="shared" si="14"/>
        <v>0</v>
      </c>
      <c r="AD58" s="121">
        <f>IF(OR((Lecturas!P56-Lecturas!O56) &lt; 0), "", Lecturas!P56-Lecturas!O56)</f>
        <v>0</v>
      </c>
      <c r="AE58" s="126">
        <f t="shared" si="15"/>
        <v>0</v>
      </c>
      <c r="AF58" s="121">
        <f>IF((Lecturas!Q56-Lecturas!P56)&lt; 0,"",Lecturas!Q56-Lecturas!P56)</f>
        <v>0</v>
      </c>
      <c r="AG58" s="126">
        <f t="shared" si="16"/>
        <v>0</v>
      </c>
      <c r="AH58" s="121">
        <f>IF((Lecturas!R56-Lecturas!Q56)&lt;= 0,"",Lecturas!R56-Lecturas!Q56)</f>
        <v>0.001</v>
      </c>
      <c r="AI58" s="126">
        <f t="shared" si="17"/>
        <v>0.01391395662</v>
      </c>
      <c r="AJ58" s="121" t="str">
        <f>IF((Lecturas!S56-Lecturas!R56)&lt;= 0,"",Lecturas!S56-Lecturas!R56)</f>
        <v/>
      </c>
      <c r="AK58" s="126">
        <f t="shared" si="18"/>
        <v>0</v>
      </c>
      <c r="AL58" s="121" t="str">
        <f>IF((Lecturas!T56-Lecturas!S56)&lt;= 0,"",Lecturas!T56-Lecturas!S56)</f>
        <v/>
      </c>
      <c r="AM58" s="126">
        <f t="shared" si="19"/>
        <v>0</v>
      </c>
      <c r="AN58" s="121" t="str">
        <f>IF((Lecturas!U56-Lecturas!T56)&lt;= 0,"",Lecturas!U56-Lecturas!T56)</f>
        <v/>
      </c>
      <c r="AO58" s="126">
        <f t="shared" si="20"/>
        <v>0</v>
      </c>
      <c r="AP58" s="121" t="str">
        <f>IF((Lecturas!V56-Lecturas!U56)&lt;= 0,"",Lecturas!V56-Lecturas!U56)</f>
        <v/>
      </c>
      <c r="AQ58" s="126">
        <f t="shared" si="21"/>
        <v>0</v>
      </c>
      <c r="AR58" s="121" t="str">
        <f>IF((Lecturas!W56-Lecturas!V56)&lt;= 0,"",Lecturas!W56-Lecturas!V56)</f>
        <v/>
      </c>
      <c r="AS58" s="126">
        <f t="shared" si="22"/>
        <v>0</v>
      </c>
      <c r="AT58" s="121" t="str">
        <f>IF((Lecturas!X56-Lecturas!W56)&lt;= 0,"",Lecturas!X56-Lecturas!W56)</f>
        <v/>
      </c>
      <c r="AU58" s="126">
        <f t="shared" si="23"/>
        <v>0</v>
      </c>
      <c r="AV58" s="121" t="str">
        <f>IF((Lecturas!Y56-Lecturas!X56)&lt;= 0,"",Lecturas!Y56-Lecturas!X56)</f>
        <v/>
      </c>
      <c r="AW58" s="126">
        <f t="shared" si="24"/>
        <v>0</v>
      </c>
      <c r="AX58" s="121" t="str">
        <f>IF((Lecturas!Z56-Lecturas!Y56)&lt;= 0,"0",Lecturas!Z56-Lecturas!Y56)</f>
        <v>0</v>
      </c>
      <c r="AY58" s="126">
        <f t="shared" si="25"/>
        <v>0</v>
      </c>
      <c r="AZ58" s="121" t="str">
        <f>IF((Lecturas!AA56-Lecturas!Z56)&lt;= 0,"0",Lecturas!AA56-Lecturas!Z56)</f>
        <v>0</v>
      </c>
      <c r="BA58" s="126">
        <f t="shared" si="26"/>
        <v>0</v>
      </c>
      <c r="BB58" s="159" t="str">
        <f>IF((Lecturas!AB56-Lecturas!AA56)&lt;= 0,"0",Lecturas!AB56-Lecturas!AA56)</f>
        <v>0</v>
      </c>
      <c r="BC58" s="126">
        <f t="shared" si="27"/>
        <v>0</v>
      </c>
      <c r="BD58" s="121" t="str">
        <f>IF((Lecturas!AC56-Lecturas!AB56)&lt;= 0,"0",Lecturas!AC56-Lecturas!AB56)</f>
        <v>0</v>
      </c>
      <c r="BE58" s="126">
        <f t="shared" si="28"/>
        <v>0</v>
      </c>
      <c r="BF58" s="121" t="str">
        <f>IF((Lecturas!AD56-Lecturas!AC56)&lt;= 0,"0",Lecturas!AD56-Lecturas!AC56)</f>
        <v>0</v>
      </c>
      <c r="BG58" s="126" t="str">
        <f t="shared" si="29"/>
        <v>0</v>
      </c>
      <c r="BH58" s="121" t="str">
        <f>IF((Lecturas!AE56-Lecturas!AD56)&lt;= 0,"0",Lecturas!AE56-Lecturas!AD56)</f>
        <v>0</v>
      </c>
      <c r="BI58" s="126" t="str">
        <f t="shared" si="30"/>
        <v>0</v>
      </c>
      <c r="BJ58" s="121" t="str">
        <f>IF((Lecturas!AF56-Lecturas!AE56)&lt;= 0,"0",Lecturas!AF56-Lecturas!AE56)</f>
        <v>0</v>
      </c>
      <c r="BK58" s="126" t="str">
        <f t="shared" si="31"/>
        <v>0</v>
      </c>
      <c r="BL58" s="121" t="str">
        <f>IF((Lecturas!AG56-Lecturas!AF56)&lt;= 0,"0",Lecturas!AG56-Lecturas!AF56)</f>
        <v>0</v>
      </c>
      <c r="BM58" s="126" t="str">
        <f t="shared" si="32"/>
        <v>0</v>
      </c>
      <c r="BN58" s="121" t="str">
        <f>IF((Lecturas!AH56-Lecturas!AG56)&lt;= 0,"0",Lecturas!AH56-Lecturas!AG56)</f>
        <v>0</v>
      </c>
      <c r="BO58" s="126" t="str">
        <f t="shared" si="33"/>
        <v>0</v>
      </c>
    </row>
    <row r="59" ht="15.75" customHeight="1">
      <c r="A59" s="120">
        <f t="shared" si="1"/>
        <v>0</v>
      </c>
      <c r="B59" s="121">
        <f t="shared" si="2"/>
        <v>0</v>
      </c>
      <c r="C59" s="74">
        <v>1501.0</v>
      </c>
      <c r="D59" s="123" t="s">
        <v>413</v>
      </c>
      <c r="E59" s="75">
        <v>2034064.0</v>
      </c>
      <c r="F59" s="121">
        <f>Lecturas!D57-Lecturas!C57</f>
        <v>11.401</v>
      </c>
      <c r="G59" s="126">
        <f t="shared" si="3"/>
        <v>254.6519063</v>
      </c>
      <c r="H59" s="121">
        <f>IF((Lecturas!E57-Lecturas!D57) &lt; 0, "", Lecturas!E57-Lecturas!D57)</f>
        <v>1.474</v>
      </c>
      <c r="I59" s="126">
        <f t="shared" si="4"/>
        <v>26.33402641</v>
      </c>
      <c r="J59" s="121">
        <f>IF(OR((Lecturas!F57-Lecturas!E57) &lt; 0), "", Lecturas!F57-Lecturas!E57)</f>
        <v>0</v>
      </c>
      <c r="K59" s="126">
        <f t="shared" si="5"/>
        <v>0</v>
      </c>
      <c r="L59" s="121">
        <f>IF(OR((Lecturas!G57-Lecturas!F57) &lt; 0), "", Lecturas!G57-Lecturas!F57)</f>
        <v>0</v>
      </c>
      <c r="M59" s="126">
        <f t="shared" si="6"/>
        <v>0</v>
      </c>
      <c r="N59" s="121">
        <f>IF(OR((Lecturas!H57-Lecturas!G57) &lt; 0), "", Lecturas!H57-Lecturas!G57)</f>
        <v>0</v>
      </c>
      <c r="O59" s="126">
        <f t="shared" si="7"/>
        <v>0</v>
      </c>
      <c r="P59" s="121">
        <f>IF(OR((Lecturas!I57-Lecturas!H57) &lt; 0), "", Lecturas!I57-Lecturas!H57)</f>
        <v>0</v>
      </c>
      <c r="Q59" s="126">
        <f t="shared" si="8"/>
        <v>0</v>
      </c>
      <c r="R59" s="121">
        <f>IF(OR((Lecturas!J57-Lecturas!I57) &lt; 0), "", Lecturas!J57-Lecturas!I57)</f>
        <v>0</v>
      </c>
      <c r="S59" s="126">
        <f t="shared" si="9"/>
        <v>0</v>
      </c>
      <c r="T59" s="121">
        <f>IF(OR((Lecturas!K57-Lecturas!J57) &lt; 0), "", Lecturas!K57-Lecturas!J57)</f>
        <v>0</v>
      </c>
      <c r="U59" s="126">
        <f t="shared" si="10"/>
        <v>0</v>
      </c>
      <c r="V59" s="121">
        <f>IF(OR((Lecturas!L57-Lecturas!K57) &lt; 0), "", Lecturas!L57-Lecturas!K57)</f>
        <v>0</v>
      </c>
      <c r="W59" s="126">
        <f t="shared" si="11"/>
        <v>0</v>
      </c>
      <c r="X59" s="121">
        <f>IF(OR((Lecturas!M57-Lecturas!L57) &lt; 0), "", Lecturas!M57-Lecturas!L57)</f>
        <v>0</v>
      </c>
      <c r="Y59" s="126">
        <f t="shared" si="12"/>
        <v>0</v>
      </c>
      <c r="Z59" s="121">
        <f>IF(OR((Lecturas!N57-Lecturas!M57) &lt; 0), "", Lecturas!N57-Lecturas!M57)</f>
        <v>0</v>
      </c>
      <c r="AA59" s="126">
        <f t="shared" si="13"/>
        <v>0</v>
      </c>
      <c r="AB59" s="121">
        <f>IF(OR((Lecturas!O57-Lecturas!N57) &lt; 0), "", Lecturas!O57-Lecturas!N57)</f>
        <v>0</v>
      </c>
      <c r="AC59" s="126">
        <f t="shared" si="14"/>
        <v>0</v>
      </c>
      <c r="AD59" s="121">
        <f>IF(OR((Lecturas!P57-Lecturas!O57) &lt; 0), "", Lecturas!P57-Lecturas!O57)</f>
        <v>0</v>
      </c>
      <c r="AE59" s="126">
        <f t="shared" si="15"/>
        <v>0</v>
      </c>
      <c r="AF59" s="121">
        <f>IF((Lecturas!Q57-Lecturas!P57)&lt; 0,"",Lecturas!Q57-Lecturas!P57)</f>
        <v>0</v>
      </c>
      <c r="AG59" s="126">
        <f t="shared" si="16"/>
        <v>0</v>
      </c>
      <c r="AH59" s="121">
        <v>0.0</v>
      </c>
      <c r="AI59" s="126">
        <f t="shared" si="17"/>
        <v>0</v>
      </c>
      <c r="AJ59" s="121" t="str">
        <f>IF((Lecturas!S57-Lecturas!R57)&lt;= 0,"",Lecturas!S57-Lecturas!R57)</f>
        <v/>
      </c>
      <c r="AK59" s="126">
        <f t="shared" si="18"/>
        <v>0</v>
      </c>
      <c r="AL59" s="121" t="str">
        <f>IF((Lecturas!T57-Lecturas!S57)&lt;= 0,"",Lecturas!T57-Lecturas!S57)</f>
        <v/>
      </c>
      <c r="AM59" s="126">
        <f t="shared" si="19"/>
        <v>0</v>
      </c>
      <c r="AN59" s="121" t="str">
        <f>IF((Lecturas!U57-Lecturas!T57)&lt;= 0,"",Lecturas!U57-Lecturas!T57)</f>
        <v/>
      </c>
      <c r="AO59" s="126">
        <f t="shared" si="20"/>
        <v>0</v>
      </c>
      <c r="AP59" s="121" t="str">
        <f>IF((Lecturas!V57-Lecturas!U57)&lt;= 0,"",Lecturas!V57-Lecturas!U57)</f>
        <v/>
      </c>
      <c r="AQ59" s="126">
        <f t="shared" si="21"/>
        <v>0</v>
      </c>
      <c r="AR59" s="121" t="str">
        <f>IF((Lecturas!W57-Lecturas!V57)&lt;= 0,"",Lecturas!W57-Lecturas!V57)</f>
        <v/>
      </c>
      <c r="AS59" s="126">
        <f t="shared" si="22"/>
        <v>0</v>
      </c>
      <c r="AT59" s="121" t="str">
        <f>IF((Lecturas!X57-Lecturas!W57)&lt;= 0,"",Lecturas!X57-Lecturas!W57)</f>
        <v/>
      </c>
      <c r="AU59" s="126">
        <f t="shared" si="23"/>
        <v>0</v>
      </c>
      <c r="AV59" s="121" t="str">
        <f>IF((Lecturas!Y57-Lecturas!X57)&lt;= 0,"",Lecturas!Y57-Lecturas!X57)</f>
        <v/>
      </c>
      <c r="AW59" s="126">
        <f t="shared" si="24"/>
        <v>0</v>
      </c>
      <c r="AX59" s="121" t="str">
        <f>IF((Lecturas!Z57-Lecturas!Y57)&lt;= 0,"0",Lecturas!Z57-Lecturas!Y57)</f>
        <v>0</v>
      </c>
      <c r="AY59" s="126">
        <f t="shared" si="25"/>
        <v>0</v>
      </c>
      <c r="AZ59" s="121" t="str">
        <f>IF((Lecturas!AA57-Lecturas!Z57)&lt;= 0,"0",Lecturas!AA57-Lecturas!Z57)</f>
        <v>0</v>
      </c>
      <c r="BA59" s="126">
        <f t="shared" si="26"/>
        <v>0</v>
      </c>
      <c r="BB59" s="159" t="str">
        <f>IF((Lecturas!AB57-Lecturas!AA57)&lt;= 0,"0",Lecturas!AB57-Lecturas!AA57)</f>
        <v>0</v>
      </c>
      <c r="BC59" s="126">
        <f t="shared" si="27"/>
        <v>0</v>
      </c>
      <c r="BD59" s="121" t="str">
        <f>IF((Lecturas!AC57-Lecturas!AB57)&lt;= 0,"0",Lecturas!AC57-Lecturas!AB57)</f>
        <v>0</v>
      </c>
      <c r="BE59" s="126">
        <f t="shared" si="28"/>
        <v>0</v>
      </c>
      <c r="BF59" s="121" t="str">
        <f>IF((Lecturas!AD57-Lecturas!AC57)&lt;= 0,"0",Lecturas!AD57-Lecturas!AC57)</f>
        <v>0</v>
      </c>
      <c r="BG59" s="126" t="str">
        <f t="shared" si="29"/>
        <v>0</v>
      </c>
      <c r="BH59" s="121" t="str">
        <f>IF((Lecturas!AE57-Lecturas!AD57)&lt;= 0,"0",Lecturas!AE57-Lecturas!AD57)</f>
        <v>0</v>
      </c>
      <c r="BI59" s="126" t="str">
        <f t="shared" si="30"/>
        <v>0</v>
      </c>
      <c r="BJ59" s="121" t="str">
        <f>IF((Lecturas!AF57-Lecturas!AE57)&lt;= 0,"0",Lecturas!AF57-Lecturas!AE57)</f>
        <v>0</v>
      </c>
      <c r="BK59" s="126" t="str">
        <f t="shared" si="31"/>
        <v>0</v>
      </c>
      <c r="BL59" s="121" t="str">
        <f>IF((Lecturas!AG57-Lecturas!AF57)&lt;= 0,"0",Lecturas!AG57-Lecturas!AF57)</f>
        <v>0</v>
      </c>
      <c r="BM59" s="126" t="str">
        <f t="shared" si="32"/>
        <v>0</v>
      </c>
      <c r="BN59" s="121" t="str">
        <f>IF((Lecturas!AH57-Lecturas!AG57)&lt;= 0,"0",Lecturas!AH57-Lecturas!AG57)</f>
        <v>0</v>
      </c>
      <c r="BO59" s="126" t="str">
        <f t="shared" si="33"/>
        <v>0</v>
      </c>
    </row>
    <row r="60" ht="15.75" customHeight="1">
      <c r="A60" s="120">
        <f t="shared" si="1"/>
        <v>50.7</v>
      </c>
      <c r="B60" s="121">
        <f t="shared" si="2"/>
        <v>3.555</v>
      </c>
      <c r="C60" s="74">
        <v>1502.0</v>
      </c>
      <c r="D60" s="123" t="s">
        <v>414</v>
      </c>
      <c r="E60" s="75">
        <v>2034078.0</v>
      </c>
      <c r="F60" s="121">
        <f>Lecturas!D58-Lecturas!C58</f>
        <v>1.649</v>
      </c>
      <c r="G60" s="126">
        <f t="shared" si="3"/>
        <v>36.831944</v>
      </c>
      <c r="H60" s="121">
        <f>IF((Lecturas!E58-Lecturas!D58) &lt; 0, "", Lecturas!E58-Lecturas!D58)</f>
        <v>4.481</v>
      </c>
      <c r="I60" s="126">
        <f t="shared" si="4"/>
        <v>80.05615491</v>
      </c>
      <c r="J60" s="121">
        <f>IF(OR((Lecturas!F58-Lecturas!E58) &lt;= 0), "", Lecturas!F58-Lecturas!E58)</f>
        <v>3.596</v>
      </c>
      <c r="K60" s="126">
        <f t="shared" si="5"/>
        <v>43.73032655</v>
      </c>
      <c r="L60" s="121">
        <f>IF(OR((Lecturas!G58-Lecturas!F58) &lt;= 0), "", Lecturas!G58-Lecturas!F58)</f>
        <v>3.543</v>
      </c>
      <c r="M60" s="126">
        <f t="shared" si="6"/>
        <v>55.30848557</v>
      </c>
      <c r="N60" s="121">
        <f>IF(OR((Lecturas!H58-Lecturas!G58) &lt;= 0), "", Lecturas!H58-Lecturas!G58)</f>
        <v>4.527</v>
      </c>
      <c r="O60" s="126">
        <f t="shared" si="7"/>
        <v>68.79533501</v>
      </c>
      <c r="P60" s="121">
        <f>IF(OR((Lecturas!I58-Lecturas!H58) &lt;= 0), "", Lecturas!I58-Lecturas!H58)</f>
        <v>4.973</v>
      </c>
      <c r="Q60" s="126">
        <f t="shared" si="8"/>
        <v>73.80402879</v>
      </c>
      <c r="R60" s="121">
        <f>IF(OR((Lecturas!J58-Lecturas!I58) &lt;= 0), "", Lecturas!J58-Lecturas!I58)</f>
        <v>3.096</v>
      </c>
      <c r="S60" s="126">
        <f t="shared" si="9"/>
        <v>51.3054496</v>
      </c>
      <c r="T60" s="121">
        <f>IF(OR((Lecturas!K58-Lecturas!J58) &lt;= 0), "", Lecturas!K58-Lecturas!J58)</f>
        <v>4.289</v>
      </c>
      <c r="U60" s="126">
        <f t="shared" si="10"/>
        <v>75.32369192</v>
      </c>
      <c r="V60" s="121">
        <f>IF(OR((Lecturas!L58-Lecturas!K58) &lt; 0), "", Lecturas!L58-Lecturas!K58)</f>
        <v>5.058</v>
      </c>
      <c r="W60" s="126">
        <f t="shared" si="11"/>
        <v>61.82633367</v>
      </c>
      <c r="X60" s="121">
        <f>IF(OR((Lecturas!M58-Lecturas!L58) &lt; 0), "", Lecturas!M58-Lecturas!L58)</f>
        <v>2.772</v>
      </c>
      <c r="Y60" s="126">
        <f t="shared" si="12"/>
        <v>33.63649132</v>
      </c>
      <c r="Z60" s="121">
        <f>IF(OR((Lecturas!N58-Lecturas!M58) &lt;= 0), "", Lecturas!N58-Lecturas!M58)</f>
        <v>1.835</v>
      </c>
      <c r="AA60" s="126">
        <f t="shared" si="13"/>
        <v>25.84840026</v>
      </c>
      <c r="AB60" s="121">
        <f>IF(OR((Lecturas!O58-Lecturas!N58) &lt;= 0), "", Lecturas!O58-Lecturas!N58)</f>
        <v>3.071</v>
      </c>
      <c r="AC60" s="126">
        <f t="shared" si="14"/>
        <v>39.45325706</v>
      </c>
      <c r="AD60" s="121">
        <f>IF(OR((Lecturas!P58-Lecturas!O58) &lt;= 0), "", Lecturas!P58-Lecturas!O58)</f>
        <v>3.294</v>
      </c>
      <c r="AE60" s="126">
        <f t="shared" si="15"/>
        <v>41.43254606</v>
      </c>
      <c r="AF60" s="121">
        <f>IF((Lecturas!Q58-Lecturas!P58)&lt;= 0,"",Lecturas!Q58-Lecturas!P58)</f>
        <v>3.555</v>
      </c>
      <c r="AG60" s="126">
        <f t="shared" si="16"/>
        <v>50.65128738</v>
      </c>
      <c r="AH60" s="121">
        <f>IF((Lecturas!R58-Lecturas!Q58)&lt;= 0,"",Lecturas!R58-Lecturas!Q58)</f>
        <v>1.463</v>
      </c>
      <c r="AI60" s="126">
        <f t="shared" si="17"/>
        <v>20.35611853</v>
      </c>
      <c r="AJ60" s="121">
        <f>IF((Lecturas!S58-Lecturas!R58)&lt;= 0,"",Lecturas!S58-Lecturas!R58)</f>
        <v>0.958</v>
      </c>
      <c r="AK60" s="126">
        <f t="shared" si="18"/>
        <v>13.80261398</v>
      </c>
      <c r="AL60" s="121">
        <f>IF((Lecturas!T58-Lecturas!S58)&lt;= 0,"",Lecturas!T58-Lecturas!S58)</f>
        <v>5.245</v>
      </c>
      <c r="AM60" s="126">
        <f t="shared" si="19"/>
        <v>52.07667923</v>
      </c>
      <c r="AN60" s="121">
        <f>IF((Lecturas!U58-Lecturas!T58)&lt;= 0,"",Lecturas!U58-Lecturas!T58)</f>
        <v>5.974</v>
      </c>
      <c r="AO60" s="126">
        <f t="shared" si="20"/>
        <v>97.15479879</v>
      </c>
      <c r="AP60" s="121">
        <f>IF((Lecturas!V58-Lecturas!U58)&lt;= 0,"",Lecturas!V58-Lecturas!U58)</f>
        <v>8.994</v>
      </c>
      <c r="AQ60" s="126">
        <f t="shared" si="21"/>
        <v>119.8291296</v>
      </c>
      <c r="AR60" s="121">
        <f>IF((Lecturas!W58-Lecturas!V58)&lt;= 0,"",Lecturas!W58-Lecturas!V58)</f>
        <v>9.279</v>
      </c>
      <c r="AS60" s="126">
        <f t="shared" si="22"/>
        <v>109.6492589</v>
      </c>
      <c r="AT60" s="121">
        <f>IF((Lecturas!X58-Lecturas!W58)&lt;= 0,"",Lecturas!X58-Lecturas!W58)</f>
        <v>2.885</v>
      </c>
      <c r="AU60" s="126">
        <f t="shared" si="23"/>
        <v>34.69268117</v>
      </c>
      <c r="AV60" s="121">
        <f>IF((Lecturas!Y58-Lecturas!X58)&lt;= 0,"",Lecturas!Y58-Lecturas!X58)</f>
        <v>0.009</v>
      </c>
      <c r="AW60" s="126">
        <f t="shared" si="24"/>
        <v>0.1103260748</v>
      </c>
      <c r="AX60" s="121">
        <f>IF((Lecturas!Z58-Lecturas!Y58)&lt;= 0,"0",Lecturas!Z58-Lecturas!Y58)</f>
        <v>3.383</v>
      </c>
      <c r="AY60" s="126">
        <f t="shared" si="25"/>
        <v>39.25654871</v>
      </c>
      <c r="AZ60" s="121">
        <f>IF((Lecturas!AA58-Lecturas!Z58)&lt;= 0,"0",Lecturas!AA58-Lecturas!Z58)</f>
        <v>9.687</v>
      </c>
      <c r="BA60" s="126">
        <f t="shared" si="26"/>
        <v>133.7196461</v>
      </c>
      <c r="BB60" s="144">
        <f>IF((Lecturas!AB58-Lecturas!AA58)&lt;= 0,"0",Lecturas!AB58-Lecturas!AA58)</f>
        <v>6.733</v>
      </c>
      <c r="BC60" s="126">
        <f t="shared" si="27"/>
        <v>100.8984884</v>
      </c>
      <c r="BD60" s="121">
        <f>IF((Lecturas!AC58-Lecturas!AB58)&lt;= 0,"0",Lecturas!AC58-Lecturas!AB58)</f>
        <v>3.459</v>
      </c>
      <c r="BE60" s="126">
        <f t="shared" si="28"/>
        <v>74.76634636</v>
      </c>
      <c r="BF60" s="121" t="str">
        <f>IF((Lecturas!AD58-Lecturas!AC58)&lt;= 0,"0",Lecturas!AD58-Lecturas!AC58)</f>
        <v>0</v>
      </c>
      <c r="BG60" s="126" t="str">
        <f t="shared" si="29"/>
        <v>0</v>
      </c>
      <c r="BH60" s="121" t="str">
        <f>IF((Lecturas!AE58-Lecturas!AD58)&lt;= 0,"0",Lecturas!AE58-Lecturas!AD58)</f>
        <v>0</v>
      </c>
      <c r="BI60" s="126" t="str">
        <f t="shared" si="30"/>
        <v>0</v>
      </c>
      <c r="BJ60" s="121" t="str">
        <f>IF((Lecturas!AF58-Lecturas!AE58)&lt;= 0,"0",Lecturas!AF58-Lecturas!AE58)</f>
        <v>0</v>
      </c>
      <c r="BK60" s="126" t="str">
        <f t="shared" si="31"/>
        <v>0</v>
      </c>
      <c r="BL60" s="121" t="str">
        <f>IF((Lecturas!AG58-Lecturas!AF58)&lt;= 0,"0",Lecturas!AG58-Lecturas!AF58)</f>
        <v>0</v>
      </c>
      <c r="BM60" s="126" t="str">
        <f t="shared" si="32"/>
        <v>0</v>
      </c>
      <c r="BN60" s="121" t="str">
        <f>IF((Lecturas!AH58-Lecturas!AG58)&lt;= 0,"0",Lecturas!AH58-Lecturas!AG58)</f>
        <v>0</v>
      </c>
      <c r="BO60" s="126" t="str">
        <f t="shared" si="33"/>
        <v>0</v>
      </c>
    </row>
    <row r="61" ht="15.75" customHeight="1">
      <c r="A61" s="120">
        <f t="shared" si="1"/>
        <v>24.9</v>
      </c>
      <c r="B61" s="121">
        <f t="shared" si="2"/>
        <v>1.748</v>
      </c>
      <c r="C61" s="74">
        <v>1503.0</v>
      </c>
      <c r="D61" s="123" t="s">
        <v>415</v>
      </c>
      <c r="E61" s="75">
        <v>2188669.0</v>
      </c>
      <c r="F61" s="121">
        <f>Lecturas!D59-Lecturas!C59</f>
        <v>0</v>
      </c>
      <c r="G61" s="126">
        <f t="shared" si="3"/>
        <v>0</v>
      </c>
      <c r="H61" s="121">
        <f>IF((Lecturas!E59-Lecturas!D59) &lt; 0, "", Lecturas!E59-Lecturas!D59)</f>
        <v>0</v>
      </c>
      <c r="I61" s="126">
        <f t="shared" si="4"/>
        <v>0</v>
      </c>
      <c r="J61" s="121">
        <f>IF(OR((Lecturas!F59-Lecturas!E59) &lt; 0), "", Lecturas!F59-Lecturas!E59)</f>
        <v>0</v>
      </c>
      <c r="K61" s="126">
        <f t="shared" si="5"/>
        <v>0</v>
      </c>
      <c r="L61" s="121">
        <f>IF(OR((Lecturas!G59-Lecturas!F59) &lt; 0), "", Lecturas!G59-Lecturas!F59)</f>
        <v>0</v>
      </c>
      <c r="M61" s="126">
        <f t="shared" si="6"/>
        <v>0</v>
      </c>
      <c r="N61" s="121">
        <f>IF(OR((Lecturas!H59-Lecturas!G59) &lt; 0), "", Lecturas!H59-Lecturas!G59)</f>
        <v>0</v>
      </c>
      <c r="O61" s="126">
        <f t="shared" si="7"/>
        <v>0</v>
      </c>
      <c r="P61" s="121">
        <f>IF(OR((Lecturas!I59-Lecturas!H59) &lt; 0), "", Lecturas!I59-Lecturas!H59)</f>
        <v>0</v>
      </c>
      <c r="Q61" s="126">
        <f t="shared" si="8"/>
        <v>0</v>
      </c>
      <c r="R61" s="121">
        <f>IF(OR((Lecturas!J59-Lecturas!I59) &lt; 0), "", Lecturas!J59-Lecturas!I59)</f>
        <v>0</v>
      </c>
      <c r="S61" s="126">
        <f t="shared" si="9"/>
        <v>0</v>
      </c>
      <c r="T61" s="121">
        <f>IF(OR((Lecturas!K59-Lecturas!J59) &lt; 0), "", Lecturas!K59-Lecturas!J59)</f>
        <v>0</v>
      </c>
      <c r="U61" s="126">
        <f t="shared" si="10"/>
        <v>0</v>
      </c>
      <c r="V61" s="121">
        <f>IF(OR((Lecturas!L59-Lecturas!K59) &lt; 0), "", Lecturas!L59-Lecturas!K59)</f>
        <v>0</v>
      </c>
      <c r="W61" s="126">
        <f t="shared" si="11"/>
        <v>0</v>
      </c>
      <c r="X61" s="121">
        <f>IF(OR((Lecturas!M59-Lecturas!L59) &lt; 0), "", Lecturas!M59-Lecturas!L59)</f>
        <v>0</v>
      </c>
      <c r="Y61" s="126">
        <f t="shared" si="12"/>
        <v>0</v>
      </c>
      <c r="Z61" s="121">
        <f>IF(OR((Lecturas!N59-Lecturas!M59) &lt; 0), "", Lecturas!N59-Lecturas!M59)</f>
        <v>0</v>
      </c>
      <c r="AA61" s="126">
        <f t="shared" si="13"/>
        <v>0</v>
      </c>
      <c r="AB61" s="121">
        <f>IF(OR((Lecturas!O59-Lecturas!N59) &lt;= 0), "", Lecturas!O59-Lecturas!N59)</f>
        <v>0.201</v>
      </c>
      <c r="AC61" s="126">
        <f t="shared" si="14"/>
        <v>2.582254858</v>
      </c>
      <c r="AD61" s="121">
        <f>IF(OR((Lecturas!P59-Lecturas!O59) &lt;= 0), "", Lecturas!P59-Lecturas!O59)</f>
        <v>0.782</v>
      </c>
      <c r="AE61" s="126">
        <f t="shared" si="15"/>
        <v>9.836141778</v>
      </c>
      <c r="AF61" s="121">
        <f>IF((Lecturas!Q59-Lecturas!P59)&lt;= 0,"",Lecturas!Q59-Lecturas!P59)</f>
        <v>1.748</v>
      </c>
      <c r="AG61" s="126">
        <f t="shared" si="16"/>
        <v>24.90533061</v>
      </c>
      <c r="AH61" s="121">
        <f>IF((Lecturas!R59-Lecturas!Q59)&lt;= 0,"",Lecturas!R59-Lecturas!Q59)</f>
        <v>1.645</v>
      </c>
      <c r="AI61" s="126">
        <f t="shared" si="17"/>
        <v>22.88845864</v>
      </c>
      <c r="AJ61" s="121">
        <f>IF((Lecturas!S59-Lecturas!R59)&lt;= 0,"",Lecturas!S59-Lecturas!R59)</f>
        <v>1.812</v>
      </c>
      <c r="AK61" s="126">
        <f t="shared" si="18"/>
        <v>26.10682309</v>
      </c>
      <c r="AL61" s="121">
        <f>IF((Lecturas!T59-Lecturas!S59)&lt;= 0,"",Lecturas!T59-Lecturas!S59)</f>
        <v>1.759</v>
      </c>
      <c r="AM61" s="126">
        <f t="shared" si="19"/>
        <v>17.46480053</v>
      </c>
      <c r="AN61" s="121">
        <f>IF((Lecturas!U59-Lecturas!T59)&lt;= 0,"",Lecturas!U59-Lecturas!T59)</f>
        <v>1.971</v>
      </c>
      <c r="AO61" s="126">
        <f t="shared" si="20"/>
        <v>32.05425317</v>
      </c>
      <c r="AP61" s="121">
        <f>IF((Lecturas!V59-Lecturas!U59)&lt;= 0,"",Lecturas!V59-Lecturas!U59)</f>
        <v>2.029</v>
      </c>
      <c r="AQ61" s="126">
        <f t="shared" si="21"/>
        <v>27.03283343</v>
      </c>
      <c r="AR61" s="121">
        <f>IF((Lecturas!W59-Lecturas!V59)&lt;= 0,"",Lecturas!W59-Lecturas!V59)</f>
        <v>2.296</v>
      </c>
      <c r="AS61" s="126">
        <f t="shared" si="22"/>
        <v>27.13166272</v>
      </c>
      <c r="AT61" s="121">
        <f>IF((Lecturas!X59-Lecturas!W59)&lt;= 0,"",Lecturas!X59-Lecturas!W59)</f>
        <v>2.989</v>
      </c>
      <c r="AU61" s="126">
        <f t="shared" si="23"/>
        <v>35.94330122</v>
      </c>
      <c r="AV61" s="121">
        <f>IF((Lecturas!Y59-Lecturas!X59)&lt;= 0,"",Lecturas!Y59-Lecturas!X59)</f>
        <v>3.103</v>
      </c>
      <c r="AW61" s="126">
        <f t="shared" si="24"/>
        <v>38.03797892</v>
      </c>
      <c r="AX61" s="121">
        <f>IF((Lecturas!Z59-Lecturas!Y59)&lt;= 0,"0",Lecturas!Z59-Lecturas!Y59)</f>
        <v>2.617</v>
      </c>
      <c r="AY61" s="126">
        <f t="shared" si="25"/>
        <v>30.36783564</v>
      </c>
      <c r="AZ61" s="121">
        <f>IF((Lecturas!AA59-Lecturas!Z59)&lt;= 0,"0",Lecturas!AA59-Lecturas!Z59)</f>
        <v>2.747</v>
      </c>
      <c r="BA61" s="126">
        <f t="shared" si="26"/>
        <v>37.91967254</v>
      </c>
      <c r="BB61" s="144">
        <f>IF((Lecturas!AB59-Lecturas!AA59)&lt;= 0,"0",Lecturas!AB59-Lecturas!AA59)</f>
        <v>2.651</v>
      </c>
      <c r="BC61" s="126">
        <f t="shared" si="27"/>
        <v>39.72700026</v>
      </c>
      <c r="BD61" s="121">
        <f>IF((Lecturas!AC59-Lecturas!AB59)&lt;= 0,"0",Lecturas!AC59-Lecturas!AB59)</f>
        <v>2.338</v>
      </c>
      <c r="BE61" s="126">
        <f t="shared" si="28"/>
        <v>50.53591147</v>
      </c>
      <c r="BF61" s="121" t="str">
        <f>IF((Lecturas!AD59-Lecturas!AC59)&lt;= 0,"0",Lecturas!AD59-Lecturas!AC59)</f>
        <v>0</v>
      </c>
      <c r="BG61" s="126" t="str">
        <f t="shared" si="29"/>
        <v>0</v>
      </c>
      <c r="BH61" s="121" t="str">
        <f>IF((Lecturas!AE59-Lecturas!AD59)&lt;= 0,"0",Lecturas!AE59-Lecturas!AD59)</f>
        <v>0</v>
      </c>
      <c r="BI61" s="126" t="str">
        <f t="shared" si="30"/>
        <v>0</v>
      </c>
      <c r="BJ61" s="121" t="str">
        <f>IF((Lecturas!AF59-Lecturas!AE59)&lt;= 0,"0",Lecturas!AF59-Lecturas!AE59)</f>
        <v>0</v>
      </c>
      <c r="BK61" s="126" t="str">
        <f t="shared" si="31"/>
        <v>0</v>
      </c>
      <c r="BL61" s="121" t="str">
        <f>IF((Lecturas!AG59-Lecturas!AF59)&lt;= 0,"0",Lecturas!AG59-Lecturas!AF59)</f>
        <v>0</v>
      </c>
      <c r="BM61" s="126" t="str">
        <f t="shared" si="32"/>
        <v>0</v>
      </c>
      <c r="BN61" s="121" t="str">
        <f>IF((Lecturas!AH59-Lecturas!AG59)&lt;= 0,"0",Lecturas!AH59-Lecturas!AG59)</f>
        <v>0</v>
      </c>
      <c r="BO61" s="126" t="str">
        <f t="shared" si="33"/>
        <v>0</v>
      </c>
    </row>
    <row r="62" ht="15.75" customHeight="1">
      <c r="A62" s="120">
        <f t="shared" si="1"/>
        <v>50.3</v>
      </c>
      <c r="B62" s="121">
        <f t="shared" si="2"/>
        <v>3.532</v>
      </c>
      <c r="C62" s="74">
        <v>1601.0</v>
      </c>
      <c r="D62" s="123" t="s">
        <v>416</v>
      </c>
      <c r="E62" s="75">
        <v>2034074.0</v>
      </c>
      <c r="F62" s="121">
        <f>Lecturas!D60-Lecturas!C60</f>
        <v>3.745</v>
      </c>
      <c r="G62" s="126">
        <f t="shared" si="3"/>
        <v>83.64804747</v>
      </c>
      <c r="H62" s="121">
        <f>IF((Lecturas!E60-Lecturas!D60) &lt; 0, "", Lecturas!E60-Lecturas!D60)</f>
        <v>4.503</v>
      </c>
      <c r="I62" s="126">
        <f t="shared" si="4"/>
        <v>80.44920008</v>
      </c>
      <c r="J62" s="121">
        <f>IF(OR((Lecturas!F60-Lecturas!E60) &lt;= 0), "", Lecturas!F60-Lecturas!E60)</f>
        <v>2.702</v>
      </c>
      <c r="K62" s="126">
        <f t="shared" si="5"/>
        <v>32.85854903</v>
      </c>
      <c r="L62" s="121">
        <f>IF(OR((Lecturas!G60-Lecturas!F60) &lt;= 0), "", Lecturas!G60-Lecturas!F60)</f>
        <v>4.069</v>
      </c>
      <c r="M62" s="126">
        <f t="shared" si="6"/>
        <v>63.51968043</v>
      </c>
      <c r="N62" s="121">
        <f>IF(OR((Lecturas!H60-Lecturas!G60) &lt;= 0), "", Lecturas!H60-Lecturas!G60)</f>
        <v>5.017</v>
      </c>
      <c r="O62" s="126">
        <f t="shared" si="7"/>
        <v>76.24170439</v>
      </c>
      <c r="P62" s="121">
        <f>IF(OR((Lecturas!I60-Lecturas!H60) &lt;= 0), "", Lecturas!I60-Lecturas!H60)</f>
        <v>4.819</v>
      </c>
      <c r="Q62" s="126">
        <f t="shared" si="8"/>
        <v>71.51852298</v>
      </c>
      <c r="R62" s="121">
        <f>IF(OR((Lecturas!J60-Lecturas!I60) &lt;= 0), "", Lecturas!J60-Lecturas!I60)</f>
        <v>5.905</v>
      </c>
      <c r="S62" s="126">
        <f t="shared" si="9"/>
        <v>97.85487076</v>
      </c>
      <c r="T62" s="121">
        <f>IF(OR((Lecturas!K60-Lecturas!J60) &lt;= 0), "", Lecturas!K60-Lecturas!J60)</f>
        <v>4.419</v>
      </c>
      <c r="U62" s="126">
        <f t="shared" si="10"/>
        <v>77.60676023</v>
      </c>
      <c r="V62" s="121">
        <f>IF(OR((Lecturas!L60-Lecturas!K60) &lt; 0), "", Lecturas!L60-Lecturas!K60)</f>
        <v>2.959</v>
      </c>
      <c r="W62" s="126">
        <f t="shared" si="11"/>
        <v>36.16926084</v>
      </c>
      <c r="X62" s="121">
        <f>IF(OR((Lecturas!M60-Lecturas!L60) &lt; 0), "", Lecturas!M60-Lecturas!L60)</f>
        <v>3.209</v>
      </c>
      <c r="Y62" s="126">
        <f t="shared" si="12"/>
        <v>38.9392138</v>
      </c>
      <c r="Z62" s="121">
        <f>IF(OR((Lecturas!N60-Lecturas!M60) &lt;= 0), "", Lecturas!N60-Lecturas!M60)</f>
        <v>3.282</v>
      </c>
      <c r="AA62" s="126">
        <f t="shared" si="13"/>
        <v>46.23130771</v>
      </c>
      <c r="AB62" s="121">
        <f>IF(OR((Lecturas!O60-Lecturas!N60) &lt;= 0), "", Lecturas!O60-Lecturas!N60)</f>
        <v>2.569</v>
      </c>
      <c r="AC62" s="126">
        <f t="shared" si="14"/>
        <v>33.00404344</v>
      </c>
      <c r="AD62" s="121">
        <f>IF(OR((Lecturas!P60-Lecturas!O60) &lt;= 0), "", Lecturas!P60-Lecturas!O60)</f>
        <v>2.438</v>
      </c>
      <c r="AE62" s="126">
        <f t="shared" si="15"/>
        <v>30.66561848</v>
      </c>
      <c r="AF62" s="121">
        <f>IF((Lecturas!Q60-Lecturas!P60)&lt;= 0,"",Lecturas!Q60-Lecturas!P60)</f>
        <v>3.532</v>
      </c>
      <c r="AG62" s="126">
        <f t="shared" si="16"/>
        <v>50.32358566</v>
      </c>
      <c r="AH62" s="121">
        <f>IF((Lecturas!R60-Lecturas!Q60)&lt;= 0,"",Lecturas!R60-Lecturas!Q60)</f>
        <v>3.142</v>
      </c>
      <c r="AI62" s="126">
        <f t="shared" si="17"/>
        <v>43.71765169</v>
      </c>
      <c r="AJ62" s="121">
        <f>IF((Lecturas!S60-Lecturas!R60)&lt;= 0,"",Lecturas!S60-Lecturas!R60)</f>
        <v>3.489</v>
      </c>
      <c r="AK62" s="126">
        <f t="shared" si="18"/>
        <v>50.26860142</v>
      </c>
      <c r="AL62" s="121">
        <f>IF((Lecturas!T60-Lecturas!S60)&lt;= 0,"",Lecturas!T60-Lecturas!S60)</f>
        <v>3.82</v>
      </c>
      <c r="AM62" s="126">
        <f t="shared" si="19"/>
        <v>37.92810575</v>
      </c>
      <c r="AN62" s="121">
        <f>IF((Lecturas!U60-Lecturas!T60)&lt;= 0,"",Lecturas!U60-Lecturas!T60)</f>
        <v>3.286</v>
      </c>
      <c r="AO62" s="126">
        <f t="shared" si="20"/>
        <v>53.44001821</v>
      </c>
      <c r="AP62" s="121">
        <f>IF((Lecturas!V60-Lecturas!U60)&lt;= 0,"",Lecturas!V60-Lecturas!U60)</f>
        <v>3.994</v>
      </c>
      <c r="AQ62" s="126">
        <f t="shared" si="21"/>
        <v>53.21298016</v>
      </c>
      <c r="AR62" s="121">
        <f>IF((Lecturas!W60-Lecturas!V60)&lt;= 0,"",Lecturas!W60-Lecturas!V60)</f>
        <v>3.662</v>
      </c>
      <c r="AS62" s="126">
        <f t="shared" si="22"/>
        <v>43.273584</v>
      </c>
      <c r="AT62" s="121">
        <f>IF((Lecturas!X60-Lecturas!W60)&lt;= 0,"",Lecturas!X60-Lecturas!W60)</f>
        <v>3.198</v>
      </c>
      <c r="AU62" s="126">
        <f t="shared" si="23"/>
        <v>38.45656651</v>
      </c>
      <c r="AV62" s="121">
        <f>IF((Lecturas!Y60-Lecturas!X60)&lt;= 0,"",Lecturas!Y60-Lecturas!X60)</f>
        <v>4.741</v>
      </c>
      <c r="AW62" s="126">
        <f t="shared" si="24"/>
        <v>58.11732454</v>
      </c>
      <c r="AX62" s="121">
        <f>IF((Lecturas!Z60-Lecturas!Y60)&lt;= 0,"0",Lecturas!Z60-Lecturas!Y60)</f>
        <v>3.383</v>
      </c>
      <c r="AY62" s="126">
        <f t="shared" si="25"/>
        <v>39.25654871</v>
      </c>
      <c r="AZ62" s="121">
        <f>IF((Lecturas!AA60-Lecturas!Z60)&lt;= 0,"0",Lecturas!AA60-Lecturas!Z60)</f>
        <v>4.39</v>
      </c>
      <c r="BA62" s="126">
        <f t="shared" si="26"/>
        <v>60.59969511</v>
      </c>
      <c r="BB62" s="144">
        <f>IF((Lecturas!AB60-Lecturas!AA60)&lt;= 0,"0",Lecturas!AB60-Lecturas!AA60)</f>
        <v>3.415</v>
      </c>
      <c r="BC62" s="126">
        <f t="shared" si="27"/>
        <v>51.176049</v>
      </c>
      <c r="BD62" s="121">
        <f>IF((Lecturas!AC60-Lecturas!AB60)&lt;= 0,"0",Lecturas!AC60-Lecturas!AB60)</f>
        <v>4.389</v>
      </c>
      <c r="BE62" s="126">
        <f t="shared" si="28"/>
        <v>94.86831285</v>
      </c>
      <c r="BF62" s="121" t="str">
        <f>IF((Lecturas!AD60-Lecturas!AC60)&lt;= 0,"0",Lecturas!AD60-Lecturas!AC60)</f>
        <v>0</v>
      </c>
      <c r="BG62" s="126" t="str">
        <f t="shared" si="29"/>
        <v>0</v>
      </c>
      <c r="BH62" s="121" t="str">
        <f>IF((Lecturas!AE60-Lecturas!AD60)&lt;= 0,"0",Lecturas!AE60-Lecturas!AD60)</f>
        <v>0</v>
      </c>
      <c r="BI62" s="126" t="str">
        <f t="shared" si="30"/>
        <v>0</v>
      </c>
      <c r="BJ62" s="121" t="str">
        <f>IF((Lecturas!AF60-Lecturas!AE60)&lt;= 0,"0",Lecturas!AF60-Lecturas!AE60)</f>
        <v>0</v>
      </c>
      <c r="BK62" s="126" t="str">
        <f t="shared" si="31"/>
        <v>0</v>
      </c>
      <c r="BL62" s="121" t="str">
        <f>IF((Lecturas!AG60-Lecturas!AF60)&lt;= 0,"0",Lecturas!AG60-Lecturas!AF60)</f>
        <v>0</v>
      </c>
      <c r="BM62" s="126" t="str">
        <f t="shared" si="32"/>
        <v>0</v>
      </c>
      <c r="BN62" s="121" t="str">
        <f>IF((Lecturas!AH60-Lecturas!AG60)&lt;= 0,"0",Lecturas!AH60-Lecturas!AG60)</f>
        <v>0</v>
      </c>
      <c r="BO62" s="126" t="str">
        <f t="shared" si="33"/>
        <v>0</v>
      </c>
    </row>
    <row r="63" ht="15.75" customHeight="1">
      <c r="A63" s="120">
        <f t="shared" si="1"/>
        <v>41.2</v>
      </c>
      <c r="B63" s="121">
        <f t="shared" si="2"/>
        <v>2.892</v>
      </c>
      <c r="C63" s="74">
        <v>1602.0</v>
      </c>
      <c r="D63" s="123" t="s">
        <v>417</v>
      </c>
      <c r="E63" s="75">
        <v>2034082.0</v>
      </c>
      <c r="F63" s="121">
        <f>Lecturas!D61-Lecturas!C61</f>
        <v>3.163</v>
      </c>
      <c r="G63" s="126">
        <f t="shared" si="3"/>
        <v>70.64853782</v>
      </c>
      <c r="H63" s="121">
        <f>IF((Lecturas!E61-Lecturas!D61) &lt; 0, "", Lecturas!E61-Lecturas!D61)</f>
        <v>4.552</v>
      </c>
      <c r="I63" s="126">
        <f t="shared" si="4"/>
        <v>81.32461887</v>
      </c>
      <c r="J63" s="121">
        <f>IF(OR((Lecturas!F61-Lecturas!E61) &lt;= 0), "", Lecturas!F61-Lecturas!E61)</f>
        <v>4.297</v>
      </c>
      <c r="K63" s="126">
        <f t="shared" si="5"/>
        <v>52.25506484</v>
      </c>
      <c r="L63" s="121">
        <f>IF(OR((Lecturas!G61-Lecturas!F61) &lt;= 0), "", Lecturas!G61-Lecturas!F61)</f>
        <v>4.354</v>
      </c>
      <c r="M63" s="126">
        <f t="shared" si="6"/>
        <v>67.96871187</v>
      </c>
      <c r="N63" s="121">
        <f>IF(OR((Lecturas!H61-Lecturas!G61) &lt;= 0), "", Lecturas!H61-Lecturas!G61)</f>
        <v>4.052</v>
      </c>
      <c r="O63" s="126">
        <f t="shared" si="7"/>
        <v>61.57691572</v>
      </c>
      <c r="P63" s="121">
        <f>IF(OR((Lecturas!I61-Lecturas!H61) &lt;= 0), "", Lecturas!I61-Lecturas!H61)</f>
        <v>3.522</v>
      </c>
      <c r="Q63" s="126">
        <f t="shared" si="8"/>
        <v>52.26981488</v>
      </c>
      <c r="R63" s="121">
        <f>IF(OR((Lecturas!J61-Lecturas!I61) &lt;= 0), "", Lecturas!J61-Lecturas!I61)</f>
        <v>3.157</v>
      </c>
      <c r="S63" s="126">
        <f t="shared" si="9"/>
        <v>52.31631279</v>
      </c>
      <c r="T63" s="121">
        <f>IF(OR((Lecturas!K61-Lecturas!J61) &lt;= 0), "", Lecturas!K61-Lecturas!J61)</f>
        <v>3.255</v>
      </c>
      <c r="U63" s="126">
        <f t="shared" si="10"/>
        <v>57.16451789</v>
      </c>
      <c r="V63" s="121">
        <f>IF(OR((Lecturas!L61-Lecturas!K61) &lt; 0), "", Lecturas!L61-Lecturas!K61)</f>
        <v>2.956</v>
      </c>
      <c r="W63" s="126">
        <f t="shared" si="11"/>
        <v>36.13259042</v>
      </c>
      <c r="X63" s="121">
        <f>IF(OR((Lecturas!M61-Lecturas!L61) &lt; 0), "", Lecturas!M61-Lecturas!L61)</f>
        <v>2.611</v>
      </c>
      <c r="Y63" s="126">
        <f t="shared" si="12"/>
        <v>31.68285672</v>
      </c>
      <c r="Z63" s="121">
        <f>IF(OR((Lecturas!N61-Lecturas!M61) &lt;= 0), "", Lecturas!N61-Lecturas!M61)</f>
        <v>2.709</v>
      </c>
      <c r="AA63" s="126">
        <f t="shared" si="13"/>
        <v>38.15984539</v>
      </c>
      <c r="AB63" s="121">
        <f>IF(OR((Lecturas!O61-Lecturas!N61) &lt;= 0), "", Lecturas!O61-Lecturas!N61)</f>
        <v>3.318</v>
      </c>
      <c r="AC63" s="126">
        <f t="shared" si="14"/>
        <v>42.62647572</v>
      </c>
      <c r="AD63" s="121">
        <f>IF(OR((Lecturas!P61-Lecturas!O61) &lt;= 0), "", Lecturas!P61-Lecturas!O61)</f>
        <v>2.627</v>
      </c>
      <c r="AE63" s="126">
        <f t="shared" si="15"/>
        <v>33.04289572</v>
      </c>
      <c r="AF63" s="121">
        <f>IF((Lecturas!Q61-Lecturas!P61)&lt;= 0,"",Lecturas!Q61-Lecturas!P61)</f>
        <v>2.892</v>
      </c>
      <c r="AG63" s="126">
        <f t="shared" si="16"/>
        <v>41.20492914</v>
      </c>
      <c r="AH63" s="121">
        <f>IF((Lecturas!R61-Lecturas!Q61)&lt;= 0,"",Lecturas!R61-Lecturas!Q61)</f>
        <v>5.255</v>
      </c>
      <c r="AI63" s="126">
        <f t="shared" si="17"/>
        <v>73.11784202</v>
      </c>
      <c r="AJ63" s="121">
        <f>IF((Lecturas!S61-Lecturas!R61)&lt;= 0,"",Lecturas!S61-Lecturas!R61)</f>
        <v>4.991</v>
      </c>
      <c r="AK63" s="126">
        <f t="shared" si="18"/>
        <v>71.90902542</v>
      </c>
      <c r="AL63" s="121">
        <f>IF((Lecturas!T61-Lecturas!S61)&lt;= 0,"",Lecturas!T61-Lecturas!S61)</f>
        <v>4.842</v>
      </c>
      <c r="AM63" s="126">
        <f t="shared" si="19"/>
        <v>48.07536336</v>
      </c>
      <c r="AN63" s="121">
        <f>IF((Lecturas!U61-Lecturas!T61)&lt;= 0,"",Lecturas!U61-Lecturas!T61)</f>
        <v>3.085</v>
      </c>
      <c r="AO63" s="126">
        <f t="shared" si="20"/>
        <v>50.17116744</v>
      </c>
      <c r="AP63" s="121">
        <f>IF((Lecturas!V61-Lecturas!U61)&lt;= 0,"",Lecturas!V61-Lecturas!U61)</f>
        <v>0.695</v>
      </c>
      <c r="AQ63" s="126">
        <f t="shared" si="21"/>
        <v>9.259644769</v>
      </c>
      <c r="AR63" s="121">
        <f>IF((Lecturas!W61-Lecturas!V61)&lt;= 0,"",Lecturas!W61-Lecturas!V61)</f>
        <v>0.629</v>
      </c>
      <c r="AS63" s="126">
        <f t="shared" si="22"/>
        <v>7.432846624</v>
      </c>
      <c r="AT63" s="121">
        <f>IF((Lecturas!X61-Lecturas!W61)&lt;= 0,"",Lecturas!X61-Lecturas!W61)</f>
        <v>0.804</v>
      </c>
      <c r="AU63" s="126">
        <f t="shared" si="23"/>
        <v>9.668254994</v>
      </c>
      <c r="AV63" s="121">
        <f>IF((Lecturas!Y61-Lecturas!X61)&lt;= 0,"",Lecturas!Y61-Lecturas!X61)</f>
        <v>0.584</v>
      </c>
      <c r="AW63" s="126">
        <f t="shared" si="24"/>
        <v>7.158936412</v>
      </c>
      <c r="AX63" s="121">
        <f>IF((Lecturas!Z61-Lecturas!Y61)&lt;= 0,"0",Lecturas!Z61-Lecturas!Y61)</f>
        <v>0.491</v>
      </c>
      <c r="AY63" s="126">
        <f t="shared" si="25"/>
        <v>5.697595453</v>
      </c>
      <c r="AZ63" s="121">
        <f>IF((Lecturas!AA61-Lecturas!Z61)&lt;= 0,"0",Lecturas!AA61-Lecturas!Z61)</f>
        <v>0.922</v>
      </c>
      <c r="BA63" s="126">
        <f t="shared" si="26"/>
        <v>12.72731638</v>
      </c>
      <c r="BB63" s="144">
        <f>IF((Lecturas!AB61-Lecturas!AA61)&lt;= 0,"0",Lecturas!AB61-Lecturas!AA61)</f>
        <v>0.706</v>
      </c>
      <c r="BC63" s="126">
        <f t="shared" si="27"/>
        <v>10.57988011</v>
      </c>
      <c r="BD63" s="121">
        <f>IF((Lecturas!AC61-Lecturas!AB61)&lt;= 0,"0",Lecturas!AC61-Lecturas!AB61)</f>
        <v>0.667</v>
      </c>
      <c r="BE63" s="126">
        <f t="shared" si="28"/>
        <v>14.41721683</v>
      </c>
      <c r="BF63" s="121" t="str">
        <f>IF((Lecturas!AD61-Lecturas!AC61)&lt;= 0,"0",Lecturas!AD61-Lecturas!AC61)</f>
        <v>0</v>
      </c>
      <c r="BG63" s="126" t="str">
        <f t="shared" si="29"/>
        <v>0</v>
      </c>
      <c r="BH63" s="121" t="str">
        <f>IF((Lecturas!AE61-Lecturas!AD61)&lt;= 0,"0",Lecturas!AE61-Lecturas!AD61)</f>
        <v>0</v>
      </c>
      <c r="BI63" s="126" t="str">
        <f t="shared" si="30"/>
        <v>0</v>
      </c>
      <c r="BJ63" s="121" t="str">
        <f>IF((Lecturas!AF61-Lecturas!AE61)&lt;= 0,"0",Lecturas!AF61-Lecturas!AE61)</f>
        <v>0</v>
      </c>
      <c r="BK63" s="126" t="str">
        <f t="shared" si="31"/>
        <v>0</v>
      </c>
      <c r="BL63" s="121" t="str">
        <f>IF((Lecturas!AG61-Lecturas!AF61)&lt;= 0,"0",Lecturas!AG61-Lecturas!AF61)</f>
        <v>0</v>
      </c>
      <c r="BM63" s="126" t="str">
        <f t="shared" si="32"/>
        <v>0</v>
      </c>
      <c r="BN63" s="121" t="str">
        <f>IF((Lecturas!AH61-Lecturas!AG61)&lt;= 0,"0",Lecturas!AH61-Lecturas!AG61)</f>
        <v>0</v>
      </c>
      <c r="BO63" s="126" t="str">
        <f t="shared" si="33"/>
        <v>0</v>
      </c>
    </row>
    <row r="64" ht="15.75" customHeight="1">
      <c r="A64" s="120">
        <f t="shared" si="1"/>
        <v>139.4</v>
      </c>
      <c r="B64" s="121">
        <f t="shared" si="2"/>
        <v>9.787</v>
      </c>
      <c r="C64" s="74">
        <v>1701.0</v>
      </c>
      <c r="D64" s="123" t="s">
        <v>418</v>
      </c>
      <c r="E64" s="75">
        <v>2034048.0</v>
      </c>
      <c r="F64" s="121">
        <f>Lecturas!D62-Lecturas!C62</f>
        <v>0</v>
      </c>
      <c r="G64" s="126">
        <f t="shared" si="3"/>
        <v>0</v>
      </c>
      <c r="H64" s="121">
        <f>IF((Lecturas!E62-Lecturas!D62) &lt; 0, "", Lecturas!E62-Lecturas!D62)</f>
        <v>0</v>
      </c>
      <c r="I64" s="126">
        <f t="shared" si="4"/>
        <v>0</v>
      </c>
      <c r="J64" s="121">
        <f>IF(OR((Lecturas!F62-Lecturas!E62) &lt;= 0), "", Lecturas!F62-Lecturas!E62)</f>
        <v>2.484</v>
      </c>
      <c r="K64" s="126">
        <f t="shared" si="5"/>
        <v>30.20748919</v>
      </c>
      <c r="L64" s="121">
        <f>IF(OR((Lecturas!G62-Lecturas!F62) &lt;= 0), "", Lecturas!G62-Lecturas!F62)</f>
        <v>4.66</v>
      </c>
      <c r="M64" s="126">
        <f t="shared" si="6"/>
        <v>72.74556668</v>
      </c>
      <c r="N64" s="121">
        <f>IF(OR((Lecturas!H62-Lecturas!G62) &lt;= 0), "", Lecturas!H62-Lecturas!G62)</f>
        <v>4.084</v>
      </c>
      <c r="O64" s="126">
        <f t="shared" si="7"/>
        <v>62.06320923</v>
      </c>
      <c r="P64" s="121">
        <f>IF(OR((Lecturas!I62-Lecturas!H62) &lt;= 0), "", Lecturas!I62-Lecturas!H62)</f>
        <v>6.273</v>
      </c>
      <c r="Q64" s="126">
        <f t="shared" si="8"/>
        <v>93.09725973</v>
      </c>
      <c r="R64" s="121">
        <f>IF(OR((Lecturas!J62-Lecturas!I62) &lt;= 0), "", Lecturas!J62-Lecturas!I62)</f>
        <v>8.038</v>
      </c>
      <c r="S64" s="126">
        <f t="shared" si="9"/>
        <v>133.2019392</v>
      </c>
      <c r="T64" s="121">
        <f>IF(OR((Lecturas!K62-Lecturas!J62) &lt;= 0), "", Lecturas!K62-Lecturas!J62)</f>
        <v>6.393</v>
      </c>
      <c r="U64" s="126">
        <f t="shared" si="10"/>
        <v>112.2742743</v>
      </c>
      <c r="V64" s="121">
        <f>IF(OR((Lecturas!L62-Lecturas!K62) &lt; 0), "", Lecturas!L62-Lecturas!K62)</f>
        <v>7.86</v>
      </c>
      <c r="W64" s="126">
        <f t="shared" si="11"/>
        <v>96.07650902</v>
      </c>
      <c r="X64" s="121">
        <f>IF(OR((Lecturas!M62-Lecturas!L62) &lt; 0), "", Lecturas!M62-Lecturas!L62)</f>
        <v>8.678</v>
      </c>
      <c r="Y64" s="126">
        <f t="shared" si="12"/>
        <v>105.3021182</v>
      </c>
      <c r="Z64" s="121">
        <f>IF(OR((Lecturas!N62-Lecturas!M62) &lt;= 0), "", Lecturas!N62-Lecturas!M62)</f>
        <v>7.332</v>
      </c>
      <c r="AA64" s="126">
        <f t="shared" si="13"/>
        <v>103.2809105</v>
      </c>
      <c r="AB64" s="121">
        <f>IF(OR((Lecturas!O62-Lecturas!N62) &lt;= 0), "", Lecturas!O62-Lecturas!N62)</f>
        <v>10.052</v>
      </c>
      <c r="AC64" s="126">
        <f t="shared" si="14"/>
        <v>129.138437</v>
      </c>
      <c r="AD64" s="121">
        <f>IF(OR((Lecturas!P62-Lecturas!O62) &lt;= 0), "", Lecturas!P62-Lecturas!O62)</f>
        <v>9.499</v>
      </c>
      <c r="AE64" s="126">
        <f t="shared" si="15"/>
        <v>119.4801928</v>
      </c>
      <c r="AF64" s="121">
        <f>IF((Lecturas!Q62-Lecturas!P62)&lt;= 0,"",Lecturas!Q62-Lecturas!P62)</f>
        <v>9.787</v>
      </c>
      <c r="AG64" s="126">
        <f t="shared" si="16"/>
        <v>139.4442052</v>
      </c>
      <c r="AH64" s="121">
        <f>IF((Lecturas!R62-Lecturas!Q62)&lt;= 0,"",Lecturas!R62-Lecturas!Q62)</f>
        <v>8.463</v>
      </c>
      <c r="AI64" s="126">
        <f t="shared" si="17"/>
        <v>117.7538149</v>
      </c>
      <c r="AJ64" s="121">
        <f>IF((Lecturas!S62-Lecturas!R62)&lt;= 0,"",Lecturas!S62-Lecturas!R62)</f>
        <v>8.462</v>
      </c>
      <c r="AK64" s="126">
        <f t="shared" si="18"/>
        <v>121.9182875</v>
      </c>
      <c r="AL64" s="121">
        <f>IF((Lecturas!T62-Lecturas!S62)&lt;= 0,"",Lecturas!T62-Lecturas!S62)</f>
        <v>8.147</v>
      </c>
      <c r="AM64" s="126">
        <f t="shared" si="19"/>
        <v>80.89012501</v>
      </c>
      <c r="AN64" s="121">
        <f>IF((Lecturas!U62-Lecturas!T62)&lt;= 0,"",Lecturas!U62-Lecturas!T62)</f>
        <v>6.579</v>
      </c>
      <c r="AO64" s="126">
        <f t="shared" si="20"/>
        <v>106.993877</v>
      </c>
      <c r="AP64" s="121">
        <f>IF((Lecturas!V62-Lecturas!U62)&lt;= 0,"",Lecturas!V62-Lecturas!U62)</f>
        <v>5.579</v>
      </c>
      <c r="AQ64" s="126">
        <f t="shared" si="21"/>
        <v>74.33029952</v>
      </c>
      <c r="AR64" s="121">
        <f>IF((Lecturas!W62-Lecturas!V62)&lt;= 0,"",Lecturas!W62-Lecturas!V62)</f>
        <v>9.027</v>
      </c>
      <c r="AS64" s="126">
        <f t="shared" si="22"/>
        <v>106.6713934</v>
      </c>
      <c r="AT64" s="121">
        <f>IF((Lecturas!X62-Lecturas!W62)&lt;= 0,"",Lecturas!X62-Lecturas!W62)</f>
        <v>9.971</v>
      </c>
      <c r="AU64" s="126">
        <f t="shared" si="23"/>
        <v>119.9031972</v>
      </c>
      <c r="AV64" s="121">
        <f>IF((Lecturas!Y62-Lecturas!X62)&lt;= 0,"",Lecturas!Y62-Lecturas!X62)</f>
        <v>9.985</v>
      </c>
      <c r="AW64" s="126">
        <f t="shared" si="24"/>
        <v>122.4006508</v>
      </c>
      <c r="AX64" s="121">
        <f>IF((Lecturas!Z62-Lecturas!Y62)&lt;= 0,"0",Lecturas!Z62-Lecturas!Y62)</f>
        <v>12.614</v>
      </c>
      <c r="AY64" s="126">
        <f t="shared" si="25"/>
        <v>146.373664</v>
      </c>
      <c r="AZ64" s="121">
        <f>IF((Lecturas!AA62-Lecturas!Z62)&lt;= 0,"0",Lecturas!AA62-Lecturas!Z62)</f>
        <v>15.105</v>
      </c>
      <c r="BA64" s="126">
        <f t="shared" si="26"/>
        <v>208.5098849</v>
      </c>
      <c r="BB64" s="144">
        <f>IF((Lecturas!AB62-Lecturas!AA62)&lt;= 0,"0",Lecturas!AB62-Lecturas!AA62)</f>
        <v>12.88</v>
      </c>
      <c r="BC64" s="126">
        <f t="shared" si="27"/>
        <v>193.0153766</v>
      </c>
      <c r="BD64" s="121">
        <f>IF((Lecturas!AC62-Lecturas!AB62)&lt;= 0,"0",Lecturas!AC62-Lecturas!AB62)</f>
        <v>12.967</v>
      </c>
      <c r="BE64" s="126">
        <f t="shared" si="28"/>
        <v>280.281935</v>
      </c>
      <c r="BF64" s="121" t="str">
        <f>IF((Lecturas!AD62-Lecturas!AC62)&lt;= 0,"0",Lecturas!AD62-Lecturas!AC62)</f>
        <v>0</v>
      </c>
      <c r="BG64" s="126" t="str">
        <f t="shared" si="29"/>
        <v>0</v>
      </c>
      <c r="BH64" s="121" t="str">
        <f>IF((Lecturas!AE62-Lecturas!AD62)&lt;= 0,"0",Lecturas!AE62-Lecturas!AD62)</f>
        <v>0</v>
      </c>
      <c r="BI64" s="126" t="str">
        <f t="shared" si="30"/>
        <v>0</v>
      </c>
      <c r="BJ64" s="121" t="str">
        <f>IF((Lecturas!AF62-Lecturas!AE62)&lt;= 0,"0",Lecturas!AF62-Lecturas!AE62)</f>
        <v>0</v>
      </c>
      <c r="BK64" s="126" t="str">
        <f t="shared" si="31"/>
        <v>0</v>
      </c>
      <c r="BL64" s="121" t="str">
        <f>IF((Lecturas!AG62-Lecturas!AF62)&lt;= 0,"0",Lecturas!AG62-Lecturas!AF62)</f>
        <v>0</v>
      </c>
      <c r="BM64" s="126" t="str">
        <f t="shared" si="32"/>
        <v>0</v>
      </c>
      <c r="BN64" s="121" t="str">
        <f>IF((Lecturas!AH62-Lecturas!AG62)&lt;= 0,"0",Lecturas!AH62-Lecturas!AG62)</f>
        <v>0</v>
      </c>
      <c r="BO64" s="126" t="str">
        <f t="shared" si="33"/>
        <v>0</v>
      </c>
    </row>
    <row r="65" ht="15.75" customHeight="1">
      <c r="A65" s="120">
        <f t="shared" si="1"/>
        <v>26.9</v>
      </c>
      <c r="B65" s="121">
        <f t="shared" si="2"/>
        <v>1.887</v>
      </c>
      <c r="C65" s="74">
        <v>1702.0</v>
      </c>
      <c r="D65" s="123" t="s">
        <v>419</v>
      </c>
      <c r="E65" s="75">
        <v>2034081.0</v>
      </c>
      <c r="F65" s="121">
        <f>Lecturas!D63-Lecturas!C63</f>
        <v>0.237</v>
      </c>
      <c r="G65" s="126">
        <f t="shared" si="3"/>
        <v>5.293614753</v>
      </c>
      <c r="H65" s="121">
        <f>IF((Lecturas!E63-Lecturas!D63) &lt; 0, "", Lecturas!E63-Lecturas!D63)</f>
        <v>0.072</v>
      </c>
      <c r="I65" s="126">
        <f t="shared" si="4"/>
        <v>1.286329648</v>
      </c>
      <c r="J65" s="121">
        <f>IF(OR((Lecturas!F63-Lecturas!E63) &lt; 0), "", Lecturas!F63-Lecturas!E63)</f>
        <v>0</v>
      </c>
      <c r="K65" s="126">
        <f t="shared" si="5"/>
        <v>0</v>
      </c>
      <c r="L65" s="121">
        <f>IF(OR((Lecturas!G63-Lecturas!F63) &lt;= 0), "", Lecturas!G63-Lecturas!F63)</f>
        <v>0.342</v>
      </c>
      <c r="M65" s="126">
        <f t="shared" si="6"/>
        <v>5.338837726</v>
      </c>
      <c r="N65" s="121">
        <f>IF(OR((Lecturas!H63-Lecturas!G63) &lt;= 0), "", Lecturas!H63-Lecturas!G63)</f>
        <v>1.217</v>
      </c>
      <c r="O65" s="126">
        <f t="shared" si="7"/>
        <v>18.49435006</v>
      </c>
      <c r="P65" s="121">
        <f>IF(OR((Lecturas!I63-Lecturas!H63) &lt;= 0), "", Lecturas!I63-Lecturas!H63)</f>
        <v>1.484</v>
      </c>
      <c r="Q65" s="126">
        <f t="shared" si="8"/>
        <v>22.02396516</v>
      </c>
      <c r="R65" s="121">
        <f>IF(OR((Lecturas!J63-Lecturas!I63) &lt;= 0), "", Lecturas!J63-Lecturas!I63)</f>
        <v>1.19</v>
      </c>
      <c r="S65" s="126">
        <f t="shared" si="9"/>
        <v>19.7201179</v>
      </c>
      <c r="T65" s="121">
        <f>IF(OR((Lecturas!K63-Lecturas!J63) &lt;= 0), "", Lecturas!K63-Lecturas!J63)</f>
        <v>0.537</v>
      </c>
      <c r="U65" s="126">
        <f t="shared" si="10"/>
        <v>9.430828296</v>
      </c>
      <c r="V65" s="121">
        <f>IF(OR((Lecturas!L63-Lecturas!K63) &lt; 0), "", Lecturas!L63-Lecturas!K63)</f>
        <v>0.703</v>
      </c>
      <c r="W65" s="126">
        <f t="shared" si="11"/>
        <v>8.593102524</v>
      </c>
      <c r="X65" s="121">
        <f>IF(OR((Lecturas!M63-Lecturas!L63) &lt; 0), "", Lecturas!M63-Lecturas!L63)</f>
        <v>1.128</v>
      </c>
      <c r="Y65" s="126">
        <f t="shared" si="12"/>
        <v>13.68757655</v>
      </c>
      <c r="Z65" s="121">
        <f>IF(OR((Lecturas!N63-Lecturas!M63) &lt;= 0), "", Lecturas!N63-Lecturas!M63)</f>
        <v>1.551</v>
      </c>
      <c r="AA65" s="126">
        <f t="shared" si="13"/>
        <v>21.8478849</v>
      </c>
      <c r="AB65" s="121">
        <f>IF(OR((Lecturas!O63-Lecturas!N63) &lt;= 0), "", Lecturas!O63-Lecturas!N63)</f>
        <v>1.67</v>
      </c>
      <c r="AC65" s="126">
        <f t="shared" si="14"/>
        <v>21.45455529</v>
      </c>
      <c r="AD65" s="121">
        <f>IF(OR((Lecturas!P63-Lecturas!O63) &lt;= 0), "", Lecturas!P63-Lecturas!O63)</f>
        <v>1.896</v>
      </c>
      <c r="AE65" s="126">
        <f t="shared" si="15"/>
        <v>23.84824145</v>
      </c>
      <c r="AF65" s="121">
        <f>IF((Lecturas!Q63-Lecturas!P63)&lt;= 0,"",Lecturas!Q63-Lecturas!P63)</f>
        <v>1.887</v>
      </c>
      <c r="AG65" s="126">
        <f t="shared" si="16"/>
        <v>26.88578883</v>
      </c>
      <c r="AH65" s="121">
        <f>IF((Lecturas!R63-Lecturas!Q63)&lt;= 0,"",Lecturas!R63-Lecturas!Q63)</f>
        <v>2.011</v>
      </c>
      <c r="AI65" s="126">
        <f t="shared" si="17"/>
        <v>27.98096676</v>
      </c>
      <c r="AJ65" s="121">
        <f>IF((Lecturas!S63-Lecturas!R63)&lt;= 0,"",Lecturas!S63-Lecturas!R63)</f>
        <v>2.011</v>
      </c>
      <c r="AK65" s="126">
        <f t="shared" si="18"/>
        <v>28.97396316</v>
      </c>
      <c r="AL65" s="121">
        <f>IF((Lecturas!T63-Lecturas!S63)&lt;= 0,"",Lecturas!T63-Lecturas!S63)</f>
        <v>3.472</v>
      </c>
      <c r="AM65" s="126">
        <f t="shared" si="19"/>
        <v>34.47287517</v>
      </c>
      <c r="AN65" s="121">
        <f>IF((Lecturas!U63-Lecturas!T63)&lt;= 0,"",Lecturas!U63-Lecturas!T63)</f>
        <v>1.617</v>
      </c>
      <c r="AO65" s="126">
        <f t="shared" si="20"/>
        <v>26.29717269</v>
      </c>
      <c r="AP65" s="121">
        <f>IF((Lecturas!V63-Lecturas!U63)&lt;= 0,"",Lecturas!V63-Lecturas!U63)</f>
        <v>1.865</v>
      </c>
      <c r="AQ65" s="126">
        <f t="shared" si="21"/>
        <v>24.84782373</v>
      </c>
      <c r="AR65" s="121">
        <f>IF((Lecturas!W63-Lecturas!V63)&lt;= 0,"",Lecturas!W63-Lecturas!V63)</f>
        <v>1.814</v>
      </c>
      <c r="AS65" s="126">
        <f t="shared" si="22"/>
        <v>21.43590425</v>
      </c>
      <c r="AT65" s="121">
        <f>IF((Lecturas!X63-Lecturas!W63)&lt;= 0,"",Lecturas!X63-Lecturas!W63)</f>
        <v>1.873</v>
      </c>
      <c r="AU65" s="126">
        <f t="shared" si="23"/>
        <v>22.52318607</v>
      </c>
      <c r="AV65" s="121">
        <f>IF((Lecturas!Y63-Lecturas!X63)&lt;= 0,"",Lecturas!Y63-Lecturas!X63)</f>
        <v>1.717</v>
      </c>
      <c r="AW65" s="126">
        <f t="shared" si="24"/>
        <v>21.04776339</v>
      </c>
      <c r="AX65" s="121">
        <f>IF((Lecturas!Z63-Lecturas!Y63)&lt;= 0,"0",Lecturas!Z63-Lecturas!Y63)</f>
        <v>0.943</v>
      </c>
      <c r="AY65" s="126">
        <f t="shared" si="25"/>
        <v>10.94263241</v>
      </c>
      <c r="AZ65" s="121">
        <f>IF((Lecturas!AA63-Lecturas!Z63)&lt;= 0,"0",Lecturas!AA63-Lecturas!Z63)</f>
        <v>0.086</v>
      </c>
      <c r="BA65" s="126">
        <f t="shared" si="26"/>
        <v>1.187146647</v>
      </c>
      <c r="BB65" s="144">
        <f>IF((Lecturas!AB63-Lecturas!AA63)&lt;= 0,"0",Lecturas!AB63-Lecturas!AA63)</f>
        <v>0.805</v>
      </c>
      <c r="BC65" s="126">
        <f t="shared" si="27"/>
        <v>12.06346104</v>
      </c>
      <c r="BD65" s="121">
        <f>IF((Lecturas!AC63-Lecturas!AB63)&lt;= 0,"0",Lecturas!AC63-Lecturas!AB63)</f>
        <v>0.84</v>
      </c>
      <c r="BE65" s="126">
        <f t="shared" si="28"/>
        <v>18.1566149</v>
      </c>
      <c r="BF65" s="121" t="str">
        <f>IF((Lecturas!AD63-Lecturas!AC63)&lt;= 0,"0",Lecturas!AD63-Lecturas!AC63)</f>
        <v>0</v>
      </c>
      <c r="BG65" s="126" t="str">
        <f t="shared" si="29"/>
        <v>0</v>
      </c>
      <c r="BH65" s="121" t="str">
        <f>IF((Lecturas!AE63-Lecturas!AD63)&lt;= 0,"0",Lecturas!AE63-Lecturas!AD63)</f>
        <v>0</v>
      </c>
      <c r="BI65" s="126" t="str">
        <f t="shared" si="30"/>
        <v>0</v>
      </c>
      <c r="BJ65" s="121" t="str">
        <f>IF((Lecturas!AF63-Lecturas!AE63)&lt;= 0,"0",Lecturas!AF63-Lecturas!AE63)</f>
        <v>0</v>
      </c>
      <c r="BK65" s="126" t="str">
        <f t="shared" si="31"/>
        <v>0</v>
      </c>
      <c r="BL65" s="121" t="str">
        <f>IF((Lecturas!AG63-Lecturas!AF63)&lt;= 0,"0",Lecturas!AG63-Lecturas!AF63)</f>
        <v>0</v>
      </c>
      <c r="BM65" s="126" t="str">
        <f t="shared" si="32"/>
        <v>0</v>
      </c>
      <c r="BN65" s="121" t="str">
        <f>IF((Lecturas!AH63-Lecturas!AG63)&lt;= 0,"0",Lecturas!AH63-Lecturas!AG63)</f>
        <v>0</v>
      </c>
      <c r="BO65" s="126" t="str">
        <f t="shared" si="33"/>
        <v>0</v>
      </c>
    </row>
    <row r="66" ht="15.75" customHeight="1">
      <c r="A66" s="373">
        <f t="shared" ref="A66:B66" si="34">SUM(A6:A65)</f>
        <v>2249.9</v>
      </c>
      <c r="B66" s="374">
        <f t="shared" si="34"/>
        <v>157.918</v>
      </c>
      <c r="C66" s="375"/>
      <c r="D66" s="376"/>
      <c r="E66" s="377"/>
      <c r="F66" s="121">
        <f t="shared" ref="F66:BO66" si="35">SUM(F6:F65)</f>
        <v>140.715</v>
      </c>
      <c r="G66" s="378">
        <f t="shared" si="35"/>
        <v>3143</v>
      </c>
      <c r="H66" s="121">
        <f t="shared" si="35"/>
        <v>127.451</v>
      </c>
      <c r="I66" s="379">
        <f t="shared" si="35"/>
        <v>2277</v>
      </c>
      <c r="J66" s="121">
        <f t="shared" si="35"/>
        <v>115.206</v>
      </c>
      <c r="K66" s="379">
        <f t="shared" si="35"/>
        <v>1401</v>
      </c>
      <c r="L66" s="121">
        <f t="shared" si="35"/>
        <v>119.662</v>
      </c>
      <c r="M66" s="379">
        <f t="shared" si="35"/>
        <v>1868</v>
      </c>
      <c r="N66" s="121">
        <f t="shared" si="35"/>
        <v>125.488</v>
      </c>
      <c r="O66" s="379">
        <f t="shared" si="35"/>
        <v>1907</v>
      </c>
      <c r="P66" s="121">
        <f t="shared" si="35"/>
        <v>132.943</v>
      </c>
      <c r="Q66" s="379">
        <f t="shared" si="35"/>
        <v>1973</v>
      </c>
      <c r="R66" s="121">
        <f t="shared" si="35"/>
        <v>149.956</v>
      </c>
      <c r="S66" s="379">
        <f t="shared" si="35"/>
        <v>2485</v>
      </c>
      <c r="T66" s="121">
        <f t="shared" si="35"/>
        <v>115.647</v>
      </c>
      <c r="U66" s="379">
        <f t="shared" si="35"/>
        <v>2031</v>
      </c>
      <c r="V66" s="121">
        <f t="shared" si="35"/>
        <v>126.887</v>
      </c>
      <c r="W66" s="379">
        <f t="shared" si="35"/>
        <v>1551</v>
      </c>
      <c r="X66" s="121">
        <f t="shared" si="35"/>
        <v>122.462</v>
      </c>
      <c r="Y66" s="379">
        <f t="shared" si="35"/>
        <v>1486</v>
      </c>
      <c r="Z66" s="121">
        <f t="shared" si="35"/>
        <v>139.71</v>
      </c>
      <c r="AA66" s="379">
        <f t="shared" si="35"/>
        <v>1968</v>
      </c>
      <c r="AB66" s="121">
        <f t="shared" si="35"/>
        <v>147.894</v>
      </c>
      <c r="AC66" s="379">
        <f t="shared" si="35"/>
        <v>1900</v>
      </c>
      <c r="AD66" s="121">
        <f t="shared" si="35"/>
        <v>146.285</v>
      </c>
      <c r="AE66" s="378">
        <f t="shared" si="35"/>
        <v>1840</v>
      </c>
      <c r="AF66" s="121">
        <f t="shared" si="35"/>
        <v>157.918</v>
      </c>
      <c r="AG66" s="379">
        <f t="shared" si="35"/>
        <v>2250</v>
      </c>
      <c r="AH66" s="121">
        <f t="shared" si="35"/>
        <v>152.365</v>
      </c>
      <c r="AI66" s="379">
        <f t="shared" si="35"/>
        <v>2120</v>
      </c>
      <c r="AJ66" s="121">
        <f t="shared" si="35"/>
        <v>145.755</v>
      </c>
      <c r="AK66" s="379">
        <f t="shared" si="35"/>
        <v>2100</v>
      </c>
      <c r="AL66" s="121">
        <f t="shared" si="35"/>
        <v>167.19</v>
      </c>
      <c r="AM66" s="379">
        <f t="shared" si="35"/>
        <v>1660</v>
      </c>
      <c r="AN66" s="121">
        <f t="shared" si="35"/>
        <v>122.979</v>
      </c>
      <c r="AO66" s="379">
        <f t="shared" si="35"/>
        <v>2000</v>
      </c>
      <c r="AP66" s="121">
        <f t="shared" si="35"/>
        <v>120.091</v>
      </c>
      <c r="AQ66" s="379">
        <f t="shared" si="35"/>
        <v>1600</v>
      </c>
      <c r="AR66" s="121">
        <f t="shared" si="35"/>
        <v>135.399</v>
      </c>
      <c r="AS66" s="379">
        <f t="shared" si="35"/>
        <v>1600</v>
      </c>
      <c r="AT66" s="121">
        <f t="shared" si="35"/>
        <v>133.054</v>
      </c>
      <c r="AU66" s="379">
        <f t="shared" si="35"/>
        <v>1600</v>
      </c>
      <c r="AV66" s="121">
        <f t="shared" si="35"/>
        <v>134.601</v>
      </c>
      <c r="AW66" s="379">
        <f t="shared" si="35"/>
        <v>1650</v>
      </c>
      <c r="AX66" s="121">
        <f t="shared" si="35"/>
        <v>151.671</v>
      </c>
      <c r="AY66" s="379">
        <f t="shared" si="35"/>
        <v>1760</v>
      </c>
      <c r="AZ66" s="121">
        <f t="shared" si="35"/>
        <v>166.618</v>
      </c>
      <c r="BA66" s="379">
        <f t="shared" si="35"/>
        <v>2300</v>
      </c>
      <c r="BB66" s="144">
        <f t="shared" si="35"/>
        <v>153.48</v>
      </c>
      <c r="BC66" s="379">
        <f t="shared" si="35"/>
        <v>2300</v>
      </c>
      <c r="BD66" s="121">
        <f t="shared" si="35"/>
        <v>127.689</v>
      </c>
      <c r="BE66" s="379">
        <f t="shared" si="35"/>
        <v>2760</v>
      </c>
      <c r="BF66" s="121">
        <f t="shared" si="35"/>
        <v>0</v>
      </c>
      <c r="BG66" s="379">
        <f t="shared" si="35"/>
        <v>0</v>
      </c>
      <c r="BH66" s="121">
        <f t="shared" si="35"/>
        <v>0</v>
      </c>
      <c r="BI66" s="379">
        <f t="shared" si="35"/>
        <v>0</v>
      </c>
      <c r="BJ66" s="121">
        <f t="shared" si="35"/>
        <v>0</v>
      </c>
      <c r="BK66" s="379">
        <f t="shared" si="35"/>
        <v>0</v>
      </c>
      <c r="BL66" s="121">
        <f t="shared" si="35"/>
        <v>0</v>
      </c>
      <c r="BM66" s="379">
        <f t="shared" si="35"/>
        <v>0</v>
      </c>
      <c r="BN66" s="121">
        <f t="shared" si="35"/>
        <v>0</v>
      </c>
      <c r="BO66" s="379">
        <f t="shared" si="35"/>
        <v>0</v>
      </c>
    </row>
    <row r="67" ht="15.75" customHeight="1">
      <c r="A67" s="380"/>
      <c r="B67" s="380"/>
      <c r="C67" s="104"/>
      <c r="D67" s="104"/>
      <c r="E67" s="381"/>
      <c r="F67" s="104"/>
      <c r="G67" s="104"/>
      <c r="H67" s="104"/>
      <c r="I67" s="104"/>
      <c r="J67" s="104"/>
      <c r="K67" s="104"/>
      <c r="L67" s="104"/>
      <c r="M67" s="104"/>
      <c r="N67" s="382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383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</row>
    <row r="68" ht="15.75" customHeight="1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2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ht="15.75" customHeight="1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2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ht="15.75" customHeight="1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2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ht="15.75" customHeight="1">
      <c r="B71" s="1" t="s">
        <v>442</v>
      </c>
      <c r="C71" s="1" t="s">
        <v>443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2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ht="15.75" customHeight="1">
      <c r="B72" s="1" t="s">
        <v>444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2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ht="15.75" customHeight="1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2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ht="15.75" customHeight="1">
      <c r="B74" s="153" t="s">
        <v>445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2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ht="15.75" customHeight="1">
      <c r="B75" s="153" t="s">
        <v>446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2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ht="15.75" customHeight="1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2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ht="15.7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2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ht="15.75" customHeight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2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ht="15.7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2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ht="15.75" customHeight="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2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ht="15.75" customHeight="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2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ht="15.75" customHeight="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2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ht="15.75" customHeight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2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ht="15.75" customHeight="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2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ht="15.75" customHeight="1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2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ht="15.7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2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ht="15.75" customHeight="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2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ht="15.7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2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ht="15.75" customHeight="1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2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ht="15.7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2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ht="15.75" customHeight="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2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ht="15.75" customHeight="1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2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ht="15.75" customHeight="1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2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ht="15.75" customHeight="1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2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ht="15.75" customHeight="1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2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ht="15.75" customHeight="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2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ht="15.75" customHeight="1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2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ht="15.75" customHeight="1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2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ht="15.75" customHeight="1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2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ht="15.75" customHeight="1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2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ht="15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2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ht="15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2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ht="15.7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2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ht="15.75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2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 ht="15.75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2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ht="15.75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2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ht="15.75" customHeight="1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2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ht="15.75" customHeight="1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2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ht="15.75" customHeight="1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2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ht="15.75" customHeight="1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2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ht="15.75" customHeight="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2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ht="15.75" customHeight="1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2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 ht="15.75" customHeight="1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2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ht="15.75" customHeight="1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2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ht="15.75" customHeight="1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2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ht="15.75" customHeight="1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2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 ht="15.75" customHeight="1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2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ht="15.75" customHeight="1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2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ht="15.75" customHeight="1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2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ht="15.75" customHeight="1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2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ht="15.75" customHeight="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2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ht="15.75" customHeight="1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2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 ht="15.75" customHeight="1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2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ht="15.75" customHeight="1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2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 ht="15.75" customHeight="1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2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ht="15.75" customHeight="1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2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 ht="15.75" customHeight="1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2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ht="15.75" customHeight="1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2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 ht="15.75" customHeight="1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2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ht="15.75" customHeight="1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2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ht="15.75" customHeight="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2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ht="15.75" customHeight="1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2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ht="15.75" customHeight="1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2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ht="15.75" customHeight="1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2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 ht="15.75" customHeight="1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2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ht="15.75" customHeight="1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2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 ht="15.75" customHeight="1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2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ht="15.75" customHeight="1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2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ht="15.75" customHeight="1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2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ht="15.75" customHeight="1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2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 ht="15.75" customHeight="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2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ht="15.75" customHeight="1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2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</row>
    <row r="143" ht="15.75" customHeight="1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2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</row>
    <row r="144" ht="15.75" customHeight="1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2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 ht="15.75" customHeight="1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2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</row>
    <row r="146" ht="15.75" customHeight="1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2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 ht="15.75" customHeight="1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2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</row>
    <row r="148" ht="15.75" customHeight="1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2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 ht="15.75" customHeight="1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2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ht="15.75" customHeight="1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2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 ht="15.75" customHeight="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2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ht="15.75" customHeight="1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2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 ht="15.75" customHeight="1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2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ht="15.75" customHeight="1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2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 ht="15.75" customHeight="1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2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</row>
    <row r="156" ht="15.75" customHeight="1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2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</row>
    <row r="157" ht="15.75" customHeight="1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2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ht="15.7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2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 ht="15.7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2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</row>
    <row r="160" ht="15.7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2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</row>
    <row r="161" ht="15.7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2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</row>
    <row r="162" ht="15.7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2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 ht="15.7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2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</row>
    <row r="164" ht="15.7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2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</row>
    <row r="165" ht="15.7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2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</row>
    <row r="166" ht="15.7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2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 ht="15.7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2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</row>
    <row r="168" ht="15.7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2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 ht="15.7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2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</row>
    <row r="170" ht="15.7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2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</row>
    <row r="171" ht="15.7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2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ht="15.7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2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</row>
    <row r="173" ht="15.7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2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 ht="15.7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2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</row>
    <row r="175" ht="15.7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2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</row>
    <row r="176" ht="15.7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2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</row>
    <row r="177" ht="15.7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2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</row>
    <row r="178" ht="15.7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2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</row>
    <row r="179" ht="15.7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2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</row>
    <row r="180" ht="15.7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2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</row>
    <row r="181" ht="15.7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2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</row>
    <row r="182" ht="15.7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2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</row>
    <row r="183" ht="15.7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2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</row>
    <row r="184" ht="15.7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2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 ht="15.7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2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ht="15.7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2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 ht="15.7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2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ht="15.7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2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 ht="15.7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2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ht="15.7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2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</row>
    <row r="191" ht="15.7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2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ht="15.7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2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 ht="15.7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2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ht="15.7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2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 ht="15.7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2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ht="15.7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2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ht="15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2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</row>
    <row r="198" ht="15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2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</row>
    <row r="199" ht="15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2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ht="15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2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 ht="15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2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ht="15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2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</row>
    <row r="203" ht="15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2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</row>
    <row r="204" ht="15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2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 ht="15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2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</row>
    <row r="206" ht="15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2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 ht="15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2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</row>
    <row r="208" ht="15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2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 ht="15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2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ht="15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2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 ht="15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2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</row>
    <row r="212" ht="15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2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</row>
    <row r="213" ht="15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2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</row>
    <row r="214" ht="15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2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 ht="15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2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</row>
    <row r="216" ht="15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2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</row>
    <row r="217" ht="15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2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 ht="15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2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</row>
    <row r="219" ht="15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2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</row>
    <row r="220" ht="15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2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</row>
    <row r="221" ht="15.7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2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</row>
    <row r="222" ht="15.7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2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</row>
    <row r="223" ht="15.7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2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</row>
    <row r="224" ht="15.7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2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</row>
    <row r="225" ht="15.7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2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</row>
    <row r="226" ht="15.7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2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</row>
    <row r="227" ht="15.7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2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</row>
    <row r="228" ht="15.7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2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 ht="15.7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2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</row>
    <row r="230" ht="15.7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2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</row>
    <row r="231" ht="15.7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2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</row>
    <row r="232" ht="15.7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2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</row>
    <row r="233" ht="15.7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2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</row>
    <row r="234" ht="15.7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2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</row>
    <row r="235" ht="15.7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2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</row>
    <row r="236" ht="15.7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2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</row>
    <row r="237" ht="15.7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2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</row>
    <row r="238" ht="15.7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2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</row>
    <row r="239" ht="15.7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2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 ht="15.7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2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</row>
    <row r="241" ht="15.7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2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</row>
    <row r="242" ht="15.7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2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</row>
    <row r="243" ht="15.7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2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</row>
    <row r="244" ht="15.7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2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</row>
    <row r="245" ht="15.7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2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</row>
    <row r="246" ht="15.7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2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</row>
    <row r="247" ht="15.7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2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</row>
    <row r="248" ht="15.7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2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</row>
    <row r="249" ht="15.7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2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</row>
    <row r="250" ht="15.7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2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 ht="15.7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2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</row>
    <row r="252" ht="15.7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2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</row>
    <row r="253" ht="15.7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2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</row>
    <row r="254" ht="15.7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2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</row>
    <row r="255" ht="15.7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2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</row>
    <row r="256" ht="15.7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2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</row>
    <row r="257" ht="15.7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2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</row>
    <row r="258" ht="15.7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2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 ht="15.7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2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</row>
    <row r="260" ht="15.7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2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</row>
    <row r="261" ht="15.7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2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</row>
    <row r="262" ht="15.7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2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 ht="15.7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2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 ht="15.7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2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 ht="15.7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2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 ht="15.7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2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 ht="15.7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2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 ht="15.7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2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 ht="15.7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2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 ht="15.7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2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 ht="15.7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2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 ht="15.7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2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 ht="15.7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2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 ht="15.7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2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 ht="15.7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2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 ht="15.7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2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 ht="15.7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2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 ht="15.7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2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 ht="15.7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2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 ht="15.7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2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 ht="15.7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2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 ht="15.7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2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 ht="15.7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2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 ht="15.7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2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 ht="15.7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2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 ht="15.7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2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 ht="15.7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2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 ht="15.7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2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 ht="15.7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2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 ht="15.7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2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 ht="15.7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2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 ht="15.7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2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 ht="15.7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2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 ht="15.7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2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 ht="15.7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2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 ht="15.7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2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 ht="15.7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2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 ht="15.7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2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 ht="15.7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2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 ht="15.7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2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 ht="15.7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2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 ht="15.7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2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 ht="15.7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2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 ht="15.7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2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 ht="15.7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2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 ht="15.7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2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 ht="15.7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2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 ht="15.7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2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 ht="15.7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2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 ht="15.7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2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 ht="15.7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2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 ht="15.7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2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 ht="15.7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2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 ht="15.7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2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 ht="15.7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2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 ht="15.7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2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 ht="15.7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2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 ht="15.7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2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 ht="15.7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2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 ht="15.7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2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 ht="15.7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2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 ht="15.7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2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 ht="15.7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2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 ht="15.7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2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 ht="15.7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2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 ht="15.7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2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 ht="15.7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2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 ht="15.7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2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 ht="15.7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2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 ht="15.7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2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 ht="15.7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2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 ht="15.7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2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 ht="15.7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2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 ht="15.7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2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 ht="15.7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2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 ht="15.7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2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 ht="15.7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2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 ht="15.7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2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 ht="15.7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2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 ht="15.7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2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 ht="15.7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2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 ht="15.7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2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 ht="15.7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2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 ht="15.7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2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 ht="15.7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2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 ht="15.7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2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 ht="15.7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2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 ht="15.7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2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 ht="15.7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2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 ht="15.7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2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 ht="15.7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2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 ht="15.7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2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 ht="15.7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2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 ht="15.7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2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 ht="15.7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2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 ht="15.7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2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 ht="15.7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2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 ht="15.7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2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 ht="15.7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2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 ht="15.7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2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 ht="15.7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2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 ht="15.7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2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 ht="15.7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2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 ht="15.7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2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 ht="15.7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2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 ht="15.7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2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 ht="15.7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2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 ht="15.7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2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 ht="15.7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2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 ht="15.7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2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 ht="15.7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2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 ht="15.7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2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 ht="15.7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2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 ht="15.7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2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 ht="15.7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2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 ht="15.7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2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 ht="15.7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2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 ht="15.7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2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 ht="15.7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2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 ht="15.7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2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 ht="15.7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2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 ht="15.7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2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 ht="15.7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2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 ht="15.7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2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 ht="15.7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2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 ht="15.7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2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 ht="15.7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2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 ht="15.7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2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 ht="15.7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2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 ht="15.7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2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 ht="15.7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2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 ht="15.7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2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 ht="15.7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2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 ht="15.7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2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 ht="15.7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2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 ht="15.7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2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 ht="15.7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2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 ht="15.7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2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 ht="15.7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2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 ht="15.7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2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 ht="15.7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2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 ht="15.7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2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 ht="15.7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2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 ht="15.7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2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 ht="15.7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2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ht="15.7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2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 ht="15.7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2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 ht="15.7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2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 ht="15.7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2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 ht="15.7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2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 ht="15.7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2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 ht="15.7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2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 ht="15.7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2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 ht="15.7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2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 ht="15.7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2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 ht="15.7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2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 ht="15.7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2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 ht="15.7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2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 ht="15.7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2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 ht="15.7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2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 ht="15.7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2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 ht="15.7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2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 ht="15.7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2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 ht="15.7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2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 ht="15.7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2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 ht="15.7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2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 ht="15.7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2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 ht="15.7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2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 ht="15.7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2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 ht="15.7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2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 ht="15.7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2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 ht="15.7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2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 ht="15.7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2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 ht="15.7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2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 ht="15.7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2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 ht="15.7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2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 ht="15.7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2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 ht="15.7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2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 ht="15.7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2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 ht="15.7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2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 ht="15.7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2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 ht="15.7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2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 ht="15.7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2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 ht="15.7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2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 ht="15.7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2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 ht="15.7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2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 ht="15.7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2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 ht="15.7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2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 ht="15.7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2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 ht="15.7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2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 ht="15.7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2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 ht="15.7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2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 ht="15.7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2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 ht="15.7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2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 ht="15.7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2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 ht="15.7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2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 ht="15.7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2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 ht="15.7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2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 ht="15.7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2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 ht="15.7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2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 ht="15.7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2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 ht="15.7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2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 ht="15.7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2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 ht="15.7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2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 ht="15.7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2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 ht="15.7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2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 ht="15.7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2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 ht="15.7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2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 ht="15.7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2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 ht="15.7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2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 ht="15.7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2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 ht="15.7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2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 ht="15.7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2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 ht="15.7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2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 ht="15.7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2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 ht="15.7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2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 ht="15.7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2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 ht="15.7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2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 ht="15.7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2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 ht="15.7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2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 ht="15.7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2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 ht="15.7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2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 ht="15.7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2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 ht="15.7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2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 ht="15.7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2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 ht="15.7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2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 ht="15.7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2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 ht="15.7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2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 ht="15.7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2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 ht="15.7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2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 ht="15.7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2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 ht="15.7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2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 ht="15.7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2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 ht="15.7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2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 ht="15.7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2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 ht="15.7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2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 ht="15.7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2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 ht="15.7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2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 ht="15.7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2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 ht="15.7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2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 ht="15.7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2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 ht="15.7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2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 ht="15.7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2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 ht="15.7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2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 ht="15.7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2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 ht="15.7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2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 ht="15.7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2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 ht="15.7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2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 ht="15.7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2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 ht="15.7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2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 ht="15.7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2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 ht="15.7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2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 ht="15.7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2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 ht="15.7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2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 ht="15.7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2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 ht="15.7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2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 ht="15.7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2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 ht="15.7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2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 ht="15.7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2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 ht="15.7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2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 ht="15.7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2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 ht="15.7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2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 ht="15.7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2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 ht="15.7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2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 ht="15.7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2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 ht="15.7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2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 ht="15.7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2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 ht="15.7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2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 ht="15.7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2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 ht="15.7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2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 ht="15.7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2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 ht="15.7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2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 ht="15.7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2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 ht="15.7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2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 ht="15.7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2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 ht="15.7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2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 ht="15.7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2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 ht="15.7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2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 ht="15.7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2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 ht="15.7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2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 ht="15.7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2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 ht="15.7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2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 ht="15.7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2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 ht="15.7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2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 ht="15.7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2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 ht="15.7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2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 ht="15.7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2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 ht="15.7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2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 ht="15.7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2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 ht="15.7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2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 ht="15.7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2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 ht="15.7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2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 ht="15.7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2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 ht="15.7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2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 ht="15.7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2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 ht="15.7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2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 ht="15.7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2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 ht="15.7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2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 ht="15.7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2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 ht="15.7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2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 ht="15.7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2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 ht="15.7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2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 ht="15.7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2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 ht="15.7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2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 ht="15.7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2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 ht="15.7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2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 ht="15.7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2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 ht="15.7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2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 ht="15.7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2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 ht="15.7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2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 ht="15.7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2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 ht="15.7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2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 ht="15.7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2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 ht="15.7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2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 ht="15.7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2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 ht="15.7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2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 ht="15.7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2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 ht="15.7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2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 ht="15.7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2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 ht="15.7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2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 ht="15.7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2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 ht="15.7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2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 ht="15.7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2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 ht="15.7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2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 ht="15.7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2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 ht="15.7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2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 ht="15.7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2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 ht="15.7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2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 ht="15.7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2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 ht="15.7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2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 ht="15.7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2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 ht="15.7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2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 ht="15.7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2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 ht="15.7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2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 ht="15.7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2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 ht="15.7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2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 ht="15.7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2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 ht="15.7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2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 ht="15.7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2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 ht="15.7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2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 ht="15.7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2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 ht="15.7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2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 ht="15.7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2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 ht="15.7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2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 ht="15.7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2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 ht="15.7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2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 ht="15.7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2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 ht="15.7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2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 ht="15.7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2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 ht="15.7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2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 ht="15.7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2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 ht="15.7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2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 ht="15.7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2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 ht="15.7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2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 ht="15.7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2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 ht="15.7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2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 ht="15.7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2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 ht="15.7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2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 ht="15.7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2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 ht="15.7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2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 ht="15.7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2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 ht="15.7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2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 ht="15.7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2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 ht="15.7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2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 ht="15.7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2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 ht="15.7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2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 ht="15.7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2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 ht="15.7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2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 ht="15.7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2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 ht="15.7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2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 ht="15.7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2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 ht="15.7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2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 ht="15.7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2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 ht="15.7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2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 ht="15.7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2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 ht="15.7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2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 ht="15.75" customHeight="1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2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 ht="15.75" customHeight="1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2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 ht="15.75" customHeight="1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2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 ht="15.75" customHeight="1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2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 ht="15.75" customHeight="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2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 ht="15.75" customHeight="1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2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 ht="15.75" customHeight="1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2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 ht="15.75" customHeight="1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2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 ht="15.75" customHeight="1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2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 ht="15.75" customHeight="1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2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 ht="15.75" customHeight="1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2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 ht="15.75" customHeight="1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2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 ht="15.75" customHeight="1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2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 ht="15.75" customHeight="1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2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 ht="15.75" customHeight="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2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 ht="15.75" customHeight="1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2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 ht="15.75" customHeight="1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2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 ht="15.75" customHeight="1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2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 ht="15.75" customHeight="1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2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 ht="15.75" customHeight="1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2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 ht="15.75" customHeight="1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2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 ht="15.75" customHeight="1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2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 ht="15.75" customHeight="1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2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 ht="15.75" customHeight="1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2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 ht="15.75" customHeight="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2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 ht="15.75" customHeight="1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2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 ht="15.75" customHeight="1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2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 ht="15.75" customHeight="1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2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 ht="15.75" customHeight="1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2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 ht="15.75" customHeight="1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2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 ht="15.75" customHeight="1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2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 ht="15.75" customHeight="1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2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 ht="15.75" customHeight="1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2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 ht="15.75" customHeight="1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2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 ht="15.75" customHeight="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2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 ht="15.75" customHeight="1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2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 ht="15.75" customHeight="1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2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 ht="15.75" customHeight="1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2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 ht="15.75" customHeight="1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2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 ht="15.75" customHeight="1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2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 ht="15.75" customHeight="1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2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 ht="15.75" customHeight="1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2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 ht="15.75" customHeight="1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2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 ht="15.75" customHeight="1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2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 ht="15.75" customHeight="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2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 ht="15.75" customHeight="1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2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 ht="15.75" customHeight="1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2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 ht="15.75" customHeight="1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2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 ht="15.75" customHeight="1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2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 ht="15.75" customHeight="1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2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 ht="15.75" customHeight="1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2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 ht="15.75" customHeight="1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2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 ht="15.75" customHeight="1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2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 ht="15.75" customHeight="1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2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 ht="15.75" customHeight="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2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 ht="15.75" customHeight="1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2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 ht="15.75" customHeight="1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2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 ht="15.75" customHeight="1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2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 ht="15.75" customHeight="1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2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 ht="15.75" customHeight="1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2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 ht="15.75" customHeight="1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2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 ht="15.75" customHeight="1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2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 ht="15.75" customHeight="1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2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 ht="15.75" customHeight="1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2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 ht="15.75" customHeight="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2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 ht="15.75" customHeight="1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2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 ht="15.75" customHeight="1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2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 ht="15.75" customHeight="1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2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 ht="15.75" customHeight="1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2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 ht="15.75" customHeight="1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2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 ht="15.75" customHeight="1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2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 ht="15.75" customHeight="1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2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 ht="15.75" customHeight="1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2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 ht="15.75" customHeight="1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2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 ht="15.75" customHeight="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2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 ht="15.75" customHeight="1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2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 ht="15.75" customHeight="1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2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 ht="15.75" customHeight="1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2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 ht="15.75" customHeight="1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2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 ht="15.75" customHeight="1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2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 ht="15.75" customHeight="1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2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 ht="15.75" customHeight="1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2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 ht="15.75" customHeight="1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2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 ht="15.75" customHeight="1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2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 ht="15.75" customHeight="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2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 ht="15.75" customHeight="1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2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 ht="15.75" customHeight="1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2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 ht="15.75" customHeight="1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2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 ht="15.75" customHeight="1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2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 ht="15.75" customHeight="1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2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 ht="15.75" customHeight="1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2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 ht="15.75" customHeight="1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2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 ht="15.75" customHeight="1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2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 ht="15.75" customHeight="1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2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 ht="15.75" customHeight="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2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 ht="15.75" customHeight="1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2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 ht="15.75" customHeight="1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2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 ht="15.75" customHeight="1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2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 ht="15.75" customHeight="1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2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 ht="15.75" customHeight="1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2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 ht="15.75" customHeight="1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2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 ht="15.75" customHeight="1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2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 ht="15.75" customHeight="1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2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 ht="15.75" customHeight="1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2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 ht="15.75" customHeight="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2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 ht="15.75" customHeight="1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2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 ht="15.75" customHeight="1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2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 ht="15.75" customHeight="1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2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 ht="15.75" customHeight="1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2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 ht="15.75" customHeight="1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2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 ht="15.75" customHeight="1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2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 ht="15.75" customHeight="1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2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 ht="15.75" customHeight="1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2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 ht="15.75" customHeight="1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2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 ht="15.75" customHeight="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2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 ht="15.75" customHeight="1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2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 ht="15.75" customHeight="1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2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 ht="15.75" customHeight="1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2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 ht="15.75" customHeight="1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2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 ht="15.75" customHeight="1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2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 ht="15.75" customHeight="1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2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 ht="15.75" customHeight="1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2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 ht="15.75" customHeight="1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2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 ht="15.75" customHeight="1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2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 ht="15.75" customHeight="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2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 ht="15.75" customHeight="1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2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 ht="15.75" customHeight="1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2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 ht="15.75" customHeight="1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2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 ht="15.75" customHeight="1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2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 ht="15.75" customHeight="1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2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 ht="15.75" customHeight="1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2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 ht="15.75" customHeight="1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2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 ht="15.75" customHeight="1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2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 ht="15.75" customHeight="1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2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 ht="15.75" customHeight="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2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 ht="15.75" customHeight="1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2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 ht="15.75" customHeight="1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2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 ht="15.75" customHeight="1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2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 ht="15.75" customHeight="1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2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 ht="15.75" customHeight="1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2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 ht="15.75" customHeight="1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2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 ht="15.75" customHeight="1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2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 ht="15.75" customHeight="1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2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 ht="15.75" customHeight="1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2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 ht="15.75" customHeight="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2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 ht="15.75" customHeight="1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2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 ht="15.75" customHeight="1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2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 ht="15.75" customHeight="1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2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 ht="15.75" customHeight="1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2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 ht="15.75" customHeight="1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2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 ht="15.75" customHeight="1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2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 ht="15.75" customHeight="1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2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 ht="15.75" customHeight="1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2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 ht="15.75" customHeight="1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2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 ht="15.75" customHeight="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2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 ht="15.75" customHeight="1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2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 ht="15.75" customHeight="1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2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 ht="15.75" customHeight="1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2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 ht="15.75" customHeight="1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2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 ht="15.75" customHeight="1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2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 ht="15.75" customHeight="1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2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 ht="15.75" customHeight="1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2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 ht="15.75" customHeight="1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2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 ht="15.75" customHeight="1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2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 ht="15.75" customHeight="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2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 ht="15.75" customHeight="1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2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 ht="15.75" customHeight="1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2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 ht="15.75" customHeight="1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2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 ht="15.75" customHeight="1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2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 ht="15.75" customHeight="1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2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 ht="15.75" customHeight="1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2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 ht="15.75" customHeight="1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2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 ht="15.75" customHeight="1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2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 ht="15.75" customHeight="1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2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 ht="15.75" customHeight="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2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 ht="15.75" customHeight="1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2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 ht="15.75" customHeight="1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2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 ht="15.75" customHeight="1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2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 ht="15.75" customHeight="1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2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 ht="15.75" customHeight="1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2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 ht="15.75" customHeight="1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2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 ht="15.75" customHeight="1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2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 ht="15.75" customHeight="1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2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 ht="15.75" customHeight="1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2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 ht="15.75" customHeight="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2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 ht="15.75" customHeight="1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2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 ht="15.75" customHeight="1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2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 ht="15.75" customHeight="1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2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 ht="15.75" customHeight="1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2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 ht="15.75" customHeight="1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2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 ht="15.75" customHeight="1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2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 ht="15.75" customHeight="1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2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 ht="15.75" customHeight="1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2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 ht="15.75" customHeight="1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2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 ht="15.75" customHeight="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2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 ht="15.75" customHeight="1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2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 ht="15.75" customHeight="1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2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 ht="15.75" customHeight="1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2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 ht="15.75" customHeight="1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2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 ht="15.75" customHeight="1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2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 ht="15.75" customHeight="1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2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 ht="15.75" customHeight="1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2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 ht="15.75" customHeight="1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2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 ht="15.75" customHeight="1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2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 ht="15.75" customHeight="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2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 ht="15.75" customHeight="1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2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 ht="15.75" customHeight="1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2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 ht="15.75" customHeight="1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2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 ht="15.75" customHeight="1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2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 ht="15.75" customHeight="1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2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 ht="15.75" customHeight="1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2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 ht="15.75" customHeight="1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2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 ht="15.75" customHeight="1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2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 ht="15.75" customHeight="1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2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 ht="15.75" customHeight="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2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 ht="15.75" customHeight="1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2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 ht="15.75" customHeight="1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2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 ht="15.75" customHeight="1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2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 ht="15.75" customHeight="1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2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 ht="15.75" customHeight="1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2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 ht="15.75" customHeight="1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2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 ht="15.75" customHeight="1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2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 ht="15.75" customHeight="1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2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 ht="15.75" customHeight="1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2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 ht="15.75" customHeight="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2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 ht="15.75" customHeight="1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2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 ht="15.75" customHeight="1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2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 ht="15.75" customHeight="1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2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 ht="15.75" customHeight="1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2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 ht="15.75" customHeight="1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2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 ht="15.75" customHeight="1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2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 ht="15.75" customHeight="1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2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 ht="15.75" customHeight="1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2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 ht="15.75" customHeight="1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2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 ht="15.75" customHeight="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2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 ht="15.75" customHeight="1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2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 ht="15.75" customHeight="1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2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 ht="15.75" customHeight="1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2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 ht="15.75" customHeight="1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2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 ht="15.75" customHeight="1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2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 ht="15.75" customHeight="1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2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 ht="15.75" customHeight="1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2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 ht="15.75" customHeight="1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2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 ht="15.75" customHeight="1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2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 ht="15.75" customHeight="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2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 ht="15.75" customHeight="1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2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 ht="15.75" customHeight="1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2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 ht="15.75" customHeight="1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2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 ht="15.75" customHeight="1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2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 ht="15.75" customHeight="1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2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 ht="15.75" customHeight="1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2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 ht="15.75" customHeight="1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2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 ht="15.75" customHeight="1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2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 ht="15.75" customHeight="1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2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 ht="15.75" customHeight="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2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 ht="15.75" customHeight="1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2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 ht="15.75" customHeight="1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2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 ht="15.75" customHeight="1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2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 ht="15.75" customHeight="1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2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 ht="15.75" customHeight="1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2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 ht="15.75" customHeight="1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2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 ht="15.75" customHeight="1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2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 ht="15.75" customHeight="1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2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 ht="15.75" customHeight="1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2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 ht="15.75" customHeight="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2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 ht="15.75" customHeight="1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2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 ht="15.75" customHeight="1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2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 ht="15.75" customHeight="1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2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 ht="15.75" customHeight="1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2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 ht="15.75" customHeight="1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2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 ht="15.75" customHeight="1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2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 ht="15.75" customHeight="1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2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 ht="15.75" customHeight="1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2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 ht="15.75" customHeight="1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2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 ht="15.75" customHeight="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2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 ht="15.75" customHeight="1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2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 ht="15.75" customHeight="1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2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 ht="15.75" customHeight="1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2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 ht="15.75" customHeight="1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2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 ht="15.75" customHeight="1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2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 ht="15.75" customHeight="1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2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 ht="15.75" customHeight="1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2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 ht="15.75" customHeight="1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2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 ht="15.75" customHeight="1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2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 ht="15.75" customHeight="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2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 ht="15.75" customHeight="1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2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 ht="15.75" customHeight="1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2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 ht="15.75" customHeight="1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2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 ht="15.75" customHeight="1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2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 ht="15.75" customHeight="1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2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 ht="15.75" customHeight="1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2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 ht="15.75" customHeight="1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2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 ht="15.75" customHeight="1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2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 ht="15.75" customHeight="1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2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 ht="15.75" customHeight="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2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 ht="15.75" customHeight="1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2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 ht="15.75" customHeight="1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2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 ht="15.75" customHeight="1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2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 ht="15.75" customHeight="1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2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 ht="15.75" customHeight="1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2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 ht="15.75" customHeight="1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2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 ht="15.75" customHeight="1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2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 ht="15.75" customHeight="1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2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 ht="15.75" customHeight="1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2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 ht="15.75" customHeight="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2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 ht="15.75" customHeight="1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2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 ht="15.75" customHeight="1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2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 ht="15.75" customHeight="1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2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 ht="15.75" customHeight="1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2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 ht="15.75" customHeight="1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2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  <row r="947" ht="15.75" customHeight="1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2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</row>
    <row r="948" ht="15.75" customHeight="1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2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</row>
    <row r="949" ht="15.75" customHeight="1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2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</row>
    <row r="950" ht="15.75" customHeight="1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2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</row>
    <row r="951" ht="15.75" customHeight="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2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</row>
    <row r="952" ht="15.75" customHeight="1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2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</row>
    <row r="953" ht="15.75" customHeight="1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2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</row>
    <row r="954" ht="15.75" customHeight="1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2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</row>
    <row r="955" ht="15.75" customHeight="1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2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</row>
    <row r="956" ht="15.75" customHeight="1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2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</row>
    <row r="957" ht="15.75" customHeight="1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2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</row>
    <row r="958" ht="15.75" customHeight="1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2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</row>
    <row r="959" ht="15.75" customHeight="1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2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</row>
    <row r="960" ht="15.75" customHeight="1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2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</row>
    <row r="961" ht="15.75" customHeight="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2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</row>
    <row r="962" ht="15.75" customHeight="1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2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</row>
    <row r="963" ht="15.75" customHeight="1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2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</row>
    <row r="964" ht="15.75" customHeight="1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2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</row>
    <row r="965" ht="15.75" customHeight="1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2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</row>
    <row r="966" ht="15.75" customHeight="1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2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</row>
    <row r="967" ht="15.75" customHeight="1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2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</row>
    <row r="968" ht="15.75" customHeight="1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2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</row>
    <row r="969" ht="15.75" customHeight="1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2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</row>
    <row r="970" ht="15.75" customHeight="1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2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</row>
    <row r="971" ht="15.75" customHeight="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2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</row>
    <row r="972" ht="15.75" customHeight="1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2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</row>
    <row r="973" ht="15.75" customHeight="1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2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</row>
    <row r="974" ht="15.75" customHeight="1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2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</row>
    <row r="975" ht="15.75" customHeight="1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2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</row>
    <row r="976" ht="15.75" customHeight="1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2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</row>
    <row r="977" ht="15.75" customHeight="1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2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</row>
    <row r="978" ht="15.75" customHeight="1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2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</row>
    <row r="979" ht="15.75" customHeight="1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2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</row>
    <row r="980" ht="15.75" customHeight="1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2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</row>
    <row r="981" ht="15.75" customHeight="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2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</row>
    <row r="982" ht="15.75" customHeight="1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2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</row>
    <row r="983" ht="15.75" customHeight="1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2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</row>
    <row r="984" ht="15.75" customHeight="1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2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</row>
    <row r="985" ht="15.75" customHeight="1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2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</row>
    <row r="986" ht="15.75" customHeight="1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2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</row>
    <row r="987" ht="15.75" customHeight="1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2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</row>
    <row r="988" ht="15.75" customHeight="1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2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</row>
    <row r="989" ht="15.75" customHeight="1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2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</row>
    <row r="990" ht="15.75" customHeight="1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2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</row>
    <row r="991" ht="15.75" customHeight="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2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</row>
    <row r="992" ht="15.75" customHeight="1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2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</row>
    <row r="993" ht="15.75" customHeight="1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2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</row>
    <row r="994" ht="15.75" customHeight="1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2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</row>
    <row r="995" ht="15.75" customHeight="1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2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</row>
    <row r="996" ht="15.75" customHeight="1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2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</row>
    <row r="997" ht="15.75" customHeight="1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2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</row>
    <row r="998" ht="15.75" customHeight="1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2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</row>
    <row r="999" ht="15.75" customHeight="1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2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</row>
    <row r="1000" ht="15.75" customHeight="1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2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</row>
  </sheetData>
  <mergeCells count="2">
    <mergeCell ref="F2:S2"/>
    <mergeCell ref="T2:AQ2"/>
  </mergeCell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1.22" defaultRowHeight="15.0"/>
  <cols>
    <col customWidth="1" min="1" max="1" width="12.78"/>
    <col customWidth="1" min="2" max="2" width="16.78"/>
    <col customWidth="1" min="3" max="3" width="10.67"/>
    <col customWidth="1" min="4" max="4" width="10.78"/>
    <col customWidth="1" min="5" max="5" width="10.11"/>
    <col customWidth="1" min="6" max="7" width="10.67"/>
    <col customWidth="1" min="8" max="9" width="10.78"/>
    <col customWidth="1" min="10" max="12" width="9.67"/>
    <col customWidth="1" min="13" max="15" width="10.11"/>
    <col customWidth="1" min="16" max="16" width="11.33"/>
    <col customWidth="1" min="17" max="17" width="10.11"/>
    <col customWidth="1" min="18" max="18" width="10.0"/>
    <col customWidth="1" min="19" max="19" width="10.11"/>
    <col customWidth="1" min="20" max="20" width="11.33"/>
    <col customWidth="1" min="21" max="33" width="10.11"/>
    <col customWidth="1" min="34" max="35" width="16.11"/>
    <col customWidth="1" min="36" max="36" width="16.44"/>
  </cols>
  <sheetData>
    <row r="1" ht="15.75" customHeight="1">
      <c r="C1" s="4">
        <v>2024.0</v>
      </c>
      <c r="D1" s="6"/>
      <c r="E1" s="6"/>
      <c r="F1" s="6"/>
      <c r="G1" s="6"/>
      <c r="H1" s="6"/>
      <c r="I1" s="7"/>
      <c r="J1" s="9">
        <v>2025.0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3"/>
      <c r="V1" s="16">
        <v>2026.0</v>
      </c>
      <c r="W1" s="18"/>
      <c r="X1" s="18"/>
      <c r="Y1" s="21"/>
      <c r="Z1" s="22"/>
      <c r="AA1" s="22"/>
      <c r="AB1" s="22"/>
      <c r="AC1" s="22"/>
      <c r="AD1" s="22"/>
      <c r="AE1" s="22"/>
      <c r="AF1" s="22"/>
      <c r="AG1" s="22"/>
    </row>
    <row r="2" ht="15.75" customHeight="1">
      <c r="A2" s="31"/>
      <c r="B2" s="31"/>
      <c r="C2" s="35" t="s">
        <v>19</v>
      </c>
      <c r="D2" s="35" t="s">
        <v>20</v>
      </c>
      <c r="E2" s="35" t="s">
        <v>21</v>
      </c>
      <c r="F2" s="35" t="s">
        <v>22</v>
      </c>
      <c r="G2" s="35" t="s">
        <v>23</v>
      </c>
      <c r="H2" s="35" t="s">
        <v>24</v>
      </c>
      <c r="I2" s="35" t="s">
        <v>25</v>
      </c>
      <c r="J2" s="35" t="s">
        <v>26</v>
      </c>
      <c r="K2" s="35" t="s">
        <v>27</v>
      </c>
      <c r="L2" s="35" t="s">
        <v>28</v>
      </c>
      <c r="M2" s="35" t="s">
        <v>33</v>
      </c>
      <c r="N2" s="35" t="s">
        <v>34</v>
      </c>
      <c r="O2" s="35" t="s">
        <v>37</v>
      </c>
      <c r="P2" s="35" t="s">
        <v>38</v>
      </c>
      <c r="Q2" s="35" t="s">
        <v>40</v>
      </c>
      <c r="R2" s="35" t="s">
        <v>42</v>
      </c>
      <c r="S2" s="35" t="s">
        <v>43</v>
      </c>
      <c r="T2" s="44" t="s">
        <v>45</v>
      </c>
      <c r="U2" s="46" t="s">
        <v>46</v>
      </c>
      <c r="V2" s="35" t="s">
        <v>26</v>
      </c>
      <c r="W2" s="35" t="s">
        <v>27</v>
      </c>
      <c r="X2" s="35" t="s">
        <v>28</v>
      </c>
      <c r="Y2" s="35" t="s">
        <v>50</v>
      </c>
      <c r="Z2" s="35" t="s">
        <v>51</v>
      </c>
      <c r="AA2" s="35" t="s">
        <v>53</v>
      </c>
      <c r="AB2" s="35" t="s">
        <v>55</v>
      </c>
      <c r="AC2" s="35" t="s">
        <v>56</v>
      </c>
      <c r="AD2" s="35" t="s">
        <v>58</v>
      </c>
      <c r="AE2" s="35" t="s">
        <v>59</v>
      </c>
      <c r="AF2" s="35" t="s">
        <v>60</v>
      </c>
      <c r="AG2" s="35" t="s">
        <v>62</v>
      </c>
      <c r="AH2" s="1"/>
      <c r="AI2" s="1"/>
    </row>
    <row r="3" ht="15.75" customHeight="1">
      <c r="A3" s="53" t="s">
        <v>64</v>
      </c>
      <c r="B3" s="53" t="s">
        <v>66</v>
      </c>
      <c r="C3" s="55">
        <v>45297.0</v>
      </c>
      <c r="D3" s="55">
        <v>45298.0</v>
      </c>
      <c r="E3" s="55">
        <v>45299.0</v>
      </c>
      <c r="F3" s="55">
        <v>45331.0</v>
      </c>
      <c r="G3" s="55">
        <v>45301.0</v>
      </c>
      <c r="H3" s="55">
        <v>45333.0</v>
      </c>
      <c r="I3" s="55">
        <v>45334.0</v>
      </c>
      <c r="J3" s="59">
        <v>45748.0</v>
      </c>
      <c r="K3" s="59" t="s">
        <v>74</v>
      </c>
      <c r="L3" s="63">
        <v>45719.0</v>
      </c>
      <c r="M3" s="63">
        <v>45748.0</v>
      </c>
      <c r="N3" s="63">
        <v>45780.0</v>
      </c>
      <c r="O3" s="63">
        <v>45810.0</v>
      </c>
      <c r="P3" s="63">
        <v>45839.0</v>
      </c>
      <c r="Q3" s="63">
        <v>45870.0</v>
      </c>
      <c r="R3" s="63">
        <v>45901.0</v>
      </c>
      <c r="S3" s="63">
        <v>45931.0</v>
      </c>
      <c r="T3" s="66">
        <v>45962.0</v>
      </c>
      <c r="U3" s="66">
        <v>45992.0</v>
      </c>
      <c r="V3" s="67">
        <v>46023.0</v>
      </c>
      <c r="W3" s="59">
        <v>46054.0</v>
      </c>
      <c r="X3" s="59">
        <v>46082.0</v>
      </c>
      <c r="Y3" s="59">
        <v>46113.0</v>
      </c>
      <c r="Z3" s="59">
        <v>46143.0</v>
      </c>
      <c r="AA3" s="59">
        <v>46174.0</v>
      </c>
      <c r="AB3" s="59">
        <v>46204.0</v>
      </c>
      <c r="AC3" s="59">
        <v>46235.0</v>
      </c>
      <c r="AD3" s="59">
        <v>46266.0</v>
      </c>
      <c r="AE3" s="59">
        <v>46296.0</v>
      </c>
      <c r="AF3" s="59">
        <v>46327.0</v>
      </c>
      <c r="AG3" s="59">
        <v>46357.0</v>
      </c>
      <c r="AH3" s="1"/>
      <c r="AI3" s="1" t="s">
        <v>88</v>
      </c>
    </row>
    <row r="4" ht="15.75" customHeight="1">
      <c r="A4" s="74">
        <v>201.0</v>
      </c>
      <c r="B4" s="75" t="s">
        <v>90</v>
      </c>
      <c r="C4" s="76">
        <v>262.426</v>
      </c>
      <c r="D4" s="76">
        <v>263.18</v>
      </c>
      <c r="E4" s="76">
        <v>263.791</v>
      </c>
      <c r="F4" s="76">
        <v>264.392</v>
      </c>
      <c r="G4" s="76">
        <v>265.259</v>
      </c>
      <c r="H4" s="76">
        <v>265.842</v>
      </c>
      <c r="I4" s="76">
        <v>266.505</v>
      </c>
      <c r="J4" s="76">
        <v>267.007</v>
      </c>
      <c r="K4" s="76">
        <v>267.366</v>
      </c>
      <c r="L4" s="76">
        <v>267.76</v>
      </c>
      <c r="M4" s="76">
        <v>267.941</v>
      </c>
      <c r="N4" s="1">
        <v>268.437</v>
      </c>
      <c r="O4" s="76">
        <v>269.338</v>
      </c>
      <c r="P4" s="76">
        <v>270.304</v>
      </c>
      <c r="Q4" s="76">
        <v>271.18</v>
      </c>
      <c r="R4" s="76">
        <v>271.915</v>
      </c>
      <c r="S4" s="76">
        <v>272.809</v>
      </c>
      <c r="T4" s="78">
        <v>274.08</v>
      </c>
      <c r="U4" s="78">
        <v>274.182</v>
      </c>
      <c r="V4" s="79">
        <v>274.225</v>
      </c>
      <c r="W4" s="80">
        <v>274.44</v>
      </c>
      <c r="X4" s="80">
        <v>274.568</v>
      </c>
      <c r="Y4" s="86">
        <f>IFERROR(__xludf.DUMMYFUNCTION("IMPORTRANGE(""https://docs.google.com/spreadsheets/d/1LuhvAM2x9LGl52sY7a49ycBZ9cllYHaFr4pzxOY-SJE"", ""2026!f3:f"")"),274.655)</f>
        <v>274.655</v>
      </c>
      <c r="Z4" s="86">
        <f>IFERROR(__xludf.DUMMYFUNCTION("IMPORTRANGE(""https://docs.google.com/spreadsheets/d/1LuhvAM2x9LGl52sY7a49ycBZ9cllYHaFr4pzxOY-SJE"", ""2026!g3:g"")"),274.873)</f>
        <v>274.873</v>
      </c>
      <c r="AA4" s="86">
        <f>IFERROR(__xludf.DUMMYFUNCTION("IMPORTRANGE(""https://docs.google.com/spreadsheets/d/1LuhvAM2x9LGl52sY7a49ycBZ9cllYHaFr4pzxOY-SJE"", ""2026!h3:h"")"),275.06)</f>
        <v>275.06</v>
      </c>
      <c r="AB4" s="86">
        <f>IFERROR(__xludf.DUMMYFUNCTION("IMPORTRANGE(""https://docs.google.com/spreadsheets/d/1LuhvAM2x9LGl52sY7a49ycBZ9cllYHaFr4pzxOY-SJE"", ""2026!i3:i"")"),275.154)</f>
        <v>275.154</v>
      </c>
      <c r="AC4" s="86">
        <f>IFERROR(__xludf.DUMMYFUNCTION("IMPORTRANGE(""https://docs.google.com/spreadsheets/d/1LuhvAM2x9LGl52sY7a49ycBZ9cllYHaFr4pzxOY-SJE"", ""2026!j3:j"")"),275.408)</f>
        <v>275.408</v>
      </c>
      <c r="AD4" s="86">
        <v>0.0</v>
      </c>
      <c r="AE4" s="86">
        <v>0.0</v>
      </c>
      <c r="AF4" s="86">
        <v>0.0</v>
      </c>
      <c r="AG4" s="86">
        <v>0.0</v>
      </c>
      <c r="AH4" s="91"/>
      <c r="AI4" s="93">
        <v>201.0</v>
      </c>
      <c r="AJ4" s="75">
        <v>2034049.0</v>
      </c>
    </row>
    <row r="5" ht="15.75" customHeight="1">
      <c r="A5" s="74">
        <v>202.0</v>
      </c>
      <c r="B5" s="75">
        <v>2034056.0</v>
      </c>
      <c r="C5" s="76">
        <v>141.005</v>
      </c>
      <c r="D5" s="76">
        <v>141.852</v>
      </c>
      <c r="E5" s="76">
        <v>142.46</v>
      </c>
      <c r="F5" s="76">
        <v>143.375</v>
      </c>
      <c r="G5" s="76">
        <v>143.951</v>
      </c>
      <c r="H5" s="76">
        <v>144.689</v>
      </c>
      <c r="I5" s="76">
        <v>145.39</v>
      </c>
      <c r="J5" s="76">
        <v>145.579</v>
      </c>
      <c r="K5" s="76">
        <v>146.141</v>
      </c>
      <c r="L5" s="76">
        <v>148.103</v>
      </c>
      <c r="M5" s="76">
        <v>149.908</v>
      </c>
      <c r="N5" s="1">
        <v>151.635</v>
      </c>
      <c r="O5" s="76">
        <v>153.316</v>
      </c>
      <c r="P5" s="76">
        <v>154.603</v>
      </c>
      <c r="Q5" s="76">
        <v>156.167</v>
      </c>
      <c r="R5" s="76">
        <v>158.018</v>
      </c>
      <c r="S5" s="76">
        <v>159.733</v>
      </c>
      <c r="T5" s="78">
        <v>159.753</v>
      </c>
      <c r="U5" s="78">
        <v>159.758</v>
      </c>
      <c r="V5" s="79">
        <v>160.5</v>
      </c>
      <c r="W5" s="80">
        <v>161.696</v>
      </c>
      <c r="X5" s="79">
        <v>163.239</v>
      </c>
      <c r="Y5" s="86">
        <f>IFERROR(__xludf.DUMMYFUNCTION("""COMPUTED_VALUE"""),164.191)</f>
        <v>164.191</v>
      </c>
      <c r="Z5" s="86">
        <f>IFERROR(__xludf.DUMMYFUNCTION("""COMPUTED_VALUE"""),164.213)</f>
        <v>164.213</v>
      </c>
      <c r="AA5" s="86">
        <f>IFERROR(__xludf.DUMMYFUNCTION("""COMPUTED_VALUE"""),164.213)</f>
        <v>164.213</v>
      </c>
      <c r="AB5" s="86">
        <f>IFERROR(__xludf.DUMMYFUNCTION("""COMPUTED_VALUE"""),164.217)</f>
        <v>164.217</v>
      </c>
      <c r="AC5" s="86">
        <f>IFERROR(__xludf.DUMMYFUNCTION("""COMPUTED_VALUE"""),164.245)</f>
        <v>164.245</v>
      </c>
      <c r="AD5" s="86">
        <v>0.0</v>
      </c>
      <c r="AE5" s="86">
        <v>0.0</v>
      </c>
      <c r="AF5" s="86">
        <v>0.0</v>
      </c>
      <c r="AG5" s="86">
        <v>0.0</v>
      </c>
      <c r="AH5" s="91"/>
      <c r="AI5" s="93">
        <v>202.0</v>
      </c>
      <c r="AJ5" s="75">
        <v>2034056.0</v>
      </c>
    </row>
    <row r="6" ht="15.75" customHeight="1">
      <c r="A6" s="74">
        <v>203.0</v>
      </c>
      <c r="B6" s="75">
        <v>2034020.0</v>
      </c>
      <c r="C6" s="76">
        <v>24.449</v>
      </c>
      <c r="D6" s="76">
        <v>24.467</v>
      </c>
      <c r="E6" s="76">
        <v>25.141</v>
      </c>
      <c r="F6" s="76">
        <v>26.052</v>
      </c>
      <c r="G6" s="76">
        <v>26.052</v>
      </c>
      <c r="H6" s="76">
        <v>26.052</v>
      </c>
      <c r="I6" s="76">
        <v>26.37</v>
      </c>
      <c r="J6" s="76">
        <v>26.371</v>
      </c>
      <c r="K6" s="76">
        <v>26.371</v>
      </c>
      <c r="L6" s="76">
        <v>26.371</v>
      </c>
      <c r="M6" s="76">
        <v>26.371</v>
      </c>
      <c r="N6" s="76">
        <v>26.371</v>
      </c>
      <c r="O6" s="76">
        <v>26.371</v>
      </c>
      <c r="P6" s="76">
        <v>26.371</v>
      </c>
      <c r="Q6" s="76">
        <v>26.371</v>
      </c>
      <c r="R6" s="97">
        <v>26.731</v>
      </c>
      <c r="S6" s="76">
        <v>26.739</v>
      </c>
      <c r="T6" s="78">
        <v>26.744</v>
      </c>
      <c r="U6" s="78">
        <v>26.747</v>
      </c>
      <c r="V6" s="79">
        <v>26.874</v>
      </c>
      <c r="W6" s="80">
        <v>27.105</v>
      </c>
      <c r="X6" s="80">
        <v>27.219</v>
      </c>
      <c r="Y6" s="86">
        <f>IFERROR(__xludf.DUMMYFUNCTION("""COMPUTED_VALUE"""),27.221)</f>
        <v>27.221</v>
      </c>
      <c r="Z6" s="86">
        <f>IFERROR(__xludf.DUMMYFUNCTION("""COMPUTED_VALUE"""),27.224)</f>
        <v>27.224</v>
      </c>
      <c r="AA6" s="86">
        <f>IFERROR(__xludf.DUMMYFUNCTION("""COMPUTED_VALUE"""),27.224)</f>
        <v>27.224</v>
      </c>
      <c r="AB6" s="86">
        <f>IFERROR(__xludf.DUMMYFUNCTION("""COMPUTED_VALUE"""),27.228)</f>
        <v>27.228</v>
      </c>
      <c r="AC6" s="86">
        <f>IFERROR(__xludf.DUMMYFUNCTION("""COMPUTED_VALUE"""),27.268)</f>
        <v>27.268</v>
      </c>
      <c r="AD6" s="86">
        <v>0.0</v>
      </c>
      <c r="AE6" s="86">
        <v>0.0</v>
      </c>
      <c r="AF6" s="86">
        <v>0.0</v>
      </c>
      <c r="AG6" s="86">
        <v>0.0</v>
      </c>
      <c r="AH6" s="91"/>
      <c r="AI6" s="93">
        <v>203.0</v>
      </c>
      <c r="AJ6" s="75">
        <v>2034020.0</v>
      </c>
    </row>
    <row r="7" ht="15.75" customHeight="1">
      <c r="A7" s="74">
        <v>204.0</v>
      </c>
      <c r="B7" s="75">
        <v>2034040.0</v>
      </c>
      <c r="C7" s="76">
        <v>229.8</v>
      </c>
      <c r="D7" s="76">
        <v>229.985</v>
      </c>
      <c r="E7" s="76">
        <v>230.123</v>
      </c>
      <c r="F7" s="76">
        <v>230.123</v>
      </c>
      <c r="G7" s="76">
        <v>230.419</v>
      </c>
      <c r="H7" s="76">
        <v>230.602</v>
      </c>
      <c r="I7" s="76">
        <v>230.816</v>
      </c>
      <c r="J7" s="76">
        <v>231.14</v>
      </c>
      <c r="K7" s="76">
        <v>231.653</v>
      </c>
      <c r="L7" s="76">
        <v>232.177</v>
      </c>
      <c r="M7" s="76">
        <v>232.62</v>
      </c>
      <c r="N7" s="76">
        <v>233.431</v>
      </c>
      <c r="O7" s="76">
        <v>234.18</v>
      </c>
      <c r="P7" s="23">
        <v>234.991</v>
      </c>
      <c r="Q7" s="76">
        <v>235.851</v>
      </c>
      <c r="R7" s="76">
        <v>236.557</v>
      </c>
      <c r="S7" s="76">
        <v>236.721</v>
      </c>
      <c r="T7" s="78">
        <v>237.974</v>
      </c>
      <c r="U7" s="78">
        <v>238.36</v>
      </c>
      <c r="V7" s="79">
        <v>238.625</v>
      </c>
      <c r="W7" s="80">
        <v>239.93</v>
      </c>
      <c r="X7" s="79">
        <v>240.254</v>
      </c>
      <c r="Y7" s="86">
        <f>IFERROR(__xludf.DUMMYFUNCTION("""COMPUTED_VALUE"""),240.295)</f>
        <v>240.295</v>
      </c>
      <c r="Z7" s="86">
        <f>IFERROR(__xludf.DUMMYFUNCTION("""COMPUTED_VALUE"""),243.059)</f>
        <v>243.059</v>
      </c>
      <c r="AA7" s="100">
        <f>IFERROR(__xludf.DUMMYFUNCTION("""COMPUTED_VALUE"""),247.493)</f>
        <v>247.493</v>
      </c>
      <c r="AB7" s="100">
        <f>IFERROR(__xludf.DUMMYFUNCTION("""COMPUTED_VALUE"""),252.558)</f>
        <v>252.558</v>
      </c>
      <c r="AC7" s="86">
        <f>IFERROR(__xludf.DUMMYFUNCTION("""COMPUTED_VALUE"""),257.595)</f>
        <v>257.595</v>
      </c>
      <c r="AD7" s="86">
        <v>0.0</v>
      </c>
      <c r="AE7" s="86">
        <v>0.0</v>
      </c>
      <c r="AF7" s="86">
        <v>0.0</v>
      </c>
      <c r="AG7" s="86">
        <v>0.0</v>
      </c>
      <c r="AH7" s="91"/>
      <c r="AI7" s="93">
        <v>204.0</v>
      </c>
      <c r="AJ7" s="75">
        <v>2034040.0</v>
      </c>
    </row>
    <row r="8" ht="15.75" customHeight="1">
      <c r="A8" s="74">
        <v>205.0</v>
      </c>
      <c r="B8" s="75">
        <v>2034039.0</v>
      </c>
      <c r="C8" s="76">
        <v>185.283</v>
      </c>
      <c r="D8" s="76">
        <v>187.542</v>
      </c>
      <c r="E8" s="76">
        <v>189.914</v>
      </c>
      <c r="F8" s="76">
        <v>192.424</v>
      </c>
      <c r="G8" s="76">
        <v>194.526</v>
      </c>
      <c r="H8" s="76">
        <v>196.302</v>
      </c>
      <c r="I8" s="76">
        <v>196.302</v>
      </c>
      <c r="J8" s="76">
        <v>196.967</v>
      </c>
      <c r="K8" s="76">
        <v>198.221</v>
      </c>
      <c r="L8" s="76">
        <v>199.943</v>
      </c>
      <c r="M8" s="76">
        <v>201.876</v>
      </c>
      <c r="N8" s="1">
        <v>203.313</v>
      </c>
      <c r="O8" s="76">
        <v>204.66</v>
      </c>
      <c r="P8" s="76">
        <v>206.236</v>
      </c>
      <c r="Q8" s="76">
        <v>209.555</v>
      </c>
      <c r="R8" s="76">
        <v>209.885</v>
      </c>
      <c r="S8" s="76">
        <v>210.356</v>
      </c>
      <c r="T8" s="78">
        <v>210.958</v>
      </c>
      <c r="U8" s="78">
        <v>211.516</v>
      </c>
      <c r="V8" s="75">
        <v>213.568</v>
      </c>
      <c r="W8" s="106">
        <v>216.949</v>
      </c>
      <c r="X8" s="75">
        <v>220.955</v>
      </c>
      <c r="Y8" s="107">
        <f>IFERROR(__xludf.DUMMYFUNCTION("""COMPUTED_VALUE"""),212.48)</f>
        <v>212.48</v>
      </c>
      <c r="Z8" s="108">
        <f>IFERROR(__xludf.DUMMYFUNCTION("""COMPUTED_VALUE"""),229.077)</f>
        <v>229.077</v>
      </c>
      <c r="AA8" s="109">
        <f>IFERROR(__xludf.DUMMYFUNCTION("""COMPUTED_VALUE"""),229.215)</f>
        <v>229.215</v>
      </c>
      <c r="AB8" s="109">
        <f>IFERROR(__xludf.DUMMYFUNCTION("""COMPUTED_VALUE"""),212.779)</f>
        <v>212.779</v>
      </c>
      <c r="AC8" s="86">
        <f>IFERROR(__xludf.DUMMYFUNCTION("""COMPUTED_VALUE"""),212.779)</f>
        <v>212.779</v>
      </c>
      <c r="AD8" s="86">
        <v>0.0</v>
      </c>
      <c r="AE8" s="86">
        <v>0.0</v>
      </c>
      <c r="AF8" s="86">
        <v>0.0</v>
      </c>
      <c r="AG8" s="86">
        <v>0.0</v>
      </c>
      <c r="AH8" s="91"/>
      <c r="AI8" s="93">
        <v>205.0</v>
      </c>
      <c r="AJ8" s="75">
        <v>2034039.0</v>
      </c>
    </row>
    <row r="9" ht="15.75" customHeight="1">
      <c r="A9" s="74">
        <v>206.0</v>
      </c>
      <c r="B9" s="75">
        <v>2034052.0</v>
      </c>
      <c r="C9" s="76">
        <v>481.519</v>
      </c>
      <c r="D9" s="76">
        <v>488.653</v>
      </c>
      <c r="E9" s="76">
        <v>497.412</v>
      </c>
      <c r="F9" s="76">
        <v>507.012</v>
      </c>
      <c r="G9" s="76">
        <v>518.076</v>
      </c>
      <c r="H9" s="76">
        <v>527.734</v>
      </c>
      <c r="I9" s="76">
        <v>538.339</v>
      </c>
      <c r="J9" s="76">
        <v>549.035</v>
      </c>
      <c r="K9" s="76">
        <v>557.926</v>
      </c>
      <c r="L9" s="76">
        <v>569.263</v>
      </c>
      <c r="M9" s="76">
        <v>581.04</v>
      </c>
      <c r="N9" s="76">
        <v>592.351</v>
      </c>
      <c r="O9" s="76">
        <v>603.588</v>
      </c>
      <c r="P9" s="76">
        <v>614.985</v>
      </c>
      <c r="Q9" s="76">
        <v>628.518</v>
      </c>
      <c r="R9" s="97">
        <v>642.33</v>
      </c>
      <c r="S9" s="76">
        <v>656.141</v>
      </c>
      <c r="T9" s="78">
        <v>673.705</v>
      </c>
      <c r="U9" s="78">
        <v>685.573</v>
      </c>
      <c r="V9" s="79">
        <v>695.25</v>
      </c>
      <c r="W9" s="80">
        <v>710.588</v>
      </c>
      <c r="X9" s="80">
        <v>722.819</v>
      </c>
      <c r="Y9" s="86">
        <f>IFERROR(__xludf.DUMMYFUNCTION("""COMPUTED_VALUE"""),735.598)</f>
        <v>735.598</v>
      </c>
      <c r="Z9" s="86">
        <f>IFERROR(__xludf.DUMMYFUNCTION("""COMPUTED_VALUE"""),748.065)</f>
        <v>748.065</v>
      </c>
      <c r="AA9" s="86">
        <f>IFERROR(__xludf.DUMMYFUNCTION("""COMPUTED_VALUE"""),761.384)</f>
        <v>761.384</v>
      </c>
      <c r="AB9" s="86">
        <f>IFERROR(__xludf.DUMMYFUNCTION("""COMPUTED_VALUE"""),773.412)</f>
        <v>773.412</v>
      </c>
      <c r="AC9" s="86">
        <f>IFERROR(__xludf.DUMMYFUNCTION("""COMPUTED_VALUE"""),783.648)</f>
        <v>783.648</v>
      </c>
      <c r="AD9" s="86">
        <v>0.0</v>
      </c>
      <c r="AE9" s="86">
        <v>0.0</v>
      </c>
      <c r="AF9" s="86">
        <v>0.0</v>
      </c>
      <c r="AG9" s="86">
        <v>0.0</v>
      </c>
      <c r="AH9" s="91"/>
      <c r="AI9" s="93">
        <v>206.0</v>
      </c>
      <c r="AJ9" s="75">
        <v>2034052.0</v>
      </c>
    </row>
    <row r="10" ht="15.75" customHeight="1">
      <c r="A10" s="116">
        <v>301.0</v>
      </c>
      <c r="B10" s="117">
        <v>2033964.0</v>
      </c>
      <c r="C10" s="118">
        <v>0.086</v>
      </c>
      <c r="D10" s="119">
        <v>0.086</v>
      </c>
      <c r="E10" s="119">
        <v>0.086</v>
      </c>
      <c r="F10" s="119">
        <v>0.086</v>
      </c>
      <c r="G10" s="119">
        <v>0.086</v>
      </c>
      <c r="H10" s="119">
        <v>0.086</v>
      </c>
      <c r="I10" s="119">
        <v>0.086</v>
      </c>
      <c r="J10" s="119">
        <v>0.086</v>
      </c>
      <c r="K10" s="119">
        <v>0.086</v>
      </c>
      <c r="L10" s="119">
        <v>0.086</v>
      </c>
      <c r="M10" s="119">
        <v>0.086</v>
      </c>
      <c r="N10" s="119">
        <v>0.086</v>
      </c>
      <c r="O10" s="119">
        <v>0.086</v>
      </c>
      <c r="P10" s="119">
        <v>0.086</v>
      </c>
      <c r="Q10" s="122">
        <v>0.086</v>
      </c>
      <c r="R10" s="122">
        <v>0.086</v>
      </c>
      <c r="S10" s="122">
        <v>0.086</v>
      </c>
      <c r="T10" s="124">
        <v>0.086</v>
      </c>
      <c r="U10" s="124">
        <v>0.086</v>
      </c>
      <c r="V10" s="125">
        <v>0.086</v>
      </c>
      <c r="W10" s="118">
        <v>0.086</v>
      </c>
      <c r="X10" s="118">
        <v>0.086</v>
      </c>
      <c r="Y10" s="86">
        <f>IFERROR(__xludf.DUMMYFUNCTION("""COMPUTED_VALUE"""),0.0)</f>
        <v>0</v>
      </c>
      <c r="Z10" s="86">
        <f>IFERROR(__xludf.DUMMYFUNCTION("""COMPUTED_VALUE"""),0.0)</f>
        <v>0</v>
      </c>
      <c r="AA10" s="86">
        <f>IFERROR(__xludf.DUMMYFUNCTION("""COMPUTED_VALUE"""),0.0)</f>
        <v>0</v>
      </c>
      <c r="AB10" s="86"/>
      <c r="AC10" s="86"/>
      <c r="AD10" s="86">
        <v>0.0</v>
      </c>
      <c r="AE10" s="86">
        <v>0.0</v>
      </c>
      <c r="AF10" s="86">
        <v>0.0</v>
      </c>
      <c r="AG10" s="86">
        <v>0.0</v>
      </c>
      <c r="AH10" s="127"/>
      <c r="AI10" s="128">
        <v>301.0</v>
      </c>
      <c r="AJ10" s="117">
        <v>2033964.0</v>
      </c>
    </row>
    <row r="11" ht="15.75" customHeight="1">
      <c r="A11" s="116">
        <v>301.0</v>
      </c>
      <c r="B11" s="117" t="s">
        <v>180</v>
      </c>
      <c r="C11" s="118">
        <v>0.362</v>
      </c>
      <c r="D11" s="118">
        <v>0.362</v>
      </c>
      <c r="E11" s="118">
        <v>0.362</v>
      </c>
      <c r="F11" s="118">
        <v>0.362</v>
      </c>
      <c r="G11" s="118">
        <v>0.362</v>
      </c>
      <c r="H11" s="118">
        <v>0.362</v>
      </c>
      <c r="I11" s="118">
        <v>0.362</v>
      </c>
      <c r="J11" s="118">
        <v>0.362</v>
      </c>
      <c r="K11" s="118">
        <v>0.362</v>
      </c>
      <c r="L11" s="118">
        <v>0.362</v>
      </c>
      <c r="M11" s="118">
        <v>0.362</v>
      </c>
      <c r="N11" s="122">
        <v>0.362</v>
      </c>
      <c r="O11" s="122">
        <v>0.362</v>
      </c>
      <c r="P11" s="122">
        <v>0.362</v>
      </c>
      <c r="Q11" s="122">
        <v>0.362</v>
      </c>
      <c r="R11" s="122">
        <v>0.362</v>
      </c>
      <c r="S11" s="122">
        <v>0.362</v>
      </c>
      <c r="T11" s="124">
        <v>0.362</v>
      </c>
      <c r="U11" s="124">
        <v>0.362</v>
      </c>
      <c r="V11" s="118">
        <v>0.362</v>
      </c>
      <c r="W11" s="118">
        <v>0.362</v>
      </c>
      <c r="X11" s="118">
        <v>0.362</v>
      </c>
      <c r="Y11" s="86">
        <f>IFERROR(__xludf.DUMMYFUNCTION("""COMPUTED_VALUE"""),0.362)</f>
        <v>0.362</v>
      </c>
      <c r="Z11" s="86">
        <f>IFERROR(__xludf.DUMMYFUNCTION("""COMPUTED_VALUE"""),0.362)</f>
        <v>0.362</v>
      </c>
      <c r="AA11" s="86">
        <f>IFERROR(__xludf.DUMMYFUNCTION("""COMPUTED_VALUE"""),0.362)</f>
        <v>0.362</v>
      </c>
      <c r="AB11" s="86"/>
      <c r="AC11" s="86"/>
      <c r="AD11" s="86">
        <v>0.0</v>
      </c>
      <c r="AE11" s="86">
        <v>0.0</v>
      </c>
      <c r="AF11" s="86">
        <v>0.0</v>
      </c>
      <c r="AG11" s="86">
        <v>0.0</v>
      </c>
      <c r="AH11" s="127"/>
      <c r="AI11" s="128">
        <v>301.0</v>
      </c>
      <c r="AJ11" s="117" t="s">
        <v>180</v>
      </c>
    </row>
    <row r="12" ht="15.75" customHeight="1">
      <c r="A12" s="74">
        <v>302.0</v>
      </c>
      <c r="B12" s="75">
        <v>2034062.0</v>
      </c>
      <c r="C12" s="76">
        <v>281.546</v>
      </c>
      <c r="D12" s="76">
        <v>286.417</v>
      </c>
      <c r="E12" s="76">
        <v>287.683</v>
      </c>
      <c r="F12" s="76">
        <v>288.182</v>
      </c>
      <c r="G12" s="76">
        <v>289.127</v>
      </c>
      <c r="H12" s="76">
        <v>289.82</v>
      </c>
      <c r="I12" s="76">
        <v>290.669</v>
      </c>
      <c r="J12" s="76">
        <v>291.789</v>
      </c>
      <c r="K12" s="76">
        <v>294.391</v>
      </c>
      <c r="L12" s="76">
        <v>297.804</v>
      </c>
      <c r="M12" s="76">
        <v>300.798</v>
      </c>
      <c r="N12" s="1">
        <v>301.593</v>
      </c>
      <c r="O12" s="76">
        <v>304.133</v>
      </c>
      <c r="P12" s="76">
        <v>306.466</v>
      </c>
      <c r="Q12" s="76">
        <v>307.283</v>
      </c>
      <c r="R12" s="76">
        <v>310.749</v>
      </c>
      <c r="S12" s="76">
        <v>315.001</v>
      </c>
      <c r="T12" s="78">
        <v>319.215</v>
      </c>
      <c r="U12" s="78">
        <v>321.897</v>
      </c>
      <c r="V12" s="79">
        <v>325.755</v>
      </c>
      <c r="W12" s="80">
        <v>329.443</v>
      </c>
      <c r="X12" s="80">
        <v>332.281</v>
      </c>
      <c r="Y12" s="86">
        <f>IFERROR(__xludf.DUMMYFUNCTION("""COMPUTED_VALUE"""),335.684)</f>
        <v>335.684</v>
      </c>
      <c r="Z12" s="86">
        <f>IFERROR(__xludf.DUMMYFUNCTION("""COMPUTED_VALUE"""),338.9)</f>
        <v>338.9</v>
      </c>
      <c r="AA12" s="86">
        <f>IFERROR(__xludf.DUMMYFUNCTION("""COMPUTED_VALUE"""),343.048)</f>
        <v>343.048</v>
      </c>
      <c r="AB12" s="86">
        <f>IFERROR(__xludf.DUMMYFUNCTION("""COMPUTED_VALUE"""),346.971)</f>
        <v>346.971</v>
      </c>
      <c r="AC12" s="86">
        <f>IFERROR(__xludf.DUMMYFUNCTION("""COMPUTED_VALUE"""),351.041)</f>
        <v>351.041</v>
      </c>
      <c r="AD12" s="86">
        <v>0.0</v>
      </c>
      <c r="AE12" s="86">
        <v>0.0</v>
      </c>
      <c r="AF12" s="86">
        <v>0.0</v>
      </c>
      <c r="AG12" s="86">
        <v>0.0</v>
      </c>
      <c r="AH12" s="91"/>
      <c r="AI12" s="93">
        <v>302.0</v>
      </c>
      <c r="AJ12" s="75">
        <v>2034062.0</v>
      </c>
    </row>
    <row r="13" ht="15.75" customHeight="1">
      <c r="A13" s="74">
        <v>303.0</v>
      </c>
      <c r="B13" s="75">
        <v>2034065.0</v>
      </c>
      <c r="C13" s="76">
        <v>404.296</v>
      </c>
      <c r="D13" s="76">
        <v>405.782</v>
      </c>
      <c r="E13" s="76">
        <v>407.411</v>
      </c>
      <c r="F13" s="76">
        <v>410.402</v>
      </c>
      <c r="G13" s="76">
        <v>411.822</v>
      </c>
      <c r="H13" s="76">
        <v>414.339</v>
      </c>
      <c r="I13" s="76">
        <v>415.8</v>
      </c>
      <c r="J13" s="76">
        <v>420.212</v>
      </c>
      <c r="K13" s="76">
        <v>421.255</v>
      </c>
      <c r="L13" s="76">
        <v>424.588</v>
      </c>
      <c r="M13" s="76">
        <v>430.614</v>
      </c>
      <c r="N13" s="76">
        <v>438.44</v>
      </c>
      <c r="O13" s="76">
        <v>444.075</v>
      </c>
      <c r="P13" s="76">
        <v>450.148</v>
      </c>
      <c r="Q13" s="76">
        <v>451.988</v>
      </c>
      <c r="R13" s="76">
        <v>456.781</v>
      </c>
      <c r="S13" s="76">
        <v>461.075</v>
      </c>
      <c r="T13" s="78">
        <v>463.157</v>
      </c>
      <c r="U13" s="78">
        <v>464.454</v>
      </c>
      <c r="V13" s="79">
        <v>465.458</v>
      </c>
      <c r="W13" s="80">
        <v>468.833</v>
      </c>
      <c r="X13" s="80">
        <v>474.03</v>
      </c>
      <c r="Y13" s="86">
        <f>IFERROR(__xludf.DUMMYFUNCTION("""COMPUTED_VALUE"""),475.017)</f>
        <v>475.017</v>
      </c>
      <c r="Z13" s="86">
        <f>IFERROR(__xludf.DUMMYFUNCTION("""COMPUTED_VALUE"""),477.968)</f>
        <v>477.968</v>
      </c>
      <c r="AA13" s="86">
        <f>IFERROR(__xludf.DUMMYFUNCTION("""COMPUTED_VALUE"""),479.318)</f>
        <v>479.318</v>
      </c>
      <c r="AB13" s="86">
        <f>IFERROR(__xludf.DUMMYFUNCTION("""COMPUTED_VALUE"""),483.394)</f>
        <v>483.394</v>
      </c>
      <c r="AC13" s="86">
        <f>IFERROR(__xludf.DUMMYFUNCTION("""COMPUTED_VALUE"""),486.681)</f>
        <v>486.681</v>
      </c>
      <c r="AD13" s="86">
        <v>0.0</v>
      </c>
      <c r="AE13" s="86">
        <v>0.0</v>
      </c>
      <c r="AF13" s="86">
        <v>0.0</v>
      </c>
      <c r="AG13" s="86">
        <v>0.0</v>
      </c>
      <c r="AH13" s="91"/>
      <c r="AI13" s="93">
        <v>303.0</v>
      </c>
      <c r="AJ13" s="75">
        <v>2034065.0</v>
      </c>
    </row>
    <row r="14" ht="15.75" customHeight="1">
      <c r="A14" s="74">
        <v>304.0</v>
      </c>
      <c r="B14" s="75">
        <v>2034043.0</v>
      </c>
      <c r="C14" s="76">
        <v>83.469</v>
      </c>
      <c r="D14" s="76">
        <v>84.085</v>
      </c>
      <c r="E14" s="76">
        <v>84.696</v>
      </c>
      <c r="F14" s="76">
        <v>84.696</v>
      </c>
      <c r="G14" s="76">
        <v>89.072</v>
      </c>
      <c r="H14" s="76">
        <v>92.659</v>
      </c>
      <c r="I14" s="76">
        <v>95.108</v>
      </c>
      <c r="J14" s="76">
        <v>96.292</v>
      </c>
      <c r="K14" s="76">
        <v>96.294</v>
      </c>
      <c r="L14" s="76">
        <v>96.356</v>
      </c>
      <c r="M14" s="76">
        <v>96.356</v>
      </c>
      <c r="N14" s="1">
        <v>102.08</v>
      </c>
      <c r="O14" s="76">
        <v>105.768</v>
      </c>
      <c r="P14" s="76">
        <v>110.531</v>
      </c>
      <c r="Q14" s="76">
        <v>112.621</v>
      </c>
      <c r="R14" s="97">
        <v>112.627</v>
      </c>
      <c r="S14" s="76">
        <v>112.632</v>
      </c>
      <c r="T14" s="78">
        <v>112.634</v>
      </c>
      <c r="U14" s="78">
        <v>114.923</v>
      </c>
      <c r="V14" s="79">
        <v>115.025</v>
      </c>
      <c r="W14" s="80">
        <v>117.196</v>
      </c>
      <c r="X14" s="80">
        <v>117.197</v>
      </c>
      <c r="Y14" s="86">
        <f>IFERROR(__xludf.DUMMYFUNCTION("""COMPUTED_VALUE"""),119.445)</f>
        <v>119.445</v>
      </c>
      <c r="Z14" s="86">
        <f>IFERROR(__xludf.DUMMYFUNCTION("""COMPUTED_VALUE"""),123.578)</f>
        <v>123.578</v>
      </c>
      <c r="AA14" s="86">
        <f>IFERROR(__xludf.DUMMYFUNCTION("""COMPUTED_VALUE"""),128.193)</f>
        <v>128.193</v>
      </c>
      <c r="AB14" s="86">
        <f>IFERROR(__xludf.DUMMYFUNCTION("""COMPUTED_VALUE"""),132.182)</f>
        <v>132.182</v>
      </c>
      <c r="AC14" s="86">
        <f>IFERROR(__xludf.DUMMYFUNCTION("""COMPUTED_VALUE"""),134.183)</f>
        <v>134.183</v>
      </c>
      <c r="AD14" s="86">
        <v>0.0</v>
      </c>
      <c r="AE14" s="86">
        <v>0.0</v>
      </c>
      <c r="AF14" s="86">
        <v>0.0</v>
      </c>
      <c r="AG14" s="86">
        <v>0.0</v>
      </c>
      <c r="AH14" s="91"/>
      <c r="AI14" s="93">
        <v>304.0</v>
      </c>
      <c r="AJ14" s="75">
        <v>2034043.0</v>
      </c>
    </row>
    <row r="15" ht="15.75" customHeight="1">
      <c r="A15" s="136">
        <v>305.0</v>
      </c>
      <c r="B15" s="75">
        <v>2034044.0</v>
      </c>
      <c r="C15" s="76">
        <v>113.193</v>
      </c>
      <c r="D15" s="76">
        <v>114.715</v>
      </c>
      <c r="E15" s="76">
        <v>116.256</v>
      </c>
      <c r="F15" s="76">
        <v>117.779</v>
      </c>
      <c r="G15" s="76">
        <v>119.091</v>
      </c>
      <c r="H15" s="76">
        <v>120.556</v>
      </c>
      <c r="I15" s="76">
        <v>121.911</v>
      </c>
      <c r="J15" s="76">
        <v>123.095</v>
      </c>
      <c r="K15" s="76">
        <v>123.346</v>
      </c>
      <c r="L15" s="76">
        <v>123.796</v>
      </c>
      <c r="M15" s="76">
        <v>123.796</v>
      </c>
      <c r="N15" s="139">
        <v>124.182</v>
      </c>
      <c r="O15" s="139">
        <v>124.182</v>
      </c>
      <c r="P15" s="139">
        <v>124.182</v>
      </c>
      <c r="Q15" s="139">
        <v>124.182</v>
      </c>
      <c r="R15" s="139">
        <v>124.182</v>
      </c>
      <c r="S15" s="139">
        <v>124.182</v>
      </c>
      <c r="T15" s="124">
        <v>124.182</v>
      </c>
      <c r="U15" s="124">
        <v>124.182</v>
      </c>
      <c r="V15" s="140">
        <v>124.182</v>
      </c>
      <c r="W15" s="140">
        <v>124.182</v>
      </c>
      <c r="X15" s="140">
        <v>124.182</v>
      </c>
      <c r="Y15" s="86">
        <f>IFERROR(__xludf.DUMMYFUNCTION("""COMPUTED_VALUE"""),124.182)</f>
        <v>124.182</v>
      </c>
      <c r="Z15" s="86">
        <f>IFERROR(__xludf.DUMMYFUNCTION("""COMPUTED_VALUE"""),124.182)</f>
        <v>124.182</v>
      </c>
      <c r="AA15" s="86">
        <f>IFERROR(__xludf.DUMMYFUNCTION("""COMPUTED_VALUE"""),124.182)</f>
        <v>124.182</v>
      </c>
      <c r="AB15" s="86">
        <f>IFERROR(__xludf.DUMMYFUNCTION("""COMPUTED_VALUE"""),124.183)</f>
        <v>124.183</v>
      </c>
      <c r="AC15" s="86">
        <f>IFERROR(__xludf.DUMMYFUNCTION("""COMPUTED_VALUE"""),124.183)</f>
        <v>124.183</v>
      </c>
      <c r="AD15" s="86">
        <v>0.0</v>
      </c>
      <c r="AE15" s="86">
        <v>0.0</v>
      </c>
      <c r="AF15" s="86">
        <v>0.0</v>
      </c>
      <c r="AG15" s="86">
        <v>0.0</v>
      </c>
      <c r="AH15" s="91"/>
      <c r="AI15" s="93">
        <v>305.0</v>
      </c>
      <c r="AJ15" s="75">
        <v>2034044.0</v>
      </c>
    </row>
    <row r="16" ht="15.75" customHeight="1">
      <c r="A16" s="116">
        <v>306.0</v>
      </c>
      <c r="B16" s="141">
        <v>2034050.0</v>
      </c>
      <c r="C16" s="139">
        <v>240.741</v>
      </c>
      <c r="D16" s="139">
        <v>240.741</v>
      </c>
      <c r="E16" s="139">
        <v>240.741</v>
      </c>
      <c r="F16" s="139">
        <v>240.741</v>
      </c>
      <c r="G16" s="139">
        <v>240.741</v>
      </c>
      <c r="H16" s="139">
        <v>240.741</v>
      </c>
      <c r="I16" s="139">
        <v>240.741</v>
      </c>
      <c r="J16" s="139">
        <v>240.741</v>
      </c>
      <c r="K16" s="139">
        <v>240.741</v>
      </c>
      <c r="L16" s="139">
        <v>240.741</v>
      </c>
      <c r="M16" s="139">
        <v>240.741</v>
      </c>
      <c r="N16" s="139">
        <v>240.741</v>
      </c>
      <c r="O16" s="139">
        <v>240.741</v>
      </c>
      <c r="P16" s="139">
        <v>240.741</v>
      </c>
      <c r="Q16" s="139">
        <v>240.741</v>
      </c>
      <c r="R16" s="139">
        <v>240.741</v>
      </c>
      <c r="S16" s="139">
        <v>240.741</v>
      </c>
      <c r="T16" s="124">
        <v>240.741</v>
      </c>
      <c r="U16" s="124">
        <v>240.741</v>
      </c>
      <c r="V16" s="142"/>
      <c r="W16" s="143"/>
      <c r="X16" s="143"/>
      <c r="Y16" s="86"/>
      <c r="Z16" s="86"/>
      <c r="AA16" s="86">
        <f>IFERROR(__xludf.DUMMYFUNCTION("""COMPUTED_VALUE"""),0.0)</f>
        <v>0</v>
      </c>
      <c r="AB16" s="86"/>
      <c r="AC16" s="86"/>
      <c r="AD16" s="86">
        <v>0.0</v>
      </c>
      <c r="AE16" s="86">
        <v>0.0</v>
      </c>
      <c r="AF16" s="86">
        <v>0.0</v>
      </c>
      <c r="AG16" s="86">
        <v>0.0</v>
      </c>
      <c r="AH16" s="127"/>
      <c r="AI16" s="128">
        <v>306.0</v>
      </c>
      <c r="AJ16" s="141">
        <v>2034050.0</v>
      </c>
    </row>
    <row r="17" ht="15.75" customHeight="1">
      <c r="A17" s="74">
        <v>402.0</v>
      </c>
      <c r="B17" s="75">
        <v>2034057.0</v>
      </c>
      <c r="C17" s="76">
        <v>260.458</v>
      </c>
      <c r="D17" s="76">
        <v>263.324</v>
      </c>
      <c r="E17" s="76">
        <v>266.282</v>
      </c>
      <c r="F17" s="76">
        <v>269.052</v>
      </c>
      <c r="G17" s="76">
        <v>272.978</v>
      </c>
      <c r="H17" s="76">
        <v>282.938</v>
      </c>
      <c r="I17" s="76">
        <v>290.257</v>
      </c>
      <c r="J17" s="76">
        <v>296.55</v>
      </c>
      <c r="K17" s="76">
        <v>300.828</v>
      </c>
      <c r="L17" s="76">
        <v>305.481</v>
      </c>
      <c r="M17" s="76">
        <v>306.912</v>
      </c>
      <c r="N17" s="1">
        <v>311.326</v>
      </c>
      <c r="O17" s="76">
        <v>316.489</v>
      </c>
      <c r="P17" s="76">
        <v>320.777</v>
      </c>
      <c r="Q17" s="76">
        <v>321.443</v>
      </c>
      <c r="R17" s="76">
        <v>324.887</v>
      </c>
      <c r="S17" s="76">
        <v>326.709</v>
      </c>
      <c r="T17" s="78">
        <v>329.844</v>
      </c>
      <c r="U17" s="78">
        <v>331.293</v>
      </c>
      <c r="V17" s="79">
        <v>335.251</v>
      </c>
      <c r="W17" s="80">
        <v>338.425</v>
      </c>
      <c r="X17" s="80">
        <v>343.06</v>
      </c>
      <c r="Y17" s="86">
        <f>IFERROR(__xludf.DUMMYFUNCTION("""COMPUTED_VALUE"""),347.901)</f>
        <v>347.901</v>
      </c>
      <c r="Z17" s="86">
        <f>IFERROR(__xludf.DUMMYFUNCTION("""COMPUTED_VALUE"""),348.565)</f>
        <v>348.565</v>
      </c>
      <c r="AA17" s="86">
        <f>IFERROR(__xludf.DUMMYFUNCTION("""COMPUTED_VALUE"""),350.378)</f>
        <v>350.378</v>
      </c>
      <c r="AB17" s="86">
        <f>IFERROR(__xludf.DUMMYFUNCTION("""COMPUTED_VALUE"""),353.083)</f>
        <v>353.083</v>
      </c>
      <c r="AC17" s="86">
        <f>IFERROR(__xludf.DUMMYFUNCTION("""COMPUTED_VALUE"""),355.97)</f>
        <v>355.97</v>
      </c>
      <c r="AD17" s="86">
        <v>0.0</v>
      </c>
      <c r="AE17" s="86">
        <v>0.0</v>
      </c>
      <c r="AF17" s="86">
        <v>0.0</v>
      </c>
      <c r="AG17" s="86">
        <v>0.0</v>
      </c>
      <c r="AH17" s="91"/>
      <c r="AI17" s="93">
        <v>402.0</v>
      </c>
      <c r="AJ17" s="75">
        <v>2034057.0</v>
      </c>
    </row>
    <row r="18" ht="15.75" customHeight="1">
      <c r="A18" s="74">
        <v>403.0</v>
      </c>
      <c r="B18" s="75" t="s">
        <v>239</v>
      </c>
      <c r="C18" s="76">
        <v>66.027</v>
      </c>
      <c r="D18" s="76">
        <v>68.022</v>
      </c>
      <c r="E18" s="76">
        <v>69.365</v>
      </c>
      <c r="F18" s="76">
        <v>71.253</v>
      </c>
      <c r="G18" s="76">
        <v>72.693</v>
      </c>
      <c r="H18" s="76">
        <v>74.203</v>
      </c>
      <c r="I18" s="76">
        <v>75.251</v>
      </c>
      <c r="J18" s="76">
        <v>76.197</v>
      </c>
      <c r="K18" s="76">
        <v>77.175</v>
      </c>
      <c r="L18" s="76">
        <v>77.978</v>
      </c>
      <c r="M18" s="76">
        <v>79.303</v>
      </c>
      <c r="N18" s="1">
        <v>80.858</v>
      </c>
      <c r="O18" s="76">
        <v>82.611</v>
      </c>
      <c r="P18" s="76">
        <v>83.87</v>
      </c>
      <c r="Q18" s="76">
        <v>85.699</v>
      </c>
      <c r="R18" s="76">
        <v>88.825</v>
      </c>
      <c r="S18" s="76">
        <v>91.081</v>
      </c>
      <c r="T18" s="78">
        <v>94.65</v>
      </c>
      <c r="U18" s="78">
        <v>95.762</v>
      </c>
      <c r="V18" s="79">
        <v>96.875</v>
      </c>
      <c r="W18" s="80">
        <v>98.652</v>
      </c>
      <c r="X18" s="80">
        <v>99.911</v>
      </c>
      <c r="Y18" s="86">
        <f>IFERROR(__xludf.DUMMYFUNCTION("""COMPUTED_VALUE"""),100.204)</f>
        <v>100.204</v>
      </c>
      <c r="Z18" s="86">
        <f>IFERROR(__xludf.DUMMYFUNCTION("""COMPUTED_VALUE"""),101.644)</f>
        <v>101.644</v>
      </c>
      <c r="AA18" s="86">
        <f>IFERROR(__xludf.DUMMYFUNCTION("""COMPUTED_VALUE"""),106.894)</f>
        <v>106.894</v>
      </c>
      <c r="AB18" s="86">
        <f>IFERROR(__xludf.DUMMYFUNCTION("""COMPUTED_VALUE"""),112.889)</f>
        <v>112.889</v>
      </c>
      <c r="AC18" s="86">
        <f>IFERROR(__xludf.DUMMYFUNCTION("""COMPUTED_VALUE"""),117.628)</f>
        <v>117.628</v>
      </c>
      <c r="AD18" s="86">
        <v>0.0</v>
      </c>
      <c r="AE18" s="86">
        <v>0.0</v>
      </c>
      <c r="AF18" s="86">
        <v>0.0</v>
      </c>
      <c r="AG18" s="86">
        <v>0.0</v>
      </c>
      <c r="AH18" s="91"/>
      <c r="AI18" s="93">
        <v>403.0</v>
      </c>
      <c r="AJ18" s="75" t="s">
        <v>239</v>
      </c>
    </row>
    <row r="19" ht="15.75" customHeight="1">
      <c r="A19" s="74">
        <v>404.0</v>
      </c>
      <c r="B19" s="75">
        <v>2034042.0</v>
      </c>
      <c r="C19" s="76">
        <v>140.206</v>
      </c>
      <c r="D19" s="76">
        <v>140.206</v>
      </c>
      <c r="E19" s="76">
        <v>140.206</v>
      </c>
      <c r="F19" s="76">
        <v>140.206</v>
      </c>
      <c r="G19" s="76">
        <v>140.206</v>
      </c>
      <c r="H19" s="76">
        <v>140.206</v>
      </c>
      <c r="I19" s="76">
        <v>140.206</v>
      </c>
      <c r="J19" s="76">
        <v>140.206</v>
      </c>
      <c r="K19" s="76">
        <v>140.206</v>
      </c>
      <c r="L19" s="76">
        <v>140.47</v>
      </c>
      <c r="M19" s="76">
        <v>140.47</v>
      </c>
      <c r="N19" s="76">
        <v>140.47</v>
      </c>
      <c r="O19" s="76">
        <v>140.6</v>
      </c>
      <c r="P19" s="76">
        <v>142.673</v>
      </c>
      <c r="Q19" s="76">
        <v>145.481</v>
      </c>
      <c r="R19" s="139">
        <v>145.953</v>
      </c>
      <c r="S19" s="139">
        <v>145.953</v>
      </c>
      <c r="T19" s="78">
        <v>145.953</v>
      </c>
      <c r="U19" s="78">
        <v>145.953</v>
      </c>
      <c r="V19" s="80">
        <v>145.953</v>
      </c>
      <c r="W19" s="80">
        <v>145.953</v>
      </c>
      <c r="X19" s="80">
        <v>151.048</v>
      </c>
      <c r="Y19" s="86">
        <f>IFERROR(__xludf.DUMMYFUNCTION("""COMPUTED_VALUE"""),155.686)</f>
        <v>155.686</v>
      </c>
      <c r="Z19" s="86">
        <f>IFERROR(__xludf.DUMMYFUNCTION("""COMPUTED_VALUE"""),158.575)</f>
        <v>158.575</v>
      </c>
      <c r="AA19" s="86">
        <f>IFERROR(__xludf.DUMMYFUNCTION("""COMPUTED_VALUE"""),163.642)</f>
        <v>163.642</v>
      </c>
      <c r="AB19" s="86">
        <f>IFERROR(__xludf.DUMMYFUNCTION("""COMPUTED_VALUE"""),163.848)</f>
        <v>163.848</v>
      </c>
      <c r="AC19" s="86">
        <f>IFERROR(__xludf.DUMMYFUNCTION("""COMPUTED_VALUE"""),163.848)</f>
        <v>163.848</v>
      </c>
      <c r="AD19" s="86">
        <v>0.0</v>
      </c>
      <c r="AE19" s="86">
        <v>0.0</v>
      </c>
      <c r="AF19" s="86">
        <v>0.0</v>
      </c>
      <c r="AG19" s="86">
        <v>0.0</v>
      </c>
      <c r="AH19" s="91"/>
      <c r="AI19" s="93">
        <v>404.0</v>
      </c>
      <c r="AJ19" s="75">
        <v>2034042.0</v>
      </c>
    </row>
    <row r="20" ht="15.75" customHeight="1">
      <c r="A20" s="145">
        <v>405.0</v>
      </c>
      <c r="B20" s="146">
        <v>2034046.0</v>
      </c>
      <c r="C20" s="147">
        <v>170.894</v>
      </c>
      <c r="D20" s="147">
        <v>170.894</v>
      </c>
      <c r="E20" s="147">
        <v>170.894</v>
      </c>
      <c r="F20" s="147">
        <v>170.894</v>
      </c>
      <c r="G20" s="147">
        <v>170.894</v>
      </c>
      <c r="H20" s="147">
        <v>170.894</v>
      </c>
      <c r="I20" s="147">
        <v>170.894</v>
      </c>
      <c r="J20" s="147">
        <v>170.894</v>
      </c>
      <c r="K20" s="147">
        <v>170.894</v>
      </c>
      <c r="L20" s="147">
        <v>170.894</v>
      </c>
      <c r="M20" s="147">
        <v>170.894</v>
      </c>
      <c r="N20" s="147">
        <v>170.894</v>
      </c>
      <c r="O20" s="147">
        <v>170.894</v>
      </c>
      <c r="P20" s="147">
        <v>170.894</v>
      </c>
      <c r="Q20" s="147">
        <v>170.894</v>
      </c>
      <c r="R20" s="147">
        <v>170.9</v>
      </c>
      <c r="S20" s="147">
        <v>170.9</v>
      </c>
      <c r="T20" s="148">
        <v>170.9</v>
      </c>
      <c r="U20" s="148">
        <v>170.9</v>
      </c>
      <c r="V20" s="149">
        <v>170.9</v>
      </c>
      <c r="W20" s="149">
        <v>170.9</v>
      </c>
      <c r="X20" s="149">
        <v>170.9</v>
      </c>
      <c r="Y20" s="86">
        <f>IFERROR(__xludf.DUMMYFUNCTION("""COMPUTED_VALUE"""),170.9)</f>
        <v>170.9</v>
      </c>
      <c r="Z20" s="150">
        <f>IFERROR(__xludf.DUMMYFUNCTION("""COMPUTED_VALUE"""),170.9)</f>
        <v>170.9</v>
      </c>
      <c r="AA20" s="150">
        <f>IFERROR(__xludf.DUMMYFUNCTION("""COMPUTED_VALUE"""),170.9)</f>
        <v>170.9</v>
      </c>
      <c r="AB20" s="150">
        <f>IFERROR(__xludf.DUMMYFUNCTION("""COMPUTED_VALUE"""),170.9)</f>
        <v>170.9</v>
      </c>
      <c r="AC20" s="150">
        <f>IFERROR(__xludf.DUMMYFUNCTION("""COMPUTED_VALUE"""),170.9)</f>
        <v>170.9</v>
      </c>
      <c r="AD20" s="150">
        <v>0.0</v>
      </c>
      <c r="AE20" s="150">
        <v>0.0</v>
      </c>
      <c r="AF20" s="150">
        <v>0.0</v>
      </c>
      <c r="AG20" s="150">
        <v>0.0</v>
      </c>
      <c r="AH20" s="151"/>
      <c r="AI20" s="152">
        <v>405.0</v>
      </c>
      <c r="AJ20" s="146">
        <v>2034046.0</v>
      </c>
    </row>
    <row r="21" ht="15.75" customHeight="1">
      <c r="A21" s="145">
        <v>406.0</v>
      </c>
      <c r="B21" s="146">
        <v>2034035.0</v>
      </c>
      <c r="C21" s="147">
        <v>222.028</v>
      </c>
      <c r="D21" s="147">
        <v>222.028</v>
      </c>
      <c r="E21" s="147">
        <v>222.028</v>
      </c>
      <c r="F21" s="147">
        <v>222.028</v>
      </c>
      <c r="G21" s="147">
        <v>222.028</v>
      </c>
      <c r="H21" s="147">
        <v>222.028</v>
      </c>
      <c r="I21" s="147">
        <v>222.028</v>
      </c>
      <c r="J21" s="147">
        <v>222.028</v>
      </c>
      <c r="K21" s="147">
        <v>222.028</v>
      </c>
      <c r="L21" s="147">
        <v>222.028</v>
      </c>
      <c r="M21" s="147">
        <v>222.028</v>
      </c>
      <c r="N21" s="147">
        <v>222.028</v>
      </c>
      <c r="O21" s="147">
        <v>222.028</v>
      </c>
      <c r="P21" s="147">
        <v>222.028</v>
      </c>
      <c r="Q21" s="147">
        <v>222.028</v>
      </c>
      <c r="R21" s="147">
        <v>222.045</v>
      </c>
      <c r="S21" s="147">
        <v>222.047</v>
      </c>
      <c r="T21" s="148">
        <v>222.05</v>
      </c>
      <c r="U21" s="148">
        <v>222.052</v>
      </c>
      <c r="V21" s="146">
        <v>222.054</v>
      </c>
      <c r="W21" s="149">
        <v>222.056</v>
      </c>
      <c r="X21" s="149">
        <v>222.058</v>
      </c>
      <c r="Y21" s="86">
        <f>IFERROR(__xludf.DUMMYFUNCTION("""COMPUTED_VALUE"""),222.059)</f>
        <v>222.059</v>
      </c>
      <c r="Z21" s="150">
        <f>IFERROR(__xludf.DUMMYFUNCTION("""COMPUTED_VALUE"""),222.059)</f>
        <v>222.059</v>
      </c>
      <c r="AA21" s="150">
        <f>IFERROR(__xludf.DUMMYFUNCTION("""COMPUTED_VALUE"""),222.059)</f>
        <v>222.059</v>
      </c>
      <c r="AB21" s="150">
        <f>IFERROR(__xludf.DUMMYFUNCTION("""COMPUTED_VALUE"""),222.064)</f>
        <v>222.064</v>
      </c>
      <c r="AC21" s="150">
        <f>IFERROR(__xludf.DUMMYFUNCTION("""COMPUTED_VALUE"""),222.066)</f>
        <v>222.066</v>
      </c>
      <c r="AD21" s="150">
        <v>0.0</v>
      </c>
      <c r="AE21" s="150">
        <v>0.0</v>
      </c>
      <c r="AF21" s="150">
        <v>0.0</v>
      </c>
      <c r="AG21" s="150">
        <v>0.0</v>
      </c>
      <c r="AH21" s="151"/>
      <c r="AI21" s="152">
        <v>406.0</v>
      </c>
      <c r="AJ21" s="146">
        <v>2034035.0</v>
      </c>
    </row>
    <row r="22" ht="15.75" customHeight="1">
      <c r="A22" s="74">
        <v>501.0</v>
      </c>
      <c r="B22" s="75" t="s">
        <v>241</v>
      </c>
      <c r="C22" s="76">
        <v>200.565</v>
      </c>
      <c r="D22" s="76">
        <v>206.082</v>
      </c>
      <c r="E22" s="76">
        <v>216.856</v>
      </c>
      <c r="F22" s="76">
        <v>217.653</v>
      </c>
      <c r="G22" s="76">
        <v>217.653</v>
      </c>
      <c r="H22" s="76">
        <v>217.653</v>
      </c>
      <c r="I22" s="76">
        <v>217.653</v>
      </c>
      <c r="J22" s="76">
        <v>217.653</v>
      </c>
      <c r="K22" s="76">
        <v>217.653</v>
      </c>
      <c r="L22" s="76">
        <v>217.653</v>
      </c>
      <c r="M22" s="76">
        <v>217.653</v>
      </c>
      <c r="N22" s="76">
        <v>217.653</v>
      </c>
      <c r="O22" s="76">
        <v>217.653</v>
      </c>
      <c r="P22" s="76">
        <v>217.653</v>
      </c>
      <c r="Q22" s="76">
        <v>217.654</v>
      </c>
      <c r="R22" s="76">
        <v>217.654</v>
      </c>
      <c r="S22" s="76">
        <v>217.654</v>
      </c>
      <c r="T22" s="78">
        <v>217.654</v>
      </c>
      <c r="U22" s="78">
        <v>217.654</v>
      </c>
      <c r="V22" s="80">
        <v>217.654</v>
      </c>
      <c r="W22" s="80">
        <v>217.654</v>
      </c>
      <c r="X22" s="80">
        <v>217.655</v>
      </c>
      <c r="Y22" s="86">
        <f>IFERROR(__xludf.DUMMYFUNCTION("""COMPUTED_VALUE"""),217.655)</f>
        <v>217.655</v>
      </c>
      <c r="Z22" s="86">
        <f>IFERROR(__xludf.DUMMYFUNCTION("""COMPUTED_VALUE"""),217.655)</f>
        <v>217.655</v>
      </c>
      <c r="AA22" s="86">
        <f>IFERROR(__xludf.DUMMYFUNCTION("""COMPUTED_VALUE"""),217.655)</f>
        <v>217.655</v>
      </c>
      <c r="AB22" s="86">
        <f>IFERROR(__xludf.DUMMYFUNCTION("""COMPUTED_VALUE"""),217.655)</f>
        <v>217.655</v>
      </c>
      <c r="AC22" s="86">
        <f>IFERROR(__xludf.DUMMYFUNCTION("""COMPUTED_VALUE"""),217.655)</f>
        <v>217.655</v>
      </c>
      <c r="AD22" s="86">
        <v>0.0</v>
      </c>
      <c r="AE22" s="86">
        <v>0.0</v>
      </c>
      <c r="AF22" s="86">
        <v>0.0</v>
      </c>
      <c r="AG22" s="86">
        <v>0.0</v>
      </c>
      <c r="AH22" s="91"/>
      <c r="AI22" s="93">
        <v>501.0</v>
      </c>
      <c r="AJ22" s="75" t="s">
        <v>241</v>
      </c>
    </row>
    <row r="23" ht="15.75" customHeight="1">
      <c r="A23" s="74">
        <v>502.0</v>
      </c>
      <c r="B23" s="75">
        <v>2034055.0</v>
      </c>
      <c r="C23" s="76">
        <v>198.498</v>
      </c>
      <c r="D23" s="76">
        <v>198.498</v>
      </c>
      <c r="E23" s="76">
        <v>199.542</v>
      </c>
      <c r="F23" s="76">
        <v>199.542</v>
      </c>
      <c r="G23" s="76">
        <v>199.542</v>
      </c>
      <c r="H23" s="76">
        <v>199.542</v>
      </c>
      <c r="I23" s="76">
        <v>199.967</v>
      </c>
      <c r="J23" s="76">
        <v>200.619</v>
      </c>
      <c r="K23" s="76">
        <v>204.112</v>
      </c>
      <c r="L23" s="76">
        <v>206.375</v>
      </c>
      <c r="M23" s="76">
        <v>206.956</v>
      </c>
      <c r="N23" s="76">
        <v>209.048</v>
      </c>
      <c r="O23" s="76">
        <v>210.971</v>
      </c>
      <c r="P23" s="76">
        <v>214.213</v>
      </c>
      <c r="Q23" s="76">
        <v>216.089</v>
      </c>
      <c r="R23" s="97">
        <v>216.724</v>
      </c>
      <c r="S23" s="76">
        <v>217.358</v>
      </c>
      <c r="T23" s="78">
        <v>217.369</v>
      </c>
      <c r="U23" s="78">
        <v>217.52</v>
      </c>
      <c r="V23" s="79">
        <v>218.258</v>
      </c>
      <c r="W23" s="80">
        <v>218.65</v>
      </c>
      <c r="X23" s="80">
        <v>218.847</v>
      </c>
      <c r="Y23" s="86">
        <f>IFERROR(__xludf.DUMMYFUNCTION("""COMPUTED_VALUE"""),218.948)</f>
        <v>218.948</v>
      </c>
      <c r="Z23" s="86">
        <f>IFERROR(__xludf.DUMMYFUNCTION("""COMPUTED_VALUE"""),219.372)</f>
        <v>219.372</v>
      </c>
      <c r="AA23" s="86">
        <f>IFERROR(__xludf.DUMMYFUNCTION("""COMPUTED_VALUE"""),219.396)</f>
        <v>219.396</v>
      </c>
      <c r="AB23" s="86">
        <f>IFERROR(__xludf.DUMMYFUNCTION("""COMPUTED_VALUE"""),219.449)</f>
        <v>219.449</v>
      </c>
      <c r="AC23" s="86">
        <f>IFERROR(__xludf.DUMMYFUNCTION("""COMPUTED_VALUE"""),219.449)</f>
        <v>219.449</v>
      </c>
      <c r="AD23" s="86">
        <v>0.0</v>
      </c>
      <c r="AE23" s="86">
        <v>0.0</v>
      </c>
      <c r="AF23" s="86">
        <v>0.0</v>
      </c>
      <c r="AG23" s="86">
        <v>0.0</v>
      </c>
      <c r="AH23" s="91"/>
      <c r="AI23" s="93">
        <v>502.0</v>
      </c>
      <c r="AJ23" s="75">
        <v>2034055.0</v>
      </c>
    </row>
    <row r="24" ht="15.75" customHeight="1">
      <c r="A24" s="74">
        <v>503.0</v>
      </c>
      <c r="B24" s="75">
        <v>2034083.0</v>
      </c>
      <c r="C24" s="76">
        <v>241.229</v>
      </c>
      <c r="D24" s="76">
        <v>241.25</v>
      </c>
      <c r="E24" s="76">
        <v>241.25</v>
      </c>
      <c r="F24" s="76">
        <v>241.25</v>
      </c>
      <c r="G24" s="76">
        <v>242.376</v>
      </c>
      <c r="H24" s="76">
        <v>242.376</v>
      </c>
      <c r="I24" s="76">
        <v>242.376</v>
      </c>
      <c r="J24" s="76">
        <v>242.376</v>
      </c>
      <c r="K24" s="76">
        <v>242.664</v>
      </c>
      <c r="L24" s="76">
        <v>243.741</v>
      </c>
      <c r="M24" s="76">
        <v>244.594</v>
      </c>
      <c r="N24" s="1">
        <v>245.543</v>
      </c>
      <c r="O24" s="76">
        <v>247.57</v>
      </c>
      <c r="P24" s="76">
        <v>248.23</v>
      </c>
      <c r="Q24" s="76">
        <v>251.394</v>
      </c>
      <c r="R24" s="76">
        <v>253.999</v>
      </c>
      <c r="S24" s="76">
        <v>255.298</v>
      </c>
      <c r="T24" s="78">
        <v>256.298</v>
      </c>
      <c r="U24" s="78">
        <v>259.206</v>
      </c>
      <c r="V24" s="79">
        <v>260.209</v>
      </c>
      <c r="W24" s="80">
        <v>261.976</v>
      </c>
      <c r="X24" s="79">
        <v>264.037</v>
      </c>
      <c r="Y24" s="86">
        <f>IFERROR(__xludf.DUMMYFUNCTION("""COMPUTED_VALUE"""),264.474)</f>
        <v>264.474</v>
      </c>
      <c r="Z24" s="86">
        <f>IFERROR(__xludf.DUMMYFUNCTION("""COMPUTED_VALUE"""),265.231)</f>
        <v>265.231</v>
      </c>
      <c r="AA24" s="86">
        <f>IFERROR(__xludf.DUMMYFUNCTION("""COMPUTED_VALUE"""),266.808)</f>
        <v>266.808</v>
      </c>
      <c r="AB24" s="86">
        <f>IFERROR(__xludf.DUMMYFUNCTION("""COMPUTED_VALUE"""),268.099)</f>
        <v>268.099</v>
      </c>
      <c r="AC24" s="86">
        <f>IFERROR(__xludf.DUMMYFUNCTION("""COMPUTED_VALUE"""),270.445)</f>
        <v>270.445</v>
      </c>
      <c r="AD24" s="86">
        <v>0.0</v>
      </c>
      <c r="AE24" s="86">
        <v>0.0</v>
      </c>
      <c r="AF24" s="86">
        <v>0.0</v>
      </c>
      <c r="AG24" s="86">
        <v>0.0</v>
      </c>
      <c r="AH24" s="91"/>
      <c r="AI24" s="93">
        <v>503.0</v>
      </c>
      <c r="AJ24" s="75">
        <v>2034083.0</v>
      </c>
    </row>
    <row r="25" ht="15.75" customHeight="1">
      <c r="A25" s="74">
        <v>504.0</v>
      </c>
      <c r="B25" s="75">
        <v>2034037.0</v>
      </c>
      <c r="C25" s="76">
        <v>222.439</v>
      </c>
      <c r="D25" s="76">
        <v>224.939</v>
      </c>
      <c r="E25" s="76">
        <v>229.178</v>
      </c>
      <c r="F25" s="76">
        <v>232.272</v>
      </c>
      <c r="G25" s="76">
        <v>234.298</v>
      </c>
      <c r="H25" s="76">
        <v>236.605</v>
      </c>
      <c r="I25" s="76">
        <v>239.045</v>
      </c>
      <c r="J25" s="76">
        <v>241.662</v>
      </c>
      <c r="K25" s="76">
        <v>243.738</v>
      </c>
      <c r="L25" s="76">
        <v>245.8</v>
      </c>
      <c r="M25" s="76">
        <v>246.759</v>
      </c>
      <c r="N25" s="1">
        <v>248.388</v>
      </c>
      <c r="O25" s="76">
        <v>250.729</v>
      </c>
      <c r="P25" s="76">
        <v>252.296</v>
      </c>
      <c r="Q25" s="76">
        <v>253.865</v>
      </c>
      <c r="R25" s="76">
        <v>255.153</v>
      </c>
      <c r="S25" s="76">
        <v>257.461</v>
      </c>
      <c r="T25" s="78">
        <v>259.487</v>
      </c>
      <c r="U25" s="78">
        <v>260.746</v>
      </c>
      <c r="V25" s="79">
        <v>261.875</v>
      </c>
      <c r="W25" s="80">
        <v>262.219</v>
      </c>
      <c r="X25" s="80">
        <v>265.433</v>
      </c>
      <c r="Y25" s="86">
        <f>IFERROR(__xludf.DUMMYFUNCTION("""COMPUTED_VALUE"""),267.244)</f>
        <v>267.244</v>
      </c>
      <c r="Z25" s="86">
        <f>IFERROR(__xludf.DUMMYFUNCTION("""COMPUTED_VALUE"""),269.18)</f>
        <v>269.18</v>
      </c>
      <c r="AA25" s="86">
        <f>IFERROR(__xludf.DUMMYFUNCTION("""COMPUTED_VALUE"""),271.773)</f>
        <v>271.773</v>
      </c>
      <c r="AB25" s="86">
        <f>IFERROR(__xludf.DUMMYFUNCTION("""COMPUTED_VALUE"""),273.503)</f>
        <v>273.503</v>
      </c>
      <c r="AC25" s="86">
        <f>IFERROR(__xludf.DUMMYFUNCTION("""COMPUTED_VALUE"""),275.042)</f>
        <v>275.042</v>
      </c>
      <c r="AD25" s="86">
        <v>0.0</v>
      </c>
      <c r="AE25" s="86">
        <v>0.0</v>
      </c>
      <c r="AF25" s="86">
        <v>0.0</v>
      </c>
      <c r="AG25" s="86">
        <v>0.0</v>
      </c>
      <c r="AH25" s="91"/>
      <c r="AI25" s="93">
        <v>504.0</v>
      </c>
      <c r="AJ25" s="75">
        <v>2034037.0</v>
      </c>
    </row>
    <row r="26" ht="15.75" customHeight="1">
      <c r="A26" s="74">
        <v>505.0</v>
      </c>
      <c r="B26" s="75">
        <v>2034047.0</v>
      </c>
      <c r="C26" s="76">
        <v>425.871</v>
      </c>
      <c r="D26" s="76">
        <v>432.436</v>
      </c>
      <c r="E26" s="76">
        <v>437.663</v>
      </c>
      <c r="F26" s="76">
        <v>442.66</v>
      </c>
      <c r="G26" s="76">
        <v>447.956</v>
      </c>
      <c r="H26" s="76">
        <v>453.534</v>
      </c>
      <c r="I26" s="76">
        <v>458.701</v>
      </c>
      <c r="J26" s="76">
        <v>464.773</v>
      </c>
      <c r="K26" s="76">
        <v>468.982</v>
      </c>
      <c r="L26" s="76">
        <v>473.411</v>
      </c>
      <c r="M26" s="76">
        <v>478.091</v>
      </c>
      <c r="N26" s="76">
        <v>483.791</v>
      </c>
      <c r="O26" s="76">
        <v>489.815</v>
      </c>
      <c r="P26" s="76">
        <v>495.002</v>
      </c>
      <c r="Q26" s="76">
        <v>501.978</v>
      </c>
      <c r="R26" s="76">
        <v>508.051</v>
      </c>
      <c r="S26" s="76">
        <v>514.067</v>
      </c>
      <c r="T26" s="78">
        <v>520.871</v>
      </c>
      <c r="U26" s="78">
        <v>525.517</v>
      </c>
      <c r="V26" s="79">
        <v>530.698</v>
      </c>
      <c r="W26" s="80">
        <v>536.459</v>
      </c>
      <c r="X26" s="80">
        <v>541.632</v>
      </c>
      <c r="Y26" s="86">
        <f>IFERROR(__xludf.DUMMYFUNCTION("""COMPUTED_VALUE"""),546.304)</f>
        <v>546.304</v>
      </c>
      <c r="Z26" s="86">
        <f>IFERROR(__xludf.DUMMYFUNCTION("""COMPUTED_VALUE"""),551.314)</f>
        <v>551.314</v>
      </c>
      <c r="AA26" s="86">
        <f>IFERROR(__xludf.DUMMYFUNCTION("""COMPUTED_VALUE"""),556.408)</f>
        <v>556.408</v>
      </c>
      <c r="AB26" s="86">
        <f>IFERROR(__xludf.DUMMYFUNCTION("""COMPUTED_VALUE"""),561.074)</f>
        <v>561.074</v>
      </c>
      <c r="AC26" s="86">
        <f>IFERROR(__xludf.DUMMYFUNCTION("""COMPUTED_VALUE"""),565.682)</f>
        <v>565.682</v>
      </c>
      <c r="AD26" s="86">
        <v>0.0</v>
      </c>
      <c r="AE26" s="86">
        <v>0.0</v>
      </c>
      <c r="AF26" s="86">
        <v>0.0</v>
      </c>
      <c r="AG26" s="86">
        <v>0.0</v>
      </c>
      <c r="AH26" s="91"/>
      <c r="AI26" s="93">
        <v>505.0</v>
      </c>
      <c r="AJ26" s="75">
        <v>2034047.0</v>
      </c>
    </row>
    <row r="27" ht="15.75" customHeight="1">
      <c r="A27" s="74">
        <v>506.0</v>
      </c>
      <c r="B27" s="75">
        <v>2034045.0</v>
      </c>
      <c r="C27" s="76">
        <v>120.056</v>
      </c>
      <c r="D27" s="76">
        <v>120.598</v>
      </c>
      <c r="E27" s="76">
        <v>121.015</v>
      </c>
      <c r="F27" s="76">
        <v>121.473</v>
      </c>
      <c r="G27" s="76">
        <v>121.948</v>
      </c>
      <c r="H27" s="76">
        <v>122.816</v>
      </c>
      <c r="I27" s="76">
        <v>123.373</v>
      </c>
      <c r="J27" s="76">
        <v>124.639</v>
      </c>
      <c r="K27" s="76">
        <v>125.26</v>
      </c>
      <c r="L27" s="76">
        <v>125.741</v>
      </c>
      <c r="M27" s="76">
        <v>126.168</v>
      </c>
      <c r="N27" s="76">
        <v>126.803</v>
      </c>
      <c r="O27" s="76">
        <v>127.26</v>
      </c>
      <c r="P27" s="76">
        <v>128.203</v>
      </c>
      <c r="Q27" s="76">
        <v>129.238</v>
      </c>
      <c r="R27" s="76">
        <v>130.59</v>
      </c>
      <c r="S27" s="76">
        <v>131.61</v>
      </c>
      <c r="T27" s="78">
        <v>132.292</v>
      </c>
      <c r="U27" s="78">
        <v>132.897</v>
      </c>
      <c r="V27" s="79">
        <v>133.879</v>
      </c>
      <c r="W27" s="80">
        <v>134.533</v>
      </c>
      <c r="X27" s="80">
        <v>135.293</v>
      </c>
      <c r="Y27" s="86">
        <f>IFERROR(__xludf.DUMMYFUNCTION("""COMPUTED_VALUE"""),139.062)</f>
        <v>139.062</v>
      </c>
      <c r="Z27" s="86">
        <f>IFERROR(__xludf.DUMMYFUNCTION("""COMPUTED_VALUE"""),143.462)</f>
        <v>143.462</v>
      </c>
      <c r="AA27" s="86">
        <f>IFERROR(__xludf.DUMMYFUNCTION("""COMPUTED_VALUE"""),149.417)</f>
        <v>149.417</v>
      </c>
      <c r="AB27" s="86">
        <f>IFERROR(__xludf.DUMMYFUNCTION("""COMPUTED_VALUE"""),155.009)</f>
        <v>155.009</v>
      </c>
      <c r="AC27" s="86">
        <f>IFERROR(__xludf.DUMMYFUNCTION("""COMPUTED_VALUE"""),159.201)</f>
        <v>159.201</v>
      </c>
      <c r="AD27" s="86">
        <v>0.0</v>
      </c>
      <c r="AE27" s="86">
        <v>0.0</v>
      </c>
      <c r="AF27" s="86">
        <v>0.0</v>
      </c>
      <c r="AG27" s="86">
        <v>0.0</v>
      </c>
      <c r="AH27" s="91"/>
      <c r="AI27" s="93">
        <v>506.0</v>
      </c>
      <c r="AJ27" s="75">
        <v>2034045.0</v>
      </c>
    </row>
    <row r="28" ht="15.75" customHeight="1">
      <c r="A28" s="74">
        <v>601.0</v>
      </c>
      <c r="B28" s="75">
        <v>2034053.0</v>
      </c>
      <c r="C28" s="76">
        <v>109.208</v>
      </c>
      <c r="D28" s="76">
        <v>112.422</v>
      </c>
      <c r="E28" s="76">
        <v>112.6</v>
      </c>
      <c r="F28" s="76">
        <v>114.177</v>
      </c>
      <c r="G28" s="76">
        <v>114.92</v>
      </c>
      <c r="H28" s="76">
        <v>115.042</v>
      </c>
      <c r="I28" s="76">
        <v>115.042</v>
      </c>
      <c r="J28" s="76">
        <v>117.043</v>
      </c>
      <c r="K28" s="76">
        <v>119.547</v>
      </c>
      <c r="L28" s="76">
        <v>120.313</v>
      </c>
      <c r="M28" s="76">
        <v>120.402</v>
      </c>
      <c r="N28" s="1">
        <v>122.498</v>
      </c>
      <c r="O28" s="1">
        <v>122.498</v>
      </c>
      <c r="P28" s="1">
        <v>122.498</v>
      </c>
      <c r="Q28" s="76">
        <v>123.841</v>
      </c>
      <c r="R28" s="97">
        <v>124.624</v>
      </c>
      <c r="S28" s="153">
        <v>125.407</v>
      </c>
      <c r="T28" s="154">
        <v>126.078</v>
      </c>
      <c r="U28" s="78">
        <v>126.08</v>
      </c>
      <c r="V28" s="79">
        <v>127.245</v>
      </c>
      <c r="W28" s="80">
        <v>127.941</v>
      </c>
      <c r="X28" s="80">
        <v>127.978</v>
      </c>
      <c r="Y28" s="86">
        <f>IFERROR(__xludf.DUMMYFUNCTION("""COMPUTED_VALUE"""),131.179)</f>
        <v>131.179</v>
      </c>
      <c r="Z28" s="86">
        <f>IFERROR(__xludf.DUMMYFUNCTION("""COMPUTED_VALUE"""),131.181)</f>
        <v>131.181</v>
      </c>
      <c r="AA28" s="86">
        <f>IFERROR(__xludf.DUMMYFUNCTION("""COMPUTED_VALUE"""),131.181)</f>
        <v>131.181</v>
      </c>
      <c r="AB28" s="86">
        <f>IFERROR(__xludf.DUMMYFUNCTION("""COMPUTED_VALUE"""),134.508)</f>
        <v>134.508</v>
      </c>
      <c r="AC28" s="86">
        <f>IFERROR(__xludf.DUMMYFUNCTION("""COMPUTED_VALUE"""),134.694)</f>
        <v>134.694</v>
      </c>
      <c r="AD28" s="86">
        <v>0.0</v>
      </c>
      <c r="AE28" s="86">
        <v>0.0</v>
      </c>
      <c r="AF28" s="86">
        <v>0.0</v>
      </c>
      <c r="AG28" s="86">
        <v>0.0</v>
      </c>
      <c r="AH28" s="91"/>
      <c r="AI28" s="93">
        <v>601.0</v>
      </c>
      <c r="AJ28" s="75">
        <v>2034053.0</v>
      </c>
    </row>
    <row r="29" ht="15.75" customHeight="1">
      <c r="A29" s="74">
        <v>602.0</v>
      </c>
      <c r="B29" s="75" t="s">
        <v>243</v>
      </c>
      <c r="C29" s="76">
        <v>158.203</v>
      </c>
      <c r="D29" s="76">
        <v>163.047</v>
      </c>
      <c r="E29" s="76">
        <v>168.497</v>
      </c>
      <c r="F29" s="76">
        <v>174.46</v>
      </c>
      <c r="G29" s="76">
        <v>179.166</v>
      </c>
      <c r="H29" s="76">
        <v>184.334</v>
      </c>
      <c r="I29" s="76">
        <v>191.762</v>
      </c>
      <c r="J29" s="76">
        <v>199.243</v>
      </c>
      <c r="K29" s="76">
        <v>205.476</v>
      </c>
      <c r="L29" s="76">
        <v>213.299</v>
      </c>
      <c r="M29" s="76">
        <v>221.13</v>
      </c>
      <c r="N29" s="1">
        <v>228.738</v>
      </c>
      <c r="O29" s="76">
        <v>236.201</v>
      </c>
      <c r="P29" s="76">
        <v>243.42</v>
      </c>
      <c r="Q29" s="76">
        <v>251.479</v>
      </c>
      <c r="R29" s="76">
        <v>259.711</v>
      </c>
      <c r="S29" s="76">
        <v>267.729</v>
      </c>
      <c r="T29" s="78">
        <v>277.334</v>
      </c>
      <c r="U29" s="78">
        <v>283.473</v>
      </c>
      <c r="V29" s="79">
        <v>290.568</v>
      </c>
      <c r="W29" s="80">
        <v>296.169</v>
      </c>
      <c r="X29" s="80">
        <v>302.603</v>
      </c>
      <c r="Y29" s="86">
        <f>IFERROR(__xludf.DUMMYFUNCTION("""COMPUTED_VALUE"""),309.45)</f>
        <v>309.45</v>
      </c>
      <c r="Z29" s="86">
        <f>IFERROR(__xludf.DUMMYFUNCTION("""COMPUTED_VALUE"""),316.528)</f>
        <v>316.528</v>
      </c>
      <c r="AA29" s="86">
        <f>IFERROR(__xludf.DUMMYFUNCTION("""COMPUTED_VALUE"""),324.072)</f>
        <v>324.072</v>
      </c>
      <c r="AB29" s="86">
        <f>IFERROR(__xludf.DUMMYFUNCTION("""COMPUTED_VALUE"""),330.421)</f>
        <v>330.421</v>
      </c>
      <c r="AC29" s="86">
        <f>IFERROR(__xludf.DUMMYFUNCTION("""COMPUTED_VALUE"""),337.44)</f>
        <v>337.44</v>
      </c>
      <c r="AD29" s="86">
        <v>0.0</v>
      </c>
      <c r="AE29" s="86">
        <v>0.0</v>
      </c>
      <c r="AF29" s="86">
        <v>0.0</v>
      </c>
      <c r="AG29" s="86">
        <v>0.0</v>
      </c>
      <c r="AH29" s="91"/>
      <c r="AI29" s="93">
        <v>602.0</v>
      </c>
      <c r="AJ29" s="75" t="s">
        <v>243</v>
      </c>
    </row>
    <row r="30" ht="15.75" customHeight="1">
      <c r="A30" s="74">
        <v>603.0</v>
      </c>
      <c r="B30" s="75">
        <v>2034072.0</v>
      </c>
      <c r="C30" s="76">
        <v>1003.834</v>
      </c>
      <c r="D30" s="76">
        <v>1015.05</v>
      </c>
      <c r="E30" s="76">
        <v>1026.569</v>
      </c>
      <c r="F30" s="76">
        <v>1036.127</v>
      </c>
      <c r="G30" s="76">
        <v>1044.0</v>
      </c>
      <c r="H30" s="76">
        <v>1051.237</v>
      </c>
      <c r="I30" s="76">
        <v>1062.537</v>
      </c>
      <c r="J30" s="76">
        <v>1073.274</v>
      </c>
      <c r="K30" s="76">
        <v>1080.232</v>
      </c>
      <c r="L30" s="76">
        <v>1087.843</v>
      </c>
      <c r="M30" s="76">
        <v>1096.256</v>
      </c>
      <c r="N30" s="1">
        <v>1105.01</v>
      </c>
      <c r="O30" s="76">
        <v>1114.307</v>
      </c>
      <c r="P30" s="76">
        <v>1123.656</v>
      </c>
      <c r="Q30" s="76">
        <v>1133.611</v>
      </c>
      <c r="R30" s="76">
        <v>1144.035</v>
      </c>
      <c r="S30" s="76">
        <v>1154.239</v>
      </c>
      <c r="T30" s="78">
        <v>1166.069</v>
      </c>
      <c r="U30" s="78">
        <v>1175.312</v>
      </c>
      <c r="V30" s="79">
        <v>1183.268</v>
      </c>
      <c r="W30" s="80">
        <v>1195.478</v>
      </c>
      <c r="X30" s="80">
        <v>1202.765</v>
      </c>
      <c r="Y30" s="86">
        <f>IFERROR(__xludf.DUMMYFUNCTION("""COMPUTED_VALUE"""),1210.531)</f>
        <v>1210.531</v>
      </c>
      <c r="Z30" s="86">
        <f>IFERROR(__xludf.DUMMYFUNCTION("""COMPUTED_VALUE"""),1218.235)</f>
        <v>1218.235</v>
      </c>
      <c r="AA30" s="86">
        <f>IFERROR(__xludf.DUMMYFUNCTION("""COMPUTED_VALUE"""),1227.375)</f>
        <v>1227.375</v>
      </c>
      <c r="AB30" s="86">
        <f>IFERROR(__xludf.DUMMYFUNCTION("""COMPUTED_VALUE"""),1236.667)</f>
        <v>1236.667</v>
      </c>
      <c r="AC30" s="86">
        <f>IFERROR(__xludf.DUMMYFUNCTION("""COMPUTED_VALUE"""),1246.124)</f>
        <v>1246.124</v>
      </c>
      <c r="AD30" s="86">
        <v>0.0</v>
      </c>
      <c r="AE30" s="86">
        <v>0.0</v>
      </c>
      <c r="AF30" s="86">
        <v>0.0</v>
      </c>
      <c r="AG30" s="86">
        <v>0.0</v>
      </c>
      <c r="AH30" s="91"/>
      <c r="AI30" s="93">
        <v>603.0</v>
      </c>
      <c r="AJ30" s="75">
        <v>2034072.0</v>
      </c>
    </row>
    <row r="31" ht="15.75" customHeight="1">
      <c r="A31" s="74">
        <v>604.0</v>
      </c>
      <c r="B31" s="75">
        <v>2034041.0</v>
      </c>
      <c r="C31" s="76">
        <v>218.108</v>
      </c>
      <c r="D31" s="76">
        <v>219.789</v>
      </c>
      <c r="E31" s="76">
        <v>221.541</v>
      </c>
      <c r="F31" s="76">
        <v>223.157</v>
      </c>
      <c r="G31" s="76">
        <v>224.863</v>
      </c>
      <c r="H31" s="76">
        <v>226.27</v>
      </c>
      <c r="I31" s="76">
        <v>227.731</v>
      </c>
      <c r="J31" s="76">
        <v>229.256</v>
      </c>
      <c r="K31" s="76">
        <v>230.342</v>
      </c>
      <c r="L31" s="76">
        <v>231.326</v>
      </c>
      <c r="M31" s="76">
        <v>232.434</v>
      </c>
      <c r="N31" s="1">
        <v>233.609</v>
      </c>
      <c r="O31" s="76">
        <v>235.882</v>
      </c>
      <c r="P31" s="76">
        <v>237.721</v>
      </c>
      <c r="Q31" s="76">
        <v>240.225</v>
      </c>
      <c r="R31" s="76">
        <v>243.067</v>
      </c>
      <c r="S31" s="76">
        <v>243.87</v>
      </c>
      <c r="T31" s="78">
        <v>246.849</v>
      </c>
      <c r="U31" s="78">
        <v>248.994</v>
      </c>
      <c r="V31" s="79">
        <v>250.875</v>
      </c>
      <c r="W31" s="80">
        <v>251.934</v>
      </c>
      <c r="X31" s="80">
        <v>253.099</v>
      </c>
      <c r="Y31" s="86">
        <f>IFERROR(__xludf.DUMMYFUNCTION("""COMPUTED_VALUE"""),254.916)</f>
        <v>254.916</v>
      </c>
      <c r="Z31" s="86">
        <f>IFERROR(__xludf.DUMMYFUNCTION("""COMPUTED_VALUE"""),256.464)</f>
        <v>256.464</v>
      </c>
      <c r="AA31" s="86">
        <f>IFERROR(__xludf.DUMMYFUNCTION("""COMPUTED_VALUE"""),258.061)</f>
        <v>258.061</v>
      </c>
      <c r="AB31" s="86">
        <f>IFERROR(__xludf.DUMMYFUNCTION("""COMPUTED_VALUE"""),259.628)</f>
        <v>259.628</v>
      </c>
      <c r="AC31" s="86">
        <f>IFERROR(__xludf.DUMMYFUNCTION("""COMPUTED_VALUE"""),261.276)</f>
        <v>261.276</v>
      </c>
      <c r="AD31" s="86">
        <v>0.0</v>
      </c>
      <c r="AE31" s="86">
        <v>0.0</v>
      </c>
      <c r="AF31" s="86">
        <v>0.0</v>
      </c>
      <c r="AG31" s="86">
        <v>0.0</v>
      </c>
      <c r="AH31" s="91"/>
      <c r="AI31" s="93">
        <v>604.0</v>
      </c>
      <c r="AJ31" s="75">
        <v>2034041.0</v>
      </c>
    </row>
    <row r="32" ht="15.75" customHeight="1">
      <c r="A32" s="74">
        <v>605.0</v>
      </c>
      <c r="B32" s="75">
        <v>2034051.0</v>
      </c>
      <c r="C32" s="76">
        <v>301.144</v>
      </c>
      <c r="D32" s="76">
        <v>302.96</v>
      </c>
      <c r="E32" s="76">
        <v>303.878</v>
      </c>
      <c r="F32" s="76">
        <v>303.878</v>
      </c>
      <c r="G32" s="76">
        <v>303.878</v>
      </c>
      <c r="H32" s="76">
        <v>303.878</v>
      </c>
      <c r="I32" s="76">
        <v>303.878</v>
      </c>
      <c r="J32" s="76">
        <v>303.878</v>
      </c>
      <c r="K32" s="139">
        <v>303.878</v>
      </c>
      <c r="L32" s="139">
        <v>303.878</v>
      </c>
      <c r="M32" s="139">
        <v>303.878</v>
      </c>
      <c r="N32" s="139">
        <v>303.878</v>
      </c>
      <c r="O32" s="139">
        <v>303.878</v>
      </c>
      <c r="P32" s="139">
        <v>303.878</v>
      </c>
      <c r="Q32" s="139">
        <v>303.878</v>
      </c>
      <c r="R32" s="139">
        <v>303.878</v>
      </c>
      <c r="S32" s="139">
        <v>303.878</v>
      </c>
      <c r="T32" s="124">
        <v>303.878</v>
      </c>
      <c r="U32" s="124">
        <v>303.878</v>
      </c>
      <c r="V32" s="140">
        <v>303.878</v>
      </c>
      <c r="W32" s="140">
        <v>303.878</v>
      </c>
      <c r="X32" s="143">
        <v>303.878</v>
      </c>
      <c r="Y32" s="86">
        <f>IFERROR(__xludf.DUMMYFUNCTION("""COMPUTED_VALUE"""),303.878)</f>
        <v>303.878</v>
      </c>
      <c r="Z32" s="86">
        <f>IFERROR(__xludf.DUMMYFUNCTION("""COMPUTED_VALUE"""),303.878)</f>
        <v>303.878</v>
      </c>
      <c r="AA32" s="86">
        <f>IFERROR(__xludf.DUMMYFUNCTION("""COMPUTED_VALUE"""),303.878)</f>
        <v>303.878</v>
      </c>
      <c r="AB32" s="86">
        <f>IFERROR(__xludf.DUMMYFUNCTION("""COMPUTED_VALUE"""),303.878)</f>
        <v>303.878</v>
      </c>
      <c r="AC32" s="86">
        <f>IFERROR(__xludf.DUMMYFUNCTION("""COMPUTED_VALUE"""),303.878)</f>
        <v>303.878</v>
      </c>
      <c r="AD32" s="86">
        <v>0.0</v>
      </c>
      <c r="AE32" s="86">
        <v>0.0</v>
      </c>
      <c r="AF32" s="86">
        <v>0.0</v>
      </c>
      <c r="AG32" s="86">
        <v>0.0</v>
      </c>
      <c r="AH32" s="91"/>
      <c r="AI32" s="93">
        <v>605.0</v>
      </c>
      <c r="AJ32" s="75">
        <v>2034051.0</v>
      </c>
    </row>
    <row r="33" ht="15.75" customHeight="1">
      <c r="A33" s="74">
        <v>702.0</v>
      </c>
      <c r="B33" s="75">
        <v>2034075.0</v>
      </c>
      <c r="C33" s="76">
        <v>233.329</v>
      </c>
      <c r="D33" s="76">
        <v>234.942</v>
      </c>
      <c r="E33" s="76">
        <v>236.023</v>
      </c>
      <c r="F33" s="76">
        <v>237.224</v>
      </c>
      <c r="G33" s="76">
        <v>238.115</v>
      </c>
      <c r="H33" s="76">
        <v>239.405</v>
      </c>
      <c r="I33" s="76">
        <v>240.71</v>
      </c>
      <c r="J33" s="76">
        <v>242.009</v>
      </c>
      <c r="K33" s="76">
        <v>242.851</v>
      </c>
      <c r="L33" s="76">
        <v>244.237</v>
      </c>
      <c r="M33" s="76">
        <v>245.485</v>
      </c>
      <c r="N33" s="1">
        <v>246.597</v>
      </c>
      <c r="O33" s="76">
        <v>248.01</v>
      </c>
      <c r="P33" s="76">
        <v>249.365</v>
      </c>
      <c r="Q33" s="156">
        <v>250.847</v>
      </c>
      <c r="R33" s="76">
        <v>252.116</v>
      </c>
      <c r="S33" s="76">
        <v>253.018</v>
      </c>
      <c r="T33" s="78">
        <v>254.53</v>
      </c>
      <c r="U33" s="78">
        <v>255.494</v>
      </c>
      <c r="V33" s="79">
        <v>256.578</v>
      </c>
      <c r="W33" s="80">
        <v>257.495</v>
      </c>
      <c r="X33" s="80">
        <v>258.525</v>
      </c>
      <c r="Y33" s="86">
        <f>IFERROR(__xludf.DUMMYFUNCTION("""COMPUTED_VALUE"""),259.663)</f>
        <v>259.663</v>
      </c>
      <c r="Z33" s="86">
        <f>IFERROR(__xludf.DUMMYFUNCTION("""COMPUTED_VALUE"""),260.521)</f>
        <v>260.521</v>
      </c>
      <c r="AA33" s="86">
        <f>IFERROR(__xludf.DUMMYFUNCTION("""COMPUTED_VALUE"""),261.618)</f>
        <v>261.618</v>
      </c>
      <c r="AB33" s="86">
        <f>IFERROR(__xludf.DUMMYFUNCTION("""COMPUTED_VALUE"""),262.673)</f>
        <v>262.673</v>
      </c>
      <c r="AC33" s="86">
        <f>IFERROR(__xludf.DUMMYFUNCTION("""COMPUTED_VALUE"""),263.968)</f>
        <v>263.968</v>
      </c>
      <c r="AD33" s="86">
        <v>0.0</v>
      </c>
      <c r="AE33" s="86">
        <v>0.0</v>
      </c>
      <c r="AF33" s="86">
        <v>0.0</v>
      </c>
      <c r="AG33" s="86">
        <v>0.0</v>
      </c>
      <c r="AH33" s="91"/>
      <c r="AI33" s="93">
        <v>702.0</v>
      </c>
      <c r="AJ33" s="75">
        <v>2034075.0</v>
      </c>
    </row>
    <row r="34" ht="15.75" customHeight="1">
      <c r="A34" s="74">
        <v>703.0</v>
      </c>
      <c r="B34" s="75">
        <v>2034079.0</v>
      </c>
      <c r="C34" s="76">
        <v>167.317</v>
      </c>
      <c r="D34" s="76">
        <v>167.615</v>
      </c>
      <c r="E34" s="76">
        <v>167.966</v>
      </c>
      <c r="F34" s="76">
        <v>168.529</v>
      </c>
      <c r="G34" s="76">
        <v>169.035</v>
      </c>
      <c r="H34" s="76">
        <v>169.74</v>
      </c>
      <c r="I34" s="76">
        <v>170.615</v>
      </c>
      <c r="J34" s="76">
        <v>171.904</v>
      </c>
      <c r="K34" s="76">
        <v>172.907</v>
      </c>
      <c r="L34" s="76">
        <v>173.715</v>
      </c>
      <c r="M34" s="76">
        <v>174.118</v>
      </c>
      <c r="N34" s="76">
        <v>174.36</v>
      </c>
      <c r="O34" s="76">
        <v>174.622</v>
      </c>
      <c r="P34" s="76">
        <v>174.847</v>
      </c>
      <c r="Q34" s="76">
        <v>175.119</v>
      </c>
      <c r="R34" s="76">
        <v>175.221</v>
      </c>
      <c r="S34" s="76">
        <v>175.537</v>
      </c>
      <c r="T34" s="78">
        <v>176.006</v>
      </c>
      <c r="U34" s="78">
        <v>176.474</v>
      </c>
      <c r="V34" s="79">
        <v>176.895</v>
      </c>
      <c r="W34" s="80">
        <v>177.204</v>
      </c>
      <c r="X34" s="123">
        <v>177.695</v>
      </c>
      <c r="Y34" s="86">
        <f>IFERROR(__xludf.DUMMYFUNCTION("""COMPUTED_VALUE"""),178.017)</f>
        <v>178.017</v>
      </c>
      <c r="Z34" s="86">
        <f>IFERROR(__xludf.DUMMYFUNCTION("""COMPUTED_VALUE"""),178.6)</f>
        <v>178.6</v>
      </c>
      <c r="AA34" s="86">
        <f>IFERROR(__xludf.DUMMYFUNCTION("""COMPUTED_VALUE"""),178.958)</f>
        <v>178.958</v>
      </c>
      <c r="AB34" s="86">
        <f>IFERROR(__xludf.DUMMYFUNCTION("""COMPUTED_VALUE"""),179.308)</f>
        <v>179.308</v>
      </c>
      <c r="AC34" s="86">
        <f>IFERROR(__xludf.DUMMYFUNCTION("""COMPUTED_VALUE"""),179.703)</f>
        <v>179.703</v>
      </c>
      <c r="AD34" s="86">
        <v>0.0</v>
      </c>
      <c r="AE34" s="86">
        <v>0.0</v>
      </c>
      <c r="AF34" s="86">
        <v>0.0</v>
      </c>
      <c r="AG34" s="86">
        <v>0.0</v>
      </c>
      <c r="AH34" s="91"/>
      <c r="AI34" s="93">
        <v>703.0</v>
      </c>
      <c r="AJ34" s="75">
        <v>2034079.0</v>
      </c>
    </row>
    <row r="35" ht="15.75" customHeight="1">
      <c r="A35" s="74">
        <v>704.0</v>
      </c>
      <c r="B35" s="75">
        <v>2034036.0</v>
      </c>
      <c r="C35" s="76">
        <v>155.99</v>
      </c>
      <c r="D35" s="76">
        <v>156.379</v>
      </c>
      <c r="E35" s="76">
        <v>156.632</v>
      </c>
      <c r="F35" s="76">
        <v>156.943</v>
      </c>
      <c r="G35" s="76">
        <v>157.377</v>
      </c>
      <c r="H35" s="76">
        <v>157.649</v>
      </c>
      <c r="I35" s="76">
        <v>158.061</v>
      </c>
      <c r="J35" s="76">
        <v>158.155</v>
      </c>
      <c r="K35" s="76">
        <v>158.767</v>
      </c>
      <c r="L35" s="76">
        <v>159.331</v>
      </c>
      <c r="M35" s="76">
        <v>159.81</v>
      </c>
      <c r="N35" s="76">
        <v>160.291</v>
      </c>
      <c r="O35" s="76">
        <v>160.698</v>
      </c>
      <c r="P35" s="76">
        <v>161.098</v>
      </c>
      <c r="Q35" s="76">
        <v>161.716</v>
      </c>
      <c r="R35" s="76">
        <v>162.674</v>
      </c>
      <c r="S35" s="76">
        <v>163.416</v>
      </c>
      <c r="T35" s="78">
        <v>164.665</v>
      </c>
      <c r="U35" s="78">
        <v>165.308</v>
      </c>
      <c r="V35" s="79">
        <v>166.022</v>
      </c>
      <c r="W35" s="80">
        <v>166.385</v>
      </c>
      <c r="X35" s="80">
        <v>166.938</v>
      </c>
      <c r="Y35" s="86">
        <f>IFERROR(__xludf.DUMMYFUNCTION("""COMPUTED_VALUE"""),167.564)</f>
        <v>167.564</v>
      </c>
      <c r="Z35" s="86">
        <f>IFERROR(__xludf.DUMMYFUNCTION("""COMPUTED_VALUE"""),168.094)</f>
        <v>168.094</v>
      </c>
      <c r="AA35" s="86">
        <f>IFERROR(__xludf.DUMMYFUNCTION("""COMPUTED_VALUE"""),168.913)</f>
        <v>168.913</v>
      </c>
      <c r="AB35" s="86">
        <f>IFERROR(__xludf.DUMMYFUNCTION("""COMPUTED_VALUE"""),169.555)</f>
        <v>169.555</v>
      </c>
      <c r="AC35" s="86">
        <f>IFERROR(__xludf.DUMMYFUNCTION("""COMPUTED_VALUE"""),170.002)</f>
        <v>170.002</v>
      </c>
      <c r="AD35" s="86">
        <v>0.0</v>
      </c>
      <c r="AE35" s="86">
        <v>0.0</v>
      </c>
      <c r="AF35" s="86">
        <v>0.0</v>
      </c>
      <c r="AG35" s="86">
        <v>0.0</v>
      </c>
      <c r="AH35" s="91"/>
      <c r="AI35" s="93">
        <v>704.0</v>
      </c>
      <c r="AJ35" s="75">
        <v>2034036.0</v>
      </c>
    </row>
    <row r="36" ht="15.75" customHeight="1">
      <c r="A36" s="74">
        <v>801.0</v>
      </c>
      <c r="B36" s="75">
        <v>2034023.0</v>
      </c>
      <c r="C36" s="76">
        <v>431.655</v>
      </c>
      <c r="D36" s="76">
        <v>438.797</v>
      </c>
      <c r="E36" s="76">
        <v>445.522</v>
      </c>
      <c r="F36" s="76">
        <v>452.855</v>
      </c>
      <c r="G36" s="76">
        <v>458.748</v>
      </c>
      <c r="H36" s="76">
        <v>464.69</v>
      </c>
      <c r="I36" s="76">
        <v>473.467</v>
      </c>
      <c r="J36" s="76">
        <v>480.038</v>
      </c>
      <c r="K36" s="76">
        <v>485.215</v>
      </c>
      <c r="L36" s="76">
        <v>492.242</v>
      </c>
      <c r="M36" s="76">
        <v>498.495</v>
      </c>
      <c r="N36" s="1">
        <v>505.009</v>
      </c>
      <c r="O36" s="76">
        <v>511.727</v>
      </c>
      <c r="P36" s="76">
        <v>517.424</v>
      </c>
      <c r="Q36" s="76">
        <v>525.433</v>
      </c>
      <c r="R36" s="76">
        <v>532.601</v>
      </c>
      <c r="S36" s="76">
        <v>539.608</v>
      </c>
      <c r="T36" s="78">
        <v>547.617</v>
      </c>
      <c r="U36" s="78">
        <v>553.218</v>
      </c>
      <c r="V36" s="79">
        <v>560.453</v>
      </c>
      <c r="W36" s="80">
        <v>564.648</v>
      </c>
      <c r="X36" s="80">
        <v>571.171</v>
      </c>
      <c r="Y36" s="86">
        <f>IFERROR(__xludf.DUMMYFUNCTION("""COMPUTED_VALUE"""),576.827)</f>
        <v>576.827</v>
      </c>
      <c r="Z36" s="86">
        <f>IFERROR(__xludf.DUMMYFUNCTION("""COMPUTED_VALUE"""),581.968)</f>
        <v>581.968</v>
      </c>
      <c r="AA36" s="86">
        <f>IFERROR(__xludf.DUMMYFUNCTION("""COMPUTED_VALUE"""),587.283)</f>
        <v>587.283</v>
      </c>
      <c r="AB36" s="86">
        <f>IFERROR(__xludf.DUMMYFUNCTION("""COMPUTED_VALUE"""),592.792)</f>
        <v>592.792</v>
      </c>
      <c r="AC36" s="86">
        <f>IFERROR(__xludf.DUMMYFUNCTION("""COMPUTED_VALUE"""),596.691)</f>
        <v>596.691</v>
      </c>
      <c r="AD36" s="86">
        <v>0.0</v>
      </c>
      <c r="AE36" s="86">
        <v>0.0</v>
      </c>
      <c r="AF36" s="86">
        <v>0.0</v>
      </c>
      <c r="AG36" s="86">
        <v>0.0</v>
      </c>
      <c r="AH36" s="91"/>
      <c r="AI36" s="93">
        <v>801.0</v>
      </c>
      <c r="AJ36" s="75">
        <v>2034023.0</v>
      </c>
    </row>
    <row r="37" ht="15.75" customHeight="1">
      <c r="A37" s="74">
        <v>802.0</v>
      </c>
      <c r="B37" s="75">
        <v>2034084.0</v>
      </c>
      <c r="C37" s="76">
        <v>226.344</v>
      </c>
      <c r="D37" s="76">
        <v>227.132</v>
      </c>
      <c r="E37" s="76">
        <v>227.533</v>
      </c>
      <c r="F37" s="76">
        <v>228.085</v>
      </c>
      <c r="G37" s="76">
        <v>229.705</v>
      </c>
      <c r="H37" s="76">
        <v>230.428</v>
      </c>
      <c r="I37" s="76">
        <v>231.622</v>
      </c>
      <c r="J37" s="76">
        <v>233.285</v>
      </c>
      <c r="K37" s="76">
        <v>234.419</v>
      </c>
      <c r="L37" s="76">
        <v>236.032</v>
      </c>
      <c r="M37" s="76">
        <v>237.22</v>
      </c>
      <c r="N37" s="1">
        <v>239.603</v>
      </c>
      <c r="O37" s="76">
        <v>240.95</v>
      </c>
      <c r="P37" s="76">
        <v>242.071</v>
      </c>
      <c r="Q37" s="76">
        <v>243.272</v>
      </c>
      <c r="R37" s="76">
        <v>244.855</v>
      </c>
      <c r="S37" s="76">
        <v>247.12</v>
      </c>
      <c r="T37" s="78">
        <v>250.554</v>
      </c>
      <c r="U37" s="78">
        <v>252.194</v>
      </c>
      <c r="V37" s="79">
        <v>253.568</v>
      </c>
      <c r="W37" s="80">
        <v>253.98</v>
      </c>
      <c r="X37" s="80">
        <v>255.133</v>
      </c>
      <c r="Y37" s="86">
        <f>IFERROR(__xludf.DUMMYFUNCTION("""COMPUTED_VALUE"""),256.531)</f>
        <v>256.531</v>
      </c>
      <c r="Z37" s="86">
        <f>IFERROR(__xludf.DUMMYFUNCTION("""COMPUTED_VALUE"""),257.997)</f>
        <v>257.997</v>
      </c>
      <c r="AA37" s="86">
        <f>IFERROR(__xludf.DUMMYFUNCTION("""COMPUTED_VALUE"""),259.642)</f>
        <v>259.642</v>
      </c>
      <c r="AB37" s="86">
        <f>IFERROR(__xludf.DUMMYFUNCTION("""COMPUTED_VALUE"""),261.107)</f>
        <v>261.107</v>
      </c>
      <c r="AC37" s="86">
        <f>IFERROR(__xludf.DUMMYFUNCTION("""COMPUTED_VALUE"""),262.381)</f>
        <v>262.381</v>
      </c>
      <c r="AD37" s="86">
        <v>0.0</v>
      </c>
      <c r="AE37" s="86">
        <v>0.0</v>
      </c>
      <c r="AF37" s="86">
        <v>0.0</v>
      </c>
      <c r="AG37" s="86">
        <v>0.0</v>
      </c>
      <c r="AH37" s="91"/>
      <c r="AI37" s="93">
        <v>802.0</v>
      </c>
      <c r="AJ37" s="75">
        <v>2034084.0</v>
      </c>
    </row>
    <row r="38" ht="15.75" customHeight="1">
      <c r="A38" s="116">
        <v>804.0</v>
      </c>
      <c r="B38" s="141" t="s">
        <v>245</v>
      </c>
      <c r="C38" s="139">
        <v>11.524</v>
      </c>
      <c r="D38" s="139">
        <v>11.524</v>
      </c>
      <c r="E38" s="139">
        <v>11.524</v>
      </c>
      <c r="F38" s="139">
        <v>11.524</v>
      </c>
      <c r="G38" s="139">
        <v>11.524</v>
      </c>
      <c r="H38" s="139">
        <v>11.524</v>
      </c>
      <c r="I38" s="139">
        <v>11.524</v>
      </c>
      <c r="J38" s="139">
        <v>11.524</v>
      </c>
      <c r="K38" s="139">
        <v>11.524</v>
      </c>
      <c r="L38" s="139">
        <v>11.524</v>
      </c>
      <c r="M38" s="139">
        <v>11.524</v>
      </c>
      <c r="N38" s="139">
        <v>11.524</v>
      </c>
      <c r="O38" s="139">
        <v>11.524</v>
      </c>
      <c r="P38" s="139">
        <v>11.524</v>
      </c>
      <c r="Q38" s="139">
        <v>11.524</v>
      </c>
      <c r="R38" s="139">
        <v>11.524</v>
      </c>
      <c r="S38" s="139">
        <v>11.524</v>
      </c>
      <c r="T38" s="124">
        <v>11.524</v>
      </c>
      <c r="U38" s="124">
        <v>11.524</v>
      </c>
      <c r="V38" s="142"/>
      <c r="W38" s="143"/>
      <c r="X38" s="143"/>
      <c r="Y38" s="86"/>
      <c r="Z38" s="86"/>
      <c r="AA38" s="86">
        <f>IFERROR(__xludf.DUMMYFUNCTION("""COMPUTED_VALUE"""),0.0)</f>
        <v>0</v>
      </c>
      <c r="AB38" s="86"/>
      <c r="AC38" s="86"/>
      <c r="AD38" s="86">
        <v>0.0</v>
      </c>
      <c r="AE38" s="86">
        <v>0.0</v>
      </c>
      <c r="AF38" s="86">
        <v>0.0</v>
      </c>
      <c r="AG38" s="86">
        <v>0.0</v>
      </c>
      <c r="AH38" s="127"/>
      <c r="AI38" s="128">
        <v>804.0</v>
      </c>
      <c r="AJ38" s="141" t="s">
        <v>245</v>
      </c>
    </row>
    <row r="39" ht="15.75" customHeight="1">
      <c r="A39" s="74">
        <v>901.0</v>
      </c>
      <c r="B39" s="75">
        <v>2033963.0</v>
      </c>
      <c r="C39" s="76">
        <v>183.696</v>
      </c>
      <c r="D39" s="76">
        <v>184.792</v>
      </c>
      <c r="E39" s="76">
        <v>185.869</v>
      </c>
      <c r="F39" s="76">
        <v>187.154</v>
      </c>
      <c r="G39" s="76">
        <v>190.936</v>
      </c>
      <c r="H39" s="76">
        <v>198.404</v>
      </c>
      <c r="I39" s="76">
        <v>204.231</v>
      </c>
      <c r="J39" s="76">
        <v>208.892</v>
      </c>
      <c r="K39" s="76">
        <v>212.254</v>
      </c>
      <c r="L39" s="76">
        <v>215.924</v>
      </c>
      <c r="M39" s="76">
        <v>219.109</v>
      </c>
      <c r="N39" s="1">
        <v>223.816</v>
      </c>
      <c r="O39" s="76">
        <v>229.981</v>
      </c>
      <c r="P39" s="76">
        <v>237.782</v>
      </c>
      <c r="Q39" s="76">
        <v>248.57</v>
      </c>
      <c r="R39" s="76">
        <v>258.158</v>
      </c>
      <c r="S39" s="76">
        <v>266.926</v>
      </c>
      <c r="T39" s="78">
        <v>277.019</v>
      </c>
      <c r="U39" s="78">
        <v>278.143</v>
      </c>
      <c r="V39" s="79">
        <v>279.526</v>
      </c>
      <c r="W39" s="79">
        <v>279.975</v>
      </c>
      <c r="X39" s="79">
        <v>280.799</v>
      </c>
      <c r="Y39" s="86">
        <f>IFERROR(__xludf.DUMMYFUNCTION("""COMPUTED_VALUE"""),281.877)</f>
        <v>281.877</v>
      </c>
      <c r="Z39" s="86">
        <f>IFERROR(__xludf.DUMMYFUNCTION("""COMPUTED_VALUE"""),282.719)</f>
        <v>282.719</v>
      </c>
      <c r="AA39" s="86">
        <f>IFERROR(__xludf.DUMMYFUNCTION("""COMPUTED_VALUE"""),283.676)</f>
        <v>283.676</v>
      </c>
      <c r="AB39" s="86">
        <f>IFERROR(__xludf.DUMMYFUNCTION("""COMPUTED_VALUE"""),284.515)</f>
        <v>284.515</v>
      </c>
      <c r="AC39" s="86">
        <f>IFERROR(__xludf.DUMMYFUNCTION("""COMPUTED_VALUE"""),285.414)</f>
        <v>285.414</v>
      </c>
      <c r="AD39" s="86">
        <v>0.0</v>
      </c>
      <c r="AE39" s="86">
        <v>0.0</v>
      </c>
      <c r="AF39" s="86">
        <v>0.0</v>
      </c>
      <c r="AG39" s="86">
        <v>0.0</v>
      </c>
      <c r="AH39" s="91"/>
      <c r="AI39" s="93">
        <v>901.0</v>
      </c>
      <c r="AJ39" s="75">
        <v>2033963.0</v>
      </c>
    </row>
    <row r="40" ht="15.75" customHeight="1">
      <c r="A40" s="74">
        <v>902.0</v>
      </c>
      <c r="B40" s="75" t="s">
        <v>246</v>
      </c>
      <c r="C40" s="76">
        <v>0.242</v>
      </c>
      <c r="D40" s="76">
        <v>0.242</v>
      </c>
      <c r="E40" s="76">
        <v>0.242</v>
      </c>
      <c r="F40" s="76">
        <v>0.242</v>
      </c>
      <c r="G40" s="76">
        <v>0.242</v>
      </c>
      <c r="H40" s="76">
        <v>0.242</v>
      </c>
      <c r="I40" s="76">
        <v>0.242</v>
      </c>
      <c r="J40" s="76">
        <v>0.242</v>
      </c>
      <c r="K40" s="76">
        <v>0.242</v>
      </c>
      <c r="L40" s="76">
        <v>0.242</v>
      </c>
      <c r="M40" s="76">
        <v>0.242</v>
      </c>
      <c r="N40" s="76">
        <v>0.242</v>
      </c>
      <c r="O40" s="76">
        <v>0.242</v>
      </c>
      <c r="P40" s="76">
        <v>0.242</v>
      </c>
      <c r="Q40" s="76">
        <v>0.242</v>
      </c>
      <c r="R40" s="76">
        <v>0.255</v>
      </c>
      <c r="S40" s="76">
        <v>0.255</v>
      </c>
      <c r="T40" s="78">
        <v>0.255</v>
      </c>
      <c r="U40" s="78">
        <v>0.255</v>
      </c>
      <c r="V40" s="79">
        <v>0.255</v>
      </c>
      <c r="W40" s="80">
        <v>0.256</v>
      </c>
      <c r="X40" s="80">
        <v>0.328</v>
      </c>
      <c r="Y40" s="86">
        <f>IFERROR(__xludf.DUMMYFUNCTION("""COMPUTED_VALUE"""),0.527)</f>
        <v>0.527</v>
      </c>
      <c r="Z40" s="86">
        <f>IFERROR(__xludf.DUMMYFUNCTION("""COMPUTED_VALUE"""),0.65)</f>
        <v>0.65</v>
      </c>
      <c r="AA40" s="86">
        <f>IFERROR(__xludf.DUMMYFUNCTION("""COMPUTED_VALUE"""),0.847)</f>
        <v>0.847</v>
      </c>
      <c r="AB40" s="86">
        <f>IFERROR(__xludf.DUMMYFUNCTION("""COMPUTED_VALUE"""),3.179)</f>
        <v>3.179</v>
      </c>
      <c r="AC40" s="86">
        <f>IFERROR(__xludf.DUMMYFUNCTION("""COMPUTED_VALUE"""),6.715)</f>
        <v>6.715</v>
      </c>
      <c r="AD40" s="86">
        <v>0.0</v>
      </c>
      <c r="AE40" s="86">
        <v>0.0</v>
      </c>
      <c r="AF40" s="86">
        <v>0.0</v>
      </c>
      <c r="AG40" s="86">
        <v>0.0</v>
      </c>
      <c r="AH40" s="91"/>
      <c r="AI40" s="93">
        <v>902.0</v>
      </c>
      <c r="AJ40" s="75" t="s">
        <v>246</v>
      </c>
    </row>
    <row r="41" ht="15.75" customHeight="1">
      <c r="A41" s="74">
        <v>903.0</v>
      </c>
      <c r="B41" s="75">
        <v>2034024.0</v>
      </c>
      <c r="C41" s="76">
        <v>434.984</v>
      </c>
      <c r="D41" s="76">
        <v>436.253</v>
      </c>
      <c r="E41" s="76">
        <v>437.774</v>
      </c>
      <c r="F41" s="76">
        <v>439.868</v>
      </c>
      <c r="G41" s="76">
        <v>441.358</v>
      </c>
      <c r="H41" s="76">
        <v>442.624</v>
      </c>
      <c r="I41" s="76">
        <v>444.018</v>
      </c>
      <c r="J41" s="76">
        <v>445.894</v>
      </c>
      <c r="K41" s="76">
        <v>447.228</v>
      </c>
      <c r="L41" s="76">
        <v>448.768</v>
      </c>
      <c r="M41" s="76">
        <v>451.107</v>
      </c>
      <c r="N41" s="1">
        <v>453.634</v>
      </c>
      <c r="O41" s="76">
        <v>455.522</v>
      </c>
      <c r="P41" s="76">
        <v>457.357</v>
      </c>
      <c r="Q41" s="76">
        <v>458.783</v>
      </c>
      <c r="R41" s="76">
        <v>460.543</v>
      </c>
      <c r="S41" s="76">
        <v>462.005</v>
      </c>
      <c r="T41" s="78">
        <v>464.124</v>
      </c>
      <c r="U41" s="78">
        <v>465.225</v>
      </c>
      <c r="V41" s="79">
        <v>466.028</v>
      </c>
      <c r="W41" s="80">
        <v>467.282</v>
      </c>
      <c r="X41" s="80">
        <v>470.878</v>
      </c>
      <c r="Y41" s="86">
        <f>IFERROR(__xludf.DUMMYFUNCTION("""COMPUTED_VALUE"""),472.788)</f>
        <v>472.788</v>
      </c>
      <c r="Z41" s="86">
        <f>IFERROR(__xludf.DUMMYFUNCTION("""COMPUTED_VALUE"""),473.961)</f>
        <v>473.961</v>
      </c>
      <c r="AA41" s="86">
        <f>IFERROR(__xludf.DUMMYFUNCTION("""COMPUTED_VALUE"""),475.615)</f>
        <v>475.615</v>
      </c>
      <c r="AB41" s="86">
        <f>IFERROR(__xludf.DUMMYFUNCTION("""COMPUTED_VALUE"""),477.288)</f>
        <v>477.288</v>
      </c>
      <c r="AC41" s="86">
        <f>IFERROR(__xludf.DUMMYFUNCTION("""COMPUTED_VALUE"""),478.849)</f>
        <v>478.849</v>
      </c>
      <c r="AD41" s="86">
        <v>0.0</v>
      </c>
      <c r="AE41" s="86">
        <v>0.0</v>
      </c>
      <c r="AF41" s="86">
        <v>0.0</v>
      </c>
      <c r="AG41" s="86">
        <v>0.0</v>
      </c>
      <c r="AH41" s="91"/>
      <c r="AI41" s="93">
        <v>903.0</v>
      </c>
      <c r="AJ41" s="75">
        <v>2034024.0</v>
      </c>
    </row>
    <row r="42" ht="15.75" customHeight="1">
      <c r="A42" s="157">
        <v>1002.0</v>
      </c>
      <c r="B42" s="158">
        <v>2034091.0</v>
      </c>
      <c r="C42" s="156">
        <v>146.908</v>
      </c>
      <c r="D42" s="156">
        <v>149.717</v>
      </c>
      <c r="E42" s="156">
        <v>155.542</v>
      </c>
      <c r="F42" s="156">
        <v>160.089</v>
      </c>
      <c r="G42" s="156">
        <v>164.051</v>
      </c>
      <c r="H42" s="156">
        <v>168.807</v>
      </c>
      <c r="I42" s="156">
        <v>171.349</v>
      </c>
      <c r="J42" s="156">
        <v>174.151</v>
      </c>
      <c r="K42" s="156">
        <v>176.508</v>
      </c>
      <c r="L42" s="156">
        <v>179.78</v>
      </c>
      <c r="M42" s="156">
        <v>183.514</v>
      </c>
      <c r="N42" s="20">
        <v>186.853</v>
      </c>
      <c r="O42" s="156">
        <v>189.406</v>
      </c>
      <c r="P42" s="156">
        <v>192.869</v>
      </c>
      <c r="Q42" s="156">
        <v>196.286</v>
      </c>
      <c r="R42" s="156">
        <v>199.468</v>
      </c>
      <c r="S42" s="156">
        <v>202.527</v>
      </c>
      <c r="T42" s="160">
        <v>207.018</v>
      </c>
      <c r="U42" s="160">
        <v>209.734</v>
      </c>
      <c r="V42" s="161">
        <v>210.652</v>
      </c>
      <c r="W42" s="162">
        <v>212.094</v>
      </c>
      <c r="X42" s="161">
        <v>212.286</v>
      </c>
      <c r="Y42" s="163">
        <f>IFERROR(__xludf.DUMMYFUNCTION("""COMPUTED_VALUE"""),224.667)</f>
        <v>224.667</v>
      </c>
      <c r="Z42" s="163">
        <f>IFERROR(__xludf.DUMMYFUNCTION("""COMPUTED_VALUE"""),229.078)</f>
        <v>229.078</v>
      </c>
      <c r="AA42" s="163">
        <f>IFERROR(__xludf.DUMMYFUNCTION("""COMPUTED_VALUE"""),233.563)</f>
        <v>233.563</v>
      </c>
      <c r="AB42" s="163">
        <f>IFERROR(__xludf.DUMMYFUNCTION("""COMPUTED_VALUE"""),235.219)</f>
        <v>235.219</v>
      </c>
      <c r="AC42" s="163">
        <f>IFERROR(__xludf.DUMMYFUNCTION("""COMPUTED_VALUE"""),236.453)</f>
        <v>236.453</v>
      </c>
      <c r="AD42" s="163">
        <v>0.0</v>
      </c>
      <c r="AE42" s="163">
        <v>0.0</v>
      </c>
      <c r="AF42" s="163">
        <v>0.0</v>
      </c>
      <c r="AG42" s="163">
        <v>0.0</v>
      </c>
      <c r="AH42" s="164"/>
      <c r="AI42" s="165">
        <v>1002.0</v>
      </c>
      <c r="AJ42" s="161">
        <v>2034091.0</v>
      </c>
    </row>
    <row r="43" ht="15.75" customHeight="1">
      <c r="A43" s="157">
        <v>1001.0</v>
      </c>
      <c r="B43" s="158">
        <v>2034086.0</v>
      </c>
      <c r="C43" s="156">
        <v>587.037</v>
      </c>
      <c r="D43" s="156">
        <v>590.979</v>
      </c>
      <c r="E43" s="156">
        <v>597.113</v>
      </c>
      <c r="F43" s="156">
        <v>601.092</v>
      </c>
      <c r="G43" s="156">
        <v>609.115</v>
      </c>
      <c r="H43" s="156">
        <v>618.295</v>
      </c>
      <c r="I43" s="156">
        <v>627.304</v>
      </c>
      <c r="J43" s="156">
        <v>638.128</v>
      </c>
      <c r="K43" s="156">
        <v>643.708</v>
      </c>
      <c r="L43" s="156">
        <v>652.759</v>
      </c>
      <c r="M43" s="156">
        <v>663.992</v>
      </c>
      <c r="N43" s="20">
        <v>674.223</v>
      </c>
      <c r="O43" s="156">
        <v>685.5</v>
      </c>
      <c r="P43" s="156">
        <v>695.69</v>
      </c>
      <c r="Q43" s="156">
        <v>708.692</v>
      </c>
      <c r="R43" s="156">
        <v>719.732</v>
      </c>
      <c r="S43" s="156">
        <v>729.836</v>
      </c>
      <c r="T43" s="160">
        <v>739.598</v>
      </c>
      <c r="U43" s="160">
        <v>749.48</v>
      </c>
      <c r="V43" s="161">
        <v>759.65</v>
      </c>
      <c r="W43" s="162">
        <v>766.647</v>
      </c>
      <c r="X43" s="162">
        <v>779.389</v>
      </c>
      <c r="Y43" s="163">
        <f>IFERROR(__xludf.DUMMYFUNCTION("""COMPUTED_VALUE"""),791.995)</f>
        <v>791.995</v>
      </c>
      <c r="Z43" s="163">
        <f>IFERROR(__xludf.DUMMYFUNCTION("""COMPUTED_VALUE"""),803.172)</f>
        <v>803.172</v>
      </c>
      <c r="AA43" s="163">
        <f>IFERROR(__xludf.DUMMYFUNCTION("""COMPUTED_VALUE"""),815.937)</f>
        <v>815.937</v>
      </c>
      <c r="AB43" s="163">
        <f>IFERROR(__xludf.DUMMYFUNCTION("""COMPUTED_VALUE"""),827.538)</f>
        <v>827.538</v>
      </c>
      <c r="AC43" s="163">
        <f>IFERROR(__xludf.DUMMYFUNCTION("""COMPUTED_VALUE"""),834.999)</f>
        <v>834.999</v>
      </c>
      <c r="AD43" s="163">
        <v>0.0</v>
      </c>
      <c r="AE43" s="163">
        <v>0.0</v>
      </c>
      <c r="AF43" s="163">
        <v>0.0</v>
      </c>
      <c r="AG43" s="163">
        <v>0.0</v>
      </c>
      <c r="AH43" s="164"/>
      <c r="AI43" s="165">
        <v>1001.0</v>
      </c>
      <c r="AJ43" s="161">
        <v>2034086.0</v>
      </c>
    </row>
    <row r="44" ht="15.75" customHeight="1">
      <c r="A44" s="74">
        <v>1003.0</v>
      </c>
      <c r="B44" s="75">
        <v>2034021.0</v>
      </c>
      <c r="C44" s="76">
        <v>75.687</v>
      </c>
      <c r="D44" s="76">
        <v>75.687</v>
      </c>
      <c r="E44" s="76">
        <v>75.687</v>
      </c>
      <c r="F44" s="76">
        <v>75.687</v>
      </c>
      <c r="G44" s="76">
        <v>75.687</v>
      </c>
      <c r="H44" s="76">
        <v>75.687</v>
      </c>
      <c r="I44" s="76">
        <v>75.687</v>
      </c>
      <c r="J44" s="76">
        <v>75.687</v>
      </c>
      <c r="K44" s="139">
        <v>75.687</v>
      </c>
      <c r="L44" s="139">
        <v>75.687</v>
      </c>
      <c r="M44" s="139">
        <v>75.687</v>
      </c>
      <c r="N44" s="139">
        <v>75.687</v>
      </c>
      <c r="O44" s="139">
        <v>75.687</v>
      </c>
      <c r="P44" s="139">
        <v>75.687</v>
      </c>
      <c r="Q44" s="139">
        <v>75.687</v>
      </c>
      <c r="R44" s="139">
        <v>75.687</v>
      </c>
      <c r="S44" s="139">
        <v>75.687</v>
      </c>
      <c r="T44" s="124">
        <v>75.687</v>
      </c>
      <c r="U44" s="124">
        <v>75.687</v>
      </c>
      <c r="V44" s="142">
        <v>75.687</v>
      </c>
      <c r="W44" s="142">
        <v>75.687</v>
      </c>
      <c r="X44" s="142">
        <v>75.687</v>
      </c>
      <c r="Y44" s="86">
        <f>IFERROR(__xludf.DUMMYFUNCTION("""COMPUTED_VALUE"""),75.687)</f>
        <v>75.687</v>
      </c>
      <c r="Z44" s="86">
        <f>IFERROR(__xludf.DUMMYFUNCTION("""COMPUTED_VALUE"""),75.687)</f>
        <v>75.687</v>
      </c>
      <c r="AA44" s="86">
        <f>IFERROR(__xludf.DUMMYFUNCTION("""COMPUTED_VALUE"""),75.687)</f>
        <v>75.687</v>
      </c>
      <c r="AB44" s="86">
        <f>IFERROR(__xludf.DUMMYFUNCTION("""COMPUTED_VALUE"""),75.687)</f>
        <v>75.687</v>
      </c>
      <c r="AC44" s="86">
        <f>IFERROR(__xludf.DUMMYFUNCTION("""COMPUTED_VALUE"""),75.687)</f>
        <v>75.687</v>
      </c>
      <c r="AD44" s="86">
        <v>0.0</v>
      </c>
      <c r="AE44" s="86">
        <v>0.0</v>
      </c>
      <c r="AF44" s="86">
        <v>0.0</v>
      </c>
      <c r="AG44" s="86">
        <v>0.0</v>
      </c>
      <c r="AH44" s="91"/>
      <c r="AI44" s="93">
        <v>1003.0</v>
      </c>
      <c r="AJ44" s="75">
        <v>2034021.0</v>
      </c>
    </row>
    <row r="45" ht="15.75" customHeight="1">
      <c r="A45" s="74">
        <v>1101.0</v>
      </c>
      <c r="B45" s="75">
        <v>2034054.0</v>
      </c>
      <c r="C45" s="76">
        <v>211.535</v>
      </c>
      <c r="D45" s="76">
        <v>214.226</v>
      </c>
      <c r="E45" s="76">
        <v>216.81</v>
      </c>
      <c r="F45" s="76">
        <v>218.089</v>
      </c>
      <c r="G45" s="76">
        <v>220.713</v>
      </c>
      <c r="H45" s="76">
        <v>223.872</v>
      </c>
      <c r="I45" s="76">
        <v>226.927</v>
      </c>
      <c r="J45" s="76">
        <v>229.0</v>
      </c>
      <c r="K45" s="76">
        <v>231.402</v>
      </c>
      <c r="L45" s="76">
        <v>233.372</v>
      </c>
      <c r="M45" s="76">
        <v>235.331</v>
      </c>
      <c r="N45" s="1">
        <v>236.866</v>
      </c>
      <c r="O45" s="76">
        <v>239.431</v>
      </c>
      <c r="P45" s="76">
        <v>242.306</v>
      </c>
      <c r="Q45" s="76">
        <v>244.457</v>
      </c>
      <c r="R45" s="76">
        <v>248.106</v>
      </c>
      <c r="S45" s="76">
        <v>250.055</v>
      </c>
      <c r="T45" s="78">
        <v>254.078</v>
      </c>
      <c r="U45" s="78">
        <v>257.43</v>
      </c>
      <c r="V45" s="79">
        <v>260.872</v>
      </c>
      <c r="W45" s="80">
        <v>262.525</v>
      </c>
      <c r="X45" s="79">
        <v>264.427</v>
      </c>
      <c r="Y45" s="86">
        <f>IFERROR(__xludf.DUMMYFUNCTION("""COMPUTED_VALUE"""),266.313)</f>
        <v>266.313</v>
      </c>
      <c r="Z45" s="86">
        <f>IFERROR(__xludf.DUMMYFUNCTION("""COMPUTED_VALUE"""),268.896)</f>
        <v>268.896</v>
      </c>
      <c r="AA45" s="109">
        <f>IFERROR(__xludf.DUMMYFUNCTION("""COMPUTED_VALUE"""),271.577)</f>
        <v>271.577</v>
      </c>
      <c r="AB45" s="109">
        <f>IFERROR(__xludf.DUMMYFUNCTION("""COMPUTED_VALUE"""),274.111)</f>
        <v>274.111</v>
      </c>
      <c r="AC45" s="86">
        <f>IFERROR(__xludf.DUMMYFUNCTION("""COMPUTED_VALUE"""),276.371)</f>
        <v>276.371</v>
      </c>
      <c r="AD45" s="86">
        <v>0.0</v>
      </c>
      <c r="AE45" s="86">
        <v>0.0</v>
      </c>
      <c r="AF45" s="86">
        <v>0.0</v>
      </c>
      <c r="AG45" s="86">
        <v>0.0</v>
      </c>
      <c r="AH45" s="91"/>
      <c r="AI45" s="93">
        <v>1101.0</v>
      </c>
      <c r="AJ45" s="75">
        <v>2034054.0</v>
      </c>
    </row>
    <row r="46" ht="15.75" customHeight="1">
      <c r="A46" s="74">
        <v>1102.0</v>
      </c>
      <c r="B46" s="75">
        <v>2034060.0</v>
      </c>
      <c r="C46" s="76">
        <v>195.556</v>
      </c>
      <c r="D46" s="76">
        <v>199.865</v>
      </c>
      <c r="E46" s="76">
        <v>204.271</v>
      </c>
      <c r="F46" s="76">
        <v>208.59</v>
      </c>
      <c r="G46" s="76">
        <v>212.565</v>
      </c>
      <c r="H46" s="76">
        <v>216.864</v>
      </c>
      <c r="I46" s="76">
        <v>220.756</v>
      </c>
      <c r="J46" s="76">
        <v>224.015</v>
      </c>
      <c r="K46" s="76">
        <v>224.015</v>
      </c>
      <c r="L46" s="76">
        <v>224.015</v>
      </c>
      <c r="M46" s="76">
        <v>224.015</v>
      </c>
      <c r="N46" s="76">
        <v>224.015</v>
      </c>
      <c r="O46" s="76">
        <v>228.243</v>
      </c>
      <c r="P46" s="76">
        <v>231.775</v>
      </c>
      <c r="Q46" s="76">
        <v>236.021</v>
      </c>
      <c r="R46" s="97">
        <v>239.714</v>
      </c>
      <c r="S46" s="76">
        <v>243.779</v>
      </c>
      <c r="T46" s="78">
        <v>248.846</v>
      </c>
      <c r="U46" s="78">
        <v>252.187</v>
      </c>
      <c r="V46" s="79">
        <v>253.354</v>
      </c>
      <c r="W46" s="80">
        <v>254.912</v>
      </c>
      <c r="X46" s="79">
        <v>254.913</v>
      </c>
      <c r="Y46" s="86">
        <f>IFERROR(__xludf.DUMMYFUNCTION("""COMPUTED_VALUE"""),254.913)</f>
        <v>254.913</v>
      </c>
      <c r="Z46" s="86">
        <f>IFERROR(__xludf.DUMMYFUNCTION("""COMPUTED_VALUE"""),257.919)</f>
        <v>257.919</v>
      </c>
      <c r="AA46" s="86">
        <f>IFERROR(__xludf.DUMMYFUNCTION("""COMPUTED_VALUE"""),261.645)</f>
        <v>261.645</v>
      </c>
      <c r="AB46" s="86">
        <f>IFERROR(__xludf.DUMMYFUNCTION("""COMPUTED_VALUE"""),265.404)</f>
        <v>265.404</v>
      </c>
      <c r="AC46" s="86">
        <f>IFERROR(__xludf.DUMMYFUNCTION("""COMPUTED_VALUE"""),268.938)</f>
        <v>268.938</v>
      </c>
      <c r="AD46" s="86">
        <v>0.0</v>
      </c>
      <c r="AE46" s="86">
        <v>0.0</v>
      </c>
      <c r="AF46" s="86">
        <v>0.0</v>
      </c>
      <c r="AG46" s="86">
        <v>0.0</v>
      </c>
      <c r="AH46" s="91"/>
      <c r="AI46" s="93">
        <v>1102.0</v>
      </c>
      <c r="AJ46" s="75">
        <v>2034060.0</v>
      </c>
    </row>
    <row r="47" ht="15.75" customHeight="1">
      <c r="A47" s="74">
        <v>1103.0</v>
      </c>
      <c r="B47" s="75" t="s">
        <v>248</v>
      </c>
      <c r="C47" s="76">
        <v>40.135</v>
      </c>
      <c r="D47" s="76">
        <v>40.135</v>
      </c>
      <c r="E47" s="76">
        <v>40.135</v>
      </c>
      <c r="F47" s="76">
        <v>40.135</v>
      </c>
      <c r="G47" s="76">
        <v>40.135</v>
      </c>
      <c r="H47" s="76">
        <v>40.135</v>
      </c>
      <c r="I47" s="76">
        <v>40.135</v>
      </c>
      <c r="J47" s="76">
        <v>40.135</v>
      </c>
      <c r="K47" s="76">
        <v>40.135</v>
      </c>
      <c r="L47" s="76">
        <v>40.135</v>
      </c>
      <c r="M47" s="76">
        <v>40.135</v>
      </c>
      <c r="N47" s="76">
        <v>40.135</v>
      </c>
      <c r="O47" s="76">
        <v>40.135</v>
      </c>
      <c r="P47" s="76">
        <v>40.135</v>
      </c>
      <c r="Q47" s="76">
        <v>40.135</v>
      </c>
      <c r="R47" s="97">
        <v>40.135</v>
      </c>
      <c r="S47" s="76">
        <v>40.14</v>
      </c>
      <c r="T47" s="78">
        <v>40.14</v>
      </c>
      <c r="U47" s="78">
        <v>41.77</v>
      </c>
      <c r="V47" s="79">
        <v>42.856</v>
      </c>
      <c r="W47" s="80">
        <v>44.597</v>
      </c>
      <c r="X47" s="80">
        <v>45.266</v>
      </c>
      <c r="Y47" s="86">
        <f>IFERROR(__xludf.DUMMYFUNCTION("""COMPUTED_VALUE"""),45.266)</f>
        <v>45.266</v>
      </c>
      <c r="Z47" s="86">
        <f>IFERROR(__xludf.DUMMYFUNCTION("""COMPUTED_VALUE"""),47.294)</f>
        <v>47.294</v>
      </c>
      <c r="AA47" s="86">
        <f>IFERROR(__xludf.DUMMYFUNCTION("""COMPUTED_VALUE"""),50.949)</f>
        <v>50.949</v>
      </c>
      <c r="AB47" s="86">
        <f>IFERROR(__xludf.DUMMYFUNCTION("""COMPUTED_VALUE"""),53.54)</f>
        <v>53.54</v>
      </c>
      <c r="AC47" s="86">
        <f>IFERROR(__xludf.DUMMYFUNCTION("""COMPUTED_VALUE"""),54.399)</f>
        <v>54.399</v>
      </c>
      <c r="AD47" s="86">
        <v>0.0</v>
      </c>
      <c r="AE47" s="86">
        <v>0.0</v>
      </c>
      <c r="AF47" s="86">
        <v>0.0</v>
      </c>
      <c r="AG47" s="86">
        <v>0.0</v>
      </c>
      <c r="AH47" s="91"/>
      <c r="AI47" s="93">
        <v>1103.0</v>
      </c>
      <c r="AJ47" s="75" t="s">
        <v>248</v>
      </c>
    </row>
    <row r="48" ht="15.75" customHeight="1">
      <c r="A48" s="74">
        <v>1201.0</v>
      </c>
      <c r="B48" s="75">
        <v>2034058.0</v>
      </c>
      <c r="C48" s="76">
        <v>873.534</v>
      </c>
      <c r="D48" s="76">
        <v>880.959</v>
      </c>
      <c r="E48" s="76">
        <v>887.759</v>
      </c>
      <c r="F48" s="76">
        <v>897.96</v>
      </c>
      <c r="G48" s="76">
        <v>903.256</v>
      </c>
      <c r="H48" s="76">
        <v>903.256</v>
      </c>
      <c r="I48" s="76">
        <v>910.16</v>
      </c>
      <c r="J48" s="76">
        <v>925.475</v>
      </c>
      <c r="K48" s="76">
        <v>937.405</v>
      </c>
      <c r="L48" s="76">
        <v>943.828</v>
      </c>
      <c r="M48" s="76">
        <v>951.834</v>
      </c>
      <c r="N48" s="1">
        <v>960.895</v>
      </c>
      <c r="O48" s="76">
        <v>970.623</v>
      </c>
      <c r="P48" s="76">
        <v>981.24</v>
      </c>
      <c r="Q48" s="76">
        <v>992.481</v>
      </c>
      <c r="R48" s="76">
        <v>1002.264</v>
      </c>
      <c r="S48" s="76">
        <v>1013.879</v>
      </c>
      <c r="T48" s="78">
        <v>1025.136</v>
      </c>
      <c r="U48" s="78">
        <v>1034.084</v>
      </c>
      <c r="V48" s="79">
        <v>1042.387</v>
      </c>
      <c r="W48" s="80">
        <v>1053.39</v>
      </c>
      <c r="X48" s="80">
        <v>1061.892</v>
      </c>
      <c r="Y48" s="86">
        <f>IFERROR(__xludf.DUMMYFUNCTION("""COMPUTED_VALUE"""),1070.27)</f>
        <v>1070.27</v>
      </c>
      <c r="Z48" s="86">
        <f>IFERROR(__xludf.DUMMYFUNCTION("""COMPUTED_VALUE"""),1079.293)</f>
        <v>1079.293</v>
      </c>
      <c r="AA48" s="86">
        <f>IFERROR(__xludf.DUMMYFUNCTION("""COMPUTED_VALUE"""),1089.087)</f>
        <v>1089.087</v>
      </c>
      <c r="AB48" s="86">
        <f>IFERROR(__xludf.DUMMYFUNCTION("""COMPUTED_VALUE"""),1099.191)</f>
        <v>1099.191</v>
      </c>
      <c r="AC48" s="86">
        <f>IFERROR(__xludf.DUMMYFUNCTION("""COMPUTED_VALUE"""),1099.92)</f>
        <v>1099.92</v>
      </c>
      <c r="AD48" s="86">
        <v>0.0</v>
      </c>
      <c r="AE48" s="86">
        <v>0.0</v>
      </c>
      <c r="AF48" s="86">
        <v>0.0</v>
      </c>
      <c r="AG48" s="86">
        <v>0.0</v>
      </c>
      <c r="AH48" s="91"/>
      <c r="AI48" s="93">
        <v>1201.0</v>
      </c>
      <c r="AJ48" s="75">
        <v>2034058.0</v>
      </c>
    </row>
    <row r="49" ht="15.75" customHeight="1">
      <c r="A49" s="74">
        <v>1202.0</v>
      </c>
      <c r="B49" s="75">
        <v>2034076.0</v>
      </c>
      <c r="C49" s="76">
        <v>210.805</v>
      </c>
      <c r="D49" s="76">
        <v>210.805</v>
      </c>
      <c r="E49" s="76">
        <v>210.805</v>
      </c>
      <c r="F49" s="76">
        <v>210.805</v>
      </c>
      <c r="G49" s="76">
        <v>210.805</v>
      </c>
      <c r="H49" s="76">
        <v>210.805</v>
      </c>
      <c r="I49" s="76">
        <v>211.099</v>
      </c>
      <c r="J49" s="76">
        <v>213.423</v>
      </c>
      <c r="K49" s="76">
        <v>214.752</v>
      </c>
      <c r="L49" s="76">
        <v>215.928</v>
      </c>
      <c r="M49" s="76">
        <v>216.358</v>
      </c>
      <c r="N49" s="76">
        <v>216.358</v>
      </c>
      <c r="O49" s="76">
        <v>216.358</v>
      </c>
      <c r="P49" s="76">
        <v>216.358</v>
      </c>
      <c r="Q49" s="76">
        <v>216.358</v>
      </c>
      <c r="R49" s="76">
        <v>216.358</v>
      </c>
      <c r="S49" s="76">
        <v>216.358</v>
      </c>
      <c r="T49" s="78">
        <v>216.358</v>
      </c>
      <c r="U49" s="78">
        <v>216.359</v>
      </c>
      <c r="V49" s="79">
        <v>216.687</v>
      </c>
      <c r="W49" s="80">
        <v>218.64</v>
      </c>
      <c r="X49" s="80">
        <v>219.73</v>
      </c>
      <c r="Y49" s="86">
        <f>IFERROR(__xludf.DUMMYFUNCTION("""COMPUTED_VALUE"""),219.771)</f>
        <v>219.771</v>
      </c>
      <c r="Z49" s="86">
        <f>IFERROR(__xludf.DUMMYFUNCTION("""COMPUTED_VALUE"""),219.771)</f>
        <v>219.771</v>
      </c>
      <c r="AA49" s="86">
        <f>IFERROR(__xludf.DUMMYFUNCTION("""COMPUTED_VALUE"""),219.771)</f>
        <v>219.771</v>
      </c>
      <c r="AB49" s="86">
        <f>IFERROR(__xludf.DUMMYFUNCTION("""COMPUTED_VALUE"""),219.771)</f>
        <v>219.771</v>
      </c>
      <c r="AC49" s="86">
        <f>IFERROR(__xludf.DUMMYFUNCTION("""COMPUTED_VALUE"""),219.771)</f>
        <v>219.771</v>
      </c>
      <c r="AD49" s="86">
        <v>0.0</v>
      </c>
      <c r="AE49" s="86">
        <v>0.0</v>
      </c>
      <c r="AF49" s="86">
        <v>0.0</v>
      </c>
      <c r="AG49" s="86">
        <v>0.0</v>
      </c>
      <c r="AH49" s="91"/>
      <c r="AI49" s="93">
        <v>1202.0</v>
      </c>
      <c r="AJ49" s="75">
        <v>2034076.0</v>
      </c>
    </row>
    <row r="50" ht="15.75" customHeight="1">
      <c r="A50" s="74">
        <v>1203.0</v>
      </c>
      <c r="B50" s="75">
        <v>2034077.0</v>
      </c>
      <c r="C50" s="76">
        <v>499.75</v>
      </c>
      <c r="D50" s="76">
        <v>502.474</v>
      </c>
      <c r="E50" s="76">
        <v>504.289</v>
      </c>
      <c r="F50" s="76">
        <v>508.101</v>
      </c>
      <c r="G50" s="76">
        <v>511.736</v>
      </c>
      <c r="H50" s="76">
        <v>515.698</v>
      </c>
      <c r="I50" s="76">
        <v>519.132</v>
      </c>
      <c r="J50" s="76">
        <v>522.991</v>
      </c>
      <c r="K50" s="76">
        <v>526.086</v>
      </c>
      <c r="L50" s="76">
        <v>529.261</v>
      </c>
      <c r="M50" s="76">
        <v>532.432</v>
      </c>
      <c r="N50" s="1">
        <v>535.508</v>
      </c>
      <c r="O50" s="76">
        <v>538.4</v>
      </c>
      <c r="P50" s="76">
        <v>539.866</v>
      </c>
      <c r="Q50" s="76">
        <v>543.968</v>
      </c>
      <c r="R50" s="76">
        <v>548.345</v>
      </c>
      <c r="S50" s="76">
        <v>552.498</v>
      </c>
      <c r="T50" s="78">
        <v>555.915</v>
      </c>
      <c r="U50" s="78">
        <v>558.753</v>
      </c>
      <c r="V50" s="79">
        <v>560.872</v>
      </c>
      <c r="W50" s="80">
        <v>562.831</v>
      </c>
      <c r="X50" s="80">
        <v>563.875</v>
      </c>
      <c r="Y50" s="86">
        <f>IFERROR(__xludf.DUMMYFUNCTION("""COMPUTED_VALUE"""),564.952)</f>
        <v>564.952</v>
      </c>
      <c r="Z50" s="86">
        <f>IFERROR(__xludf.DUMMYFUNCTION("""COMPUTED_VALUE"""),566.981)</f>
        <v>566.981</v>
      </c>
      <c r="AA50" s="86">
        <f>IFERROR(__xludf.DUMMYFUNCTION("""COMPUTED_VALUE"""),569.905)</f>
        <v>569.905</v>
      </c>
      <c r="AB50" s="86">
        <f>IFERROR(__xludf.DUMMYFUNCTION("""COMPUTED_VALUE"""),573.071)</f>
        <v>573.071</v>
      </c>
      <c r="AC50" s="86">
        <f>IFERROR(__xludf.DUMMYFUNCTION("""COMPUTED_VALUE"""),575.937)</f>
        <v>575.937</v>
      </c>
      <c r="AD50" s="86">
        <v>0.0</v>
      </c>
      <c r="AE50" s="86">
        <v>0.0</v>
      </c>
      <c r="AF50" s="86">
        <v>0.0</v>
      </c>
      <c r="AG50" s="86">
        <v>0.0</v>
      </c>
      <c r="AH50" s="91"/>
      <c r="AI50" s="93">
        <v>1203.0</v>
      </c>
      <c r="AJ50" s="75">
        <v>2034077.0</v>
      </c>
    </row>
    <row r="51" ht="15.75" customHeight="1">
      <c r="A51" s="116">
        <v>1301.0</v>
      </c>
      <c r="B51" s="141">
        <v>2034059.0</v>
      </c>
      <c r="C51" s="139">
        <v>119.187</v>
      </c>
      <c r="D51" s="139">
        <v>119.187</v>
      </c>
      <c r="E51" s="139">
        <v>119.187</v>
      </c>
      <c r="F51" s="139">
        <v>119.187</v>
      </c>
      <c r="G51" s="139">
        <v>119.187</v>
      </c>
      <c r="H51" s="139">
        <v>119.187</v>
      </c>
      <c r="I51" s="139">
        <v>119.187</v>
      </c>
      <c r="J51" s="139">
        <v>119.187</v>
      </c>
      <c r="K51" s="139">
        <v>119.187</v>
      </c>
      <c r="L51" s="139">
        <v>119.187</v>
      </c>
      <c r="M51" s="139">
        <v>119.187</v>
      </c>
      <c r="N51" s="139">
        <v>119.187</v>
      </c>
      <c r="O51" s="139">
        <v>119.187</v>
      </c>
      <c r="P51" s="139">
        <v>119.187</v>
      </c>
      <c r="Q51" s="139">
        <v>119.187</v>
      </c>
      <c r="R51" s="139">
        <v>119.187</v>
      </c>
      <c r="S51" s="139">
        <v>119.187</v>
      </c>
      <c r="T51" s="124">
        <v>119.187</v>
      </c>
      <c r="U51" s="124">
        <v>119.187</v>
      </c>
      <c r="V51" s="143">
        <v>119.187</v>
      </c>
      <c r="W51" s="143">
        <v>119.187</v>
      </c>
      <c r="X51" s="143">
        <v>119.187</v>
      </c>
      <c r="Y51" s="86">
        <f>IFERROR(__xludf.DUMMYFUNCTION("""COMPUTED_VALUE"""),119.187)</f>
        <v>119.187</v>
      </c>
      <c r="Z51" s="86">
        <f>IFERROR(__xludf.DUMMYFUNCTION("""COMPUTED_VALUE"""),119.187)</f>
        <v>119.187</v>
      </c>
      <c r="AA51" s="86">
        <f>IFERROR(__xludf.DUMMYFUNCTION("""COMPUTED_VALUE"""),119.187)</f>
        <v>119.187</v>
      </c>
      <c r="AB51" s="86">
        <f>IFERROR(__xludf.DUMMYFUNCTION("""COMPUTED_VALUE"""),119.187)</f>
        <v>119.187</v>
      </c>
      <c r="AC51" s="86">
        <f>IFERROR(__xludf.DUMMYFUNCTION("""COMPUTED_VALUE"""),119.187)</f>
        <v>119.187</v>
      </c>
      <c r="AD51" s="86">
        <v>0.0</v>
      </c>
      <c r="AE51" s="86">
        <v>0.0</v>
      </c>
      <c r="AF51" s="86">
        <v>0.0</v>
      </c>
      <c r="AG51" s="86">
        <v>0.0</v>
      </c>
      <c r="AH51" s="127"/>
      <c r="AI51" s="128">
        <v>1301.0</v>
      </c>
      <c r="AJ51" s="141">
        <v>2034059.0</v>
      </c>
    </row>
    <row r="52" ht="15.75" customHeight="1">
      <c r="A52" s="74">
        <v>1302.0</v>
      </c>
      <c r="B52" s="75">
        <v>2034066.0</v>
      </c>
      <c r="C52" s="76">
        <v>349.943</v>
      </c>
      <c r="D52" s="76">
        <v>355.049</v>
      </c>
      <c r="E52" s="76">
        <v>363.424</v>
      </c>
      <c r="F52" s="76">
        <v>371.807</v>
      </c>
      <c r="G52" s="76">
        <v>380.095</v>
      </c>
      <c r="H52" s="76">
        <v>388.18</v>
      </c>
      <c r="I52" s="76">
        <v>393.594</v>
      </c>
      <c r="J52" s="76">
        <v>399.911</v>
      </c>
      <c r="K52" s="76">
        <v>403.868</v>
      </c>
      <c r="L52" s="76">
        <v>409.552</v>
      </c>
      <c r="M52" s="76">
        <v>414.597</v>
      </c>
      <c r="N52" s="1">
        <v>420.891</v>
      </c>
      <c r="O52" s="76">
        <v>426.161</v>
      </c>
      <c r="P52" s="76">
        <v>428.974</v>
      </c>
      <c r="Q52" s="76">
        <v>431.375</v>
      </c>
      <c r="R52" s="76">
        <v>431.375</v>
      </c>
      <c r="S52" s="76">
        <v>432.429</v>
      </c>
      <c r="T52" s="78">
        <v>433.95</v>
      </c>
      <c r="U52" s="78">
        <v>437.264</v>
      </c>
      <c r="V52" s="79">
        <v>440.394</v>
      </c>
      <c r="W52" s="80">
        <v>446.304</v>
      </c>
      <c r="X52" s="80">
        <v>448.988</v>
      </c>
      <c r="Y52" s="86">
        <f>IFERROR(__xludf.DUMMYFUNCTION("""COMPUTED_VALUE"""),452.111)</f>
        <v>452.111</v>
      </c>
      <c r="Z52" s="86">
        <f>IFERROR(__xludf.DUMMYFUNCTION("""COMPUTED_VALUE"""),456.114)</f>
        <v>456.114</v>
      </c>
      <c r="AA52" s="86">
        <f>IFERROR(__xludf.DUMMYFUNCTION("""COMPUTED_VALUE"""),460.297)</f>
        <v>460.297</v>
      </c>
      <c r="AB52" s="86">
        <f>IFERROR(__xludf.DUMMYFUNCTION("""COMPUTED_VALUE"""),462.754)</f>
        <v>462.754</v>
      </c>
      <c r="AC52" s="86">
        <f>IFERROR(__xludf.DUMMYFUNCTION("""COMPUTED_VALUE"""),465.599)</f>
        <v>465.599</v>
      </c>
      <c r="AD52" s="86">
        <v>0.0</v>
      </c>
      <c r="AE52" s="86">
        <v>0.0</v>
      </c>
      <c r="AF52" s="86">
        <v>0.0</v>
      </c>
      <c r="AG52" s="86">
        <v>0.0</v>
      </c>
      <c r="AH52" s="91"/>
      <c r="AI52" s="93">
        <v>1302.0</v>
      </c>
      <c r="AJ52" s="75">
        <v>2034066.0</v>
      </c>
    </row>
    <row r="53" ht="15.75" customHeight="1">
      <c r="A53" s="74">
        <v>1303.0</v>
      </c>
      <c r="B53" s="75">
        <v>2034067.0</v>
      </c>
      <c r="C53" s="76">
        <v>905.722</v>
      </c>
      <c r="D53" s="76">
        <v>919.04</v>
      </c>
      <c r="E53" s="76">
        <v>919.995</v>
      </c>
      <c r="F53" s="76">
        <v>919.995</v>
      </c>
      <c r="G53" s="76">
        <v>919.995</v>
      </c>
      <c r="H53" s="76">
        <v>920.122</v>
      </c>
      <c r="I53" s="76">
        <v>921.906</v>
      </c>
      <c r="J53" s="76">
        <v>926.383</v>
      </c>
      <c r="K53" s="76">
        <v>930.822</v>
      </c>
      <c r="L53" s="76">
        <v>934.401</v>
      </c>
      <c r="M53" s="76">
        <v>936.936</v>
      </c>
      <c r="N53" s="1">
        <v>941.315</v>
      </c>
      <c r="O53" s="76">
        <v>944.986</v>
      </c>
      <c r="P53" s="76">
        <v>950.513</v>
      </c>
      <c r="Q53" s="76">
        <v>953.99</v>
      </c>
      <c r="R53" s="76">
        <v>958.843</v>
      </c>
      <c r="S53" s="76">
        <v>963.906</v>
      </c>
      <c r="T53" s="78">
        <v>967.963</v>
      </c>
      <c r="U53" s="78">
        <v>971.24</v>
      </c>
      <c r="V53" s="79">
        <v>974.325</v>
      </c>
      <c r="W53" s="80">
        <v>976.478</v>
      </c>
      <c r="X53" s="80">
        <v>981.042</v>
      </c>
      <c r="Y53" s="86">
        <f>IFERROR(__xludf.DUMMYFUNCTION("""COMPUTED_VALUE"""),982.991)</f>
        <v>982.991</v>
      </c>
      <c r="Z53" s="86">
        <f>IFERROR(__xludf.DUMMYFUNCTION("""COMPUTED_VALUE"""),985.829)</f>
        <v>985.829</v>
      </c>
      <c r="AA53" s="86">
        <f>IFERROR(__xludf.DUMMYFUNCTION("""COMPUTED_VALUE"""),989.032)</f>
        <v>989.032</v>
      </c>
      <c r="AB53" s="86">
        <f>IFERROR(__xludf.DUMMYFUNCTION("""COMPUTED_VALUE"""),991.609)</f>
        <v>991.609</v>
      </c>
      <c r="AC53" s="86">
        <f>IFERROR(__xludf.DUMMYFUNCTION("""COMPUTED_VALUE"""),995.968)</f>
        <v>995.968</v>
      </c>
      <c r="AD53" s="86">
        <v>0.0</v>
      </c>
      <c r="AE53" s="86">
        <v>0.0</v>
      </c>
      <c r="AF53" s="86">
        <v>0.0</v>
      </c>
      <c r="AG53" s="86">
        <v>0.0</v>
      </c>
      <c r="AH53" s="91"/>
      <c r="AI53" s="93">
        <v>1303.0</v>
      </c>
      <c r="AJ53" s="75">
        <v>2034067.0</v>
      </c>
    </row>
    <row r="54" ht="15.75" customHeight="1">
      <c r="A54" s="116">
        <v>1401.0</v>
      </c>
      <c r="B54" s="141">
        <v>2034061.0</v>
      </c>
      <c r="C54" s="139">
        <v>245.18</v>
      </c>
      <c r="D54" s="139">
        <v>245.18</v>
      </c>
      <c r="E54" s="139">
        <v>245.18</v>
      </c>
      <c r="F54" s="139">
        <v>245.18</v>
      </c>
      <c r="G54" s="139">
        <v>245.18</v>
      </c>
      <c r="H54" s="139">
        <v>245.18</v>
      </c>
      <c r="I54" s="139">
        <v>245.18</v>
      </c>
      <c r="J54" s="139">
        <v>245.18</v>
      </c>
      <c r="K54" s="139">
        <v>245.18</v>
      </c>
      <c r="L54" s="139">
        <v>245.18</v>
      </c>
      <c r="M54" s="139">
        <v>245.18</v>
      </c>
      <c r="N54" s="139">
        <v>245.18</v>
      </c>
      <c r="O54" s="139">
        <v>245.18</v>
      </c>
      <c r="P54" s="139">
        <v>245.18</v>
      </c>
      <c r="Q54" s="139">
        <v>245.18</v>
      </c>
      <c r="R54" s="139">
        <v>245.18</v>
      </c>
      <c r="S54" s="139">
        <v>245.18</v>
      </c>
      <c r="T54" s="124">
        <v>245.18</v>
      </c>
      <c r="U54" s="124">
        <v>245.18</v>
      </c>
      <c r="V54" s="143">
        <v>245.18</v>
      </c>
      <c r="W54" s="143">
        <v>245.18</v>
      </c>
      <c r="X54" s="143">
        <v>245.18</v>
      </c>
      <c r="Y54" s="86">
        <f>IFERROR(__xludf.DUMMYFUNCTION("""COMPUTED_VALUE"""),245.18)</f>
        <v>245.18</v>
      </c>
      <c r="Z54" s="86">
        <f>IFERROR(__xludf.DUMMYFUNCTION("""COMPUTED_VALUE"""),245.18)</f>
        <v>245.18</v>
      </c>
      <c r="AA54" s="86">
        <f>IFERROR(__xludf.DUMMYFUNCTION("""COMPUTED_VALUE"""),245.18)</f>
        <v>245.18</v>
      </c>
      <c r="AB54" s="86">
        <f>IFERROR(__xludf.DUMMYFUNCTION("""COMPUTED_VALUE"""),245.18)</f>
        <v>245.18</v>
      </c>
      <c r="AC54" s="86">
        <f>IFERROR(__xludf.DUMMYFUNCTION("""COMPUTED_VALUE"""),245.18)</f>
        <v>245.18</v>
      </c>
      <c r="AD54" s="86">
        <v>0.0</v>
      </c>
      <c r="AE54" s="86">
        <v>0.0</v>
      </c>
      <c r="AF54" s="86">
        <v>0.0</v>
      </c>
      <c r="AG54" s="86">
        <v>0.0</v>
      </c>
      <c r="AH54" s="127"/>
      <c r="AI54" s="128">
        <v>1401.0</v>
      </c>
      <c r="AJ54" s="141">
        <v>2034061.0</v>
      </c>
    </row>
    <row r="55" ht="15.75" customHeight="1">
      <c r="A55" s="74">
        <v>1402.0</v>
      </c>
      <c r="B55" s="75">
        <v>2034080.0</v>
      </c>
      <c r="C55" s="76">
        <v>9.458</v>
      </c>
      <c r="D55" s="76">
        <v>12.59</v>
      </c>
      <c r="E55" s="76">
        <v>12.628</v>
      </c>
      <c r="F55" s="76">
        <v>12.628</v>
      </c>
      <c r="G55" s="76">
        <v>12.628</v>
      </c>
      <c r="H55" s="76">
        <v>12.628</v>
      </c>
      <c r="I55" s="76">
        <v>12.628</v>
      </c>
      <c r="J55" s="76">
        <v>12.628</v>
      </c>
      <c r="K55" s="76">
        <v>12.628</v>
      </c>
      <c r="L55" s="76">
        <v>12.628</v>
      </c>
      <c r="M55" s="76">
        <v>12.628</v>
      </c>
      <c r="N55" s="76">
        <v>12.628</v>
      </c>
      <c r="O55" s="76">
        <v>12.628</v>
      </c>
      <c r="P55" s="76">
        <v>12.628</v>
      </c>
      <c r="Q55" s="76">
        <v>12.628</v>
      </c>
      <c r="R55" s="76">
        <v>12.637</v>
      </c>
      <c r="S55" s="76">
        <v>13.361</v>
      </c>
      <c r="T55" s="78">
        <v>13.458</v>
      </c>
      <c r="U55" s="78">
        <v>14.234</v>
      </c>
      <c r="V55" s="79">
        <v>14.334</v>
      </c>
      <c r="W55" s="80">
        <v>14.42</v>
      </c>
      <c r="X55" s="80">
        <v>14.42</v>
      </c>
      <c r="Y55" s="86">
        <f>IFERROR(__xludf.DUMMYFUNCTION("""COMPUTED_VALUE"""),14.421)</f>
        <v>14.421</v>
      </c>
      <c r="Z55" s="86">
        <f>IFERROR(__xludf.DUMMYFUNCTION("""COMPUTED_VALUE"""),14.624)</f>
        <v>14.624</v>
      </c>
      <c r="AA55" s="86">
        <f>IFERROR(__xludf.DUMMYFUNCTION("""COMPUTED_VALUE"""),15.002)</f>
        <v>15.002</v>
      </c>
      <c r="AB55" s="86">
        <f>IFERROR(__xludf.DUMMYFUNCTION("""COMPUTED_VALUE"""),15.02)</f>
        <v>15.02</v>
      </c>
      <c r="AC55" s="86">
        <f>IFERROR(__xludf.DUMMYFUNCTION("""COMPUTED_VALUE"""),15.02)</f>
        <v>15.02</v>
      </c>
      <c r="AD55" s="86">
        <v>0.0</v>
      </c>
      <c r="AE55" s="86">
        <v>0.0</v>
      </c>
      <c r="AF55" s="86">
        <v>0.0</v>
      </c>
      <c r="AG55" s="86">
        <v>0.0</v>
      </c>
      <c r="AH55" s="91"/>
      <c r="AI55" s="93">
        <v>1402.0</v>
      </c>
      <c r="AJ55" s="75">
        <v>2034080.0</v>
      </c>
    </row>
    <row r="56" ht="15.75" customHeight="1">
      <c r="A56" s="74">
        <v>1403.0</v>
      </c>
      <c r="B56" s="75">
        <v>2034073.0</v>
      </c>
      <c r="C56" s="76">
        <v>563.462</v>
      </c>
      <c r="D56" s="76">
        <v>563.462</v>
      </c>
      <c r="E56" s="76">
        <v>563.462</v>
      </c>
      <c r="F56" s="76">
        <v>563.462</v>
      </c>
      <c r="G56" s="76">
        <v>563.462</v>
      </c>
      <c r="H56" s="76">
        <v>563.462</v>
      </c>
      <c r="I56" s="76">
        <v>563.462</v>
      </c>
      <c r="J56" s="76">
        <v>563.462</v>
      </c>
      <c r="K56" s="76">
        <v>563.462</v>
      </c>
      <c r="L56" s="76">
        <v>563.462</v>
      </c>
      <c r="M56" s="76">
        <v>563.462</v>
      </c>
      <c r="N56" s="76">
        <v>563.462</v>
      </c>
      <c r="O56" s="76">
        <v>563.462</v>
      </c>
      <c r="P56" s="76">
        <v>563.462</v>
      </c>
      <c r="Q56" s="76">
        <v>563.462</v>
      </c>
      <c r="R56" s="76">
        <v>563.463</v>
      </c>
      <c r="S56" s="76">
        <v>563.463</v>
      </c>
      <c r="T56" s="78">
        <v>563.463</v>
      </c>
      <c r="U56" s="78">
        <v>563.463</v>
      </c>
      <c r="V56" s="79">
        <v>563.463</v>
      </c>
      <c r="W56" s="79">
        <v>563.463</v>
      </c>
      <c r="X56" s="79">
        <v>563.463</v>
      </c>
      <c r="Y56" s="86">
        <f>IFERROR(__xludf.DUMMYFUNCTION("""COMPUTED_VALUE"""),563.463)</f>
        <v>563.463</v>
      </c>
      <c r="Z56" s="86">
        <f>IFERROR(__xludf.DUMMYFUNCTION("""COMPUTED_VALUE"""),563.463)</f>
        <v>563.463</v>
      </c>
      <c r="AA56" s="86">
        <f>IFERROR(__xludf.DUMMYFUNCTION("""COMPUTED_VALUE"""),563.463)</f>
        <v>563.463</v>
      </c>
      <c r="AB56" s="86">
        <f>IFERROR(__xludf.DUMMYFUNCTION("""COMPUTED_VALUE"""),563.463)</f>
        <v>563.463</v>
      </c>
      <c r="AC56" s="86">
        <f>IFERROR(__xludf.DUMMYFUNCTION("""COMPUTED_VALUE"""),563.463)</f>
        <v>563.463</v>
      </c>
      <c r="AD56" s="86">
        <v>0.0</v>
      </c>
      <c r="AE56" s="86">
        <v>0.0</v>
      </c>
      <c r="AF56" s="86">
        <v>0.0</v>
      </c>
      <c r="AG56" s="86">
        <v>0.0</v>
      </c>
      <c r="AH56" s="91"/>
      <c r="AI56" s="93">
        <v>1403.0</v>
      </c>
      <c r="AJ56" s="75">
        <v>2034073.0</v>
      </c>
    </row>
    <row r="57" ht="15.75" customHeight="1">
      <c r="A57" s="74">
        <v>1501.0</v>
      </c>
      <c r="B57" s="75">
        <v>2034064.0</v>
      </c>
      <c r="C57" s="76">
        <v>312.893</v>
      </c>
      <c r="D57" s="76">
        <v>324.294</v>
      </c>
      <c r="E57" s="76">
        <v>325.768</v>
      </c>
      <c r="F57" s="76">
        <v>325.768</v>
      </c>
      <c r="G57" s="76">
        <v>325.768</v>
      </c>
      <c r="H57" s="76">
        <v>325.768</v>
      </c>
      <c r="I57" s="76">
        <v>325.768</v>
      </c>
      <c r="J57" s="76">
        <v>325.768</v>
      </c>
      <c r="K57" s="76">
        <v>325.768</v>
      </c>
      <c r="L57" s="76">
        <v>325.768</v>
      </c>
      <c r="M57" s="76">
        <v>325.768</v>
      </c>
      <c r="N57" s="1">
        <v>325.768</v>
      </c>
      <c r="O57" s="1">
        <v>325.768</v>
      </c>
      <c r="P57" s="1">
        <v>325.768</v>
      </c>
      <c r="Q57" s="1">
        <v>325.768</v>
      </c>
      <c r="R57" s="1">
        <v>325.768</v>
      </c>
      <c r="S57" s="76">
        <v>325.768</v>
      </c>
      <c r="T57" s="154">
        <v>325.768</v>
      </c>
      <c r="U57" s="154">
        <v>325.768</v>
      </c>
      <c r="V57" s="80">
        <v>325.768</v>
      </c>
      <c r="W57" s="80">
        <v>325.768</v>
      </c>
      <c r="X57" s="80">
        <v>325.768</v>
      </c>
      <c r="Y57" s="86">
        <f>IFERROR(__xludf.DUMMYFUNCTION("""COMPUTED_VALUE"""),325.768)</f>
        <v>325.768</v>
      </c>
      <c r="Z57" s="86">
        <f>IFERROR(__xludf.DUMMYFUNCTION("""COMPUTED_VALUE"""),325.768)</f>
        <v>325.768</v>
      </c>
      <c r="AA57" s="86">
        <f>IFERROR(__xludf.DUMMYFUNCTION("""COMPUTED_VALUE"""),325.768)</f>
        <v>325.768</v>
      </c>
      <c r="AB57" s="86">
        <f>IFERROR(__xludf.DUMMYFUNCTION("""COMPUTED_VALUE"""),325.768)</f>
        <v>325.768</v>
      </c>
      <c r="AC57" s="86">
        <f>IFERROR(__xludf.DUMMYFUNCTION("""COMPUTED_VALUE"""),325.768)</f>
        <v>325.768</v>
      </c>
      <c r="AD57" s="86">
        <v>0.0</v>
      </c>
      <c r="AE57" s="86">
        <v>0.0</v>
      </c>
      <c r="AF57" s="86">
        <v>0.0</v>
      </c>
      <c r="AG57" s="86">
        <v>0.0</v>
      </c>
      <c r="AH57" s="91"/>
      <c r="AI57" s="93">
        <v>1501.0</v>
      </c>
      <c r="AJ57" s="75">
        <v>2034064.0</v>
      </c>
    </row>
    <row r="58" ht="15.75" customHeight="1">
      <c r="A58" s="74">
        <v>1502.0</v>
      </c>
      <c r="B58" s="75">
        <v>2034078.0</v>
      </c>
      <c r="C58" s="76">
        <v>338.992</v>
      </c>
      <c r="D58" s="76">
        <v>340.641</v>
      </c>
      <c r="E58" s="76">
        <v>345.122</v>
      </c>
      <c r="F58" s="76">
        <v>348.718</v>
      </c>
      <c r="G58" s="76">
        <v>352.261</v>
      </c>
      <c r="H58" s="76">
        <v>356.788</v>
      </c>
      <c r="I58" s="76">
        <v>361.761</v>
      </c>
      <c r="J58" s="76">
        <v>364.857</v>
      </c>
      <c r="K58" s="76">
        <v>369.146</v>
      </c>
      <c r="L58" s="76">
        <v>374.204</v>
      </c>
      <c r="M58" s="76">
        <v>376.976</v>
      </c>
      <c r="N58" s="1">
        <v>378.811</v>
      </c>
      <c r="O58" s="1">
        <v>381.882</v>
      </c>
      <c r="P58" s="76">
        <v>385.176</v>
      </c>
      <c r="Q58" s="76">
        <v>388.731</v>
      </c>
      <c r="R58" s="76">
        <v>390.194</v>
      </c>
      <c r="S58" s="76">
        <v>391.152</v>
      </c>
      <c r="T58" s="78">
        <v>396.397</v>
      </c>
      <c r="U58" s="78">
        <v>402.371</v>
      </c>
      <c r="V58" s="79">
        <v>411.365</v>
      </c>
      <c r="W58" s="166">
        <v>420.644</v>
      </c>
      <c r="X58" s="166">
        <v>423.529</v>
      </c>
      <c r="Y58" s="108">
        <f>IFERROR(__xludf.DUMMYFUNCTION("""COMPUTED_VALUE"""),423.538)</f>
        <v>423.538</v>
      </c>
      <c r="Z58" s="108">
        <f>IFERROR(__xludf.DUMMYFUNCTION("""COMPUTED_VALUE"""),426.921)</f>
        <v>426.921</v>
      </c>
      <c r="AA58" s="108">
        <f>IFERROR(__xludf.DUMMYFUNCTION("""COMPUTED_VALUE"""),436.608)</f>
        <v>436.608</v>
      </c>
      <c r="AB58" s="108">
        <f>IFERROR(__xludf.DUMMYFUNCTION("""COMPUTED_VALUE"""),443.341)</f>
        <v>443.341</v>
      </c>
      <c r="AC58" s="86">
        <f>IFERROR(__xludf.DUMMYFUNCTION("""COMPUTED_VALUE"""),446.8)</f>
        <v>446.8</v>
      </c>
      <c r="AD58" s="86">
        <v>0.0</v>
      </c>
      <c r="AE58" s="86">
        <v>0.0</v>
      </c>
      <c r="AF58" s="86">
        <v>0.0</v>
      </c>
      <c r="AG58" s="86">
        <v>0.0</v>
      </c>
      <c r="AH58" s="91"/>
      <c r="AI58" s="93">
        <v>1502.0</v>
      </c>
      <c r="AJ58" s="75">
        <v>2034078.0</v>
      </c>
    </row>
    <row r="59" ht="15.75" customHeight="1">
      <c r="A59" s="74">
        <v>1503.0</v>
      </c>
      <c r="B59" s="75">
        <v>2188669.0</v>
      </c>
      <c r="C59" s="76">
        <v>57.6</v>
      </c>
      <c r="D59" s="76">
        <v>57.6</v>
      </c>
      <c r="E59" s="76">
        <v>57.6</v>
      </c>
      <c r="F59" s="76">
        <v>57.6</v>
      </c>
      <c r="G59" s="76">
        <v>57.6</v>
      </c>
      <c r="H59" s="76">
        <v>57.6</v>
      </c>
      <c r="I59" s="76">
        <v>57.6</v>
      </c>
      <c r="J59" s="76">
        <v>57.6</v>
      </c>
      <c r="K59" s="76">
        <v>57.6</v>
      </c>
      <c r="L59" s="76">
        <v>57.6</v>
      </c>
      <c r="M59" s="76">
        <v>57.6</v>
      </c>
      <c r="N59" s="76">
        <v>57.6</v>
      </c>
      <c r="O59" s="76">
        <v>57.801</v>
      </c>
      <c r="P59" s="76">
        <v>58.583</v>
      </c>
      <c r="Q59" s="76">
        <v>60.331</v>
      </c>
      <c r="R59" s="76">
        <v>61.976</v>
      </c>
      <c r="S59" s="76">
        <v>63.788</v>
      </c>
      <c r="T59" s="78">
        <v>65.547</v>
      </c>
      <c r="U59" s="78">
        <v>67.518</v>
      </c>
      <c r="V59" s="79">
        <v>69.547</v>
      </c>
      <c r="W59" s="80">
        <v>71.843</v>
      </c>
      <c r="X59" s="80">
        <v>74.832</v>
      </c>
      <c r="Y59" s="86">
        <f>IFERROR(__xludf.DUMMYFUNCTION("""COMPUTED_VALUE"""),77.935)</f>
        <v>77.935</v>
      </c>
      <c r="Z59" s="86">
        <f>IFERROR(__xludf.DUMMYFUNCTION("""COMPUTED_VALUE"""),80.552)</f>
        <v>80.552</v>
      </c>
      <c r="AA59" s="86">
        <f>IFERROR(__xludf.DUMMYFUNCTION("""COMPUTED_VALUE"""),83.299)</f>
        <v>83.299</v>
      </c>
      <c r="AB59" s="86">
        <f>IFERROR(__xludf.DUMMYFUNCTION("""COMPUTED_VALUE"""),85.95)</f>
        <v>85.95</v>
      </c>
      <c r="AC59" s="86">
        <f>IFERROR(__xludf.DUMMYFUNCTION("""COMPUTED_VALUE"""),88.288)</f>
        <v>88.288</v>
      </c>
      <c r="AD59" s="86">
        <v>0.0</v>
      </c>
      <c r="AE59" s="86">
        <v>0.0</v>
      </c>
      <c r="AF59" s="86">
        <v>0.0</v>
      </c>
      <c r="AG59" s="86">
        <v>0.0</v>
      </c>
      <c r="AH59" s="91"/>
      <c r="AI59" s="93">
        <v>1503.0</v>
      </c>
      <c r="AJ59" s="75">
        <v>2188669.0</v>
      </c>
    </row>
    <row r="60" ht="15.75" customHeight="1">
      <c r="A60" s="74">
        <v>1601.0</v>
      </c>
      <c r="B60" s="75">
        <v>2034074.0</v>
      </c>
      <c r="C60" s="76">
        <v>291.652</v>
      </c>
      <c r="D60" s="76">
        <v>295.397</v>
      </c>
      <c r="E60" s="76">
        <v>299.9</v>
      </c>
      <c r="F60" s="76">
        <v>302.602</v>
      </c>
      <c r="G60" s="76">
        <v>306.671</v>
      </c>
      <c r="H60" s="76">
        <v>311.688</v>
      </c>
      <c r="I60" s="76">
        <v>316.507</v>
      </c>
      <c r="J60" s="76">
        <v>322.412</v>
      </c>
      <c r="K60" s="76">
        <v>326.831</v>
      </c>
      <c r="L60" s="76">
        <v>329.79</v>
      </c>
      <c r="M60" s="76">
        <v>332.999</v>
      </c>
      <c r="N60" s="1">
        <v>336.281</v>
      </c>
      <c r="O60" s="76">
        <v>338.85</v>
      </c>
      <c r="P60" s="76">
        <v>341.288</v>
      </c>
      <c r="Q60" s="76">
        <v>344.82</v>
      </c>
      <c r="R60" s="76">
        <v>347.962</v>
      </c>
      <c r="S60" s="76">
        <v>351.451</v>
      </c>
      <c r="T60" s="78">
        <v>355.271</v>
      </c>
      <c r="U60" s="78">
        <v>358.557</v>
      </c>
      <c r="V60" s="79">
        <v>362.551</v>
      </c>
      <c r="W60" s="80">
        <v>366.213</v>
      </c>
      <c r="X60" s="80">
        <v>369.411</v>
      </c>
      <c r="Y60" s="86">
        <f>IFERROR(__xludf.DUMMYFUNCTION("""COMPUTED_VALUE"""),374.152)</f>
        <v>374.152</v>
      </c>
      <c r="Z60" s="86">
        <f>IFERROR(__xludf.DUMMYFUNCTION("""COMPUTED_VALUE"""),377.535)</f>
        <v>377.535</v>
      </c>
      <c r="AA60" s="86">
        <f>IFERROR(__xludf.DUMMYFUNCTION("""COMPUTED_VALUE"""),381.925)</f>
        <v>381.925</v>
      </c>
      <c r="AB60" s="86">
        <f>IFERROR(__xludf.DUMMYFUNCTION("""COMPUTED_VALUE"""),385.34)</f>
        <v>385.34</v>
      </c>
      <c r="AC60" s="86">
        <f>IFERROR(__xludf.DUMMYFUNCTION("""COMPUTED_VALUE"""),389.729)</f>
        <v>389.729</v>
      </c>
      <c r="AD60" s="86">
        <v>0.0</v>
      </c>
      <c r="AE60" s="86">
        <v>0.0</v>
      </c>
      <c r="AF60" s="86">
        <v>0.0</v>
      </c>
      <c r="AG60" s="86">
        <v>0.0</v>
      </c>
      <c r="AH60" s="91"/>
      <c r="AI60" s="93">
        <v>1601.0</v>
      </c>
      <c r="AJ60" s="75">
        <v>2034074.0</v>
      </c>
    </row>
    <row r="61" ht="15.75" customHeight="1">
      <c r="A61" s="74">
        <v>1602.0</v>
      </c>
      <c r="B61" s="75">
        <v>2034082.0</v>
      </c>
      <c r="C61" s="76">
        <v>134.902</v>
      </c>
      <c r="D61" s="76">
        <v>138.065</v>
      </c>
      <c r="E61" s="76">
        <v>142.617</v>
      </c>
      <c r="F61" s="76">
        <v>146.914</v>
      </c>
      <c r="G61" s="76">
        <v>151.268</v>
      </c>
      <c r="H61" s="76">
        <v>155.32</v>
      </c>
      <c r="I61" s="76">
        <v>158.842</v>
      </c>
      <c r="J61" s="76">
        <v>161.999</v>
      </c>
      <c r="K61" s="76">
        <v>165.254</v>
      </c>
      <c r="L61" s="76">
        <v>168.21</v>
      </c>
      <c r="M61" s="76">
        <v>170.821</v>
      </c>
      <c r="N61" s="76">
        <v>173.53</v>
      </c>
      <c r="O61" s="76">
        <v>176.848</v>
      </c>
      <c r="P61" s="76">
        <v>179.475</v>
      </c>
      <c r="Q61" s="76">
        <v>182.367</v>
      </c>
      <c r="R61" s="76">
        <v>187.622</v>
      </c>
      <c r="S61" s="76">
        <v>192.613</v>
      </c>
      <c r="T61" s="78">
        <v>197.455</v>
      </c>
      <c r="U61" s="78">
        <v>200.54</v>
      </c>
      <c r="V61" s="79">
        <v>201.235</v>
      </c>
      <c r="W61" s="80">
        <v>201.864</v>
      </c>
      <c r="X61" s="80">
        <v>202.668</v>
      </c>
      <c r="Y61" s="86">
        <f>IFERROR(__xludf.DUMMYFUNCTION("""COMPUTED_VALUE"""),203.252)</f>
        <v>203.252</v>
      </c>
      <c r="Z61" s="86">
        <f>IFERROR(__xludf.DUMMYFUNCTION("""COMPUTED_VALUE"""),203.743)</f>
        <v>203.743</v>
      </c>
      <c r="AA61" s="86">
        <f>IFERROR(__xludf.DUMMYFUNCTION("""COMPUTED_VALUE"""),204.665)</f>
        <v>204.665</v>
      </c>
      <c r="AB61" s="86">
        <f>IFERROR(__xludf.DUMMYFUNCTION("""COMPUTED_VALUE"""),205.371)</f>
        <v>205.371</v>
      </c>
      <c r="AC61" s="86">
        <f>IFERROR(__xludf.DUMMYFUNCTION("""COMPUTED_VALUE"""),206.038)</f>
        <v>206.038</v>
      </c>
      <c r="AD61" s="86">
        <v>0.0</v>
      </c>
      <c r="AE61" s="86">
        <v>0.0</v>
      </c>
      <c r="AF61" s="86">
        <v>0.0</v>
      </c>
      <c r="AG61" s="86">
        <v>0.0</v>
      </c>
      <c r="AH61" s="91"/>
      <c r="AI61" s="93">
        <v>1602.0</v>
      </c>
      <c r="AJ61" s="75">
        <v>2034082.0</v>
      </c>
    </row>
    <row r="62" ht="15.75" customHeight="1">
      <c r="A62" s="74">
        <v>1701.0</v>
      </c>
      <c r="B62" s="75">
        <v>2034048.0</v>
      </c>
      <c r="C62" s="76">
        <v>248.198</v>
      </c>
      <c r="D62" s="76">
        <v>248.198</v>
      </c>
      <c r="E62" s="76">
        <v>248.198</v>
      </c>
      <c r="F62" s="76">
        <v>250.682</v>
      </c>
      <c r="G62" s="76">
        <v>255.342</v>
      </c>
      <c r="H62" s="76">
        <v>259.426</v>
      </c>
      <c r="I62" s="76">
        <v>265.699</v>
      </c>
      <c r="J62" s="76">
        <v>273.737</v>
      </c>
      <c r="K62" s="76">
        <v>280.13</v>
      </c>
      <c r="L62" s="76">
        <v>287.99</v>
      </c>
      <c r="M62" s="76">
        <v>296.668</v>
      </c>
      <c r="N62" s="76">
        <v>304.0</v>
      </c>
      <c r="O62" s="76">
        <v>314.052</v>
      </c>
      <c r="P62" s="76">
        <v>323.551</v>
      </c>
      <c r="Q62" s="76">
        <v>333.338</v>
      </c>
      <c r="R62" s="76">
        <v>341.801</v>
      </c>
      <c r="S62" s="76">
        <v>350.263</v>
      </c>
      <c r="T62" s="78">
        <v>358.41</v>
      </c>
      <c r="U62" s="78">
        <v>364.989</v>
      </c>
      <c r="V62" s="79">
        <v>370.568</v>
      </c>
      <c r="W62" s="80">
        <v>379.595</v>
      </c>
      <c r="X62" s="80">
        <v>389.566</v>
      </c>
      <c r="Y62" s="86">
        <f>IFERROR(__xludf.DUMMYFUNCTION("""COMPUTED_VALUE"""),399.551)</f>
        <v>399.551</v>
      </c>
      <c r="Z62" s="86">
        <f>IFERROR(__xludf.DUMMYFUNCTION("""COMPUTED_VALUE"""),412.165)</f>
        <v>412.165</v>
      </c>
      <c r="AA62" s="86">
        <f>IFERROR(__xludf.DUMMYFUNCTION("""COMPUTED_VALUE"""),427.27)</f>
        <v>427.27</v>
      </c>
      <c r="AB62" s="86">
        <f>IFERROR(__xludf.DUMMYFUNCTION("""COMPUTED_VALUE"""),440.15)</f>
        <v>440.15</v>
      </c>
      <c r="AC62" s="86">
        <f>IFERROR(__xludf.DUMMYFUNCTION("""COMPUTED_VALUE"""),453.117)</f>
        <v>453.117</v>
      </c>
      <c r="AD62" s="86">
        <v>0.0</v>
      </c>
      <c r="AE62" s="86">
        <v>0.0</v>
      </c>
      <c r="AF62" s="86">
        <v>0.0</v>
      </c>
      <c r="AG62" s="86">
        <v>0.0</v>
      </c>
      <c r="AH62" s="91"/>
      <c r="AI62" s="93">
        <v>1701.0</v>
      </c>
      <c r="AJ62" s="75">
        <v>2034048.0</v>
      </c>
    </row>
    <row r="63" ht="15.75" customHeight="1">
      <c r="A63" s="74">
        <v>1702.0</v>
      </c>
      <c r="B63" s="75">
        <v>2034081.0</v>
      </c>
      <c r="C63" s="76">
        <v>397.345</v>
      </c>
      <c r="D63" s="76">
        <v>397.582</v>
      </c>
      <c r="E63" s="76">
        <v>397.654</v>
      </c>
      <c r="F63" s="76">
        <v>397.654</v>
      </c>
      <c r="G63" s="76">
        <v>397.996</v>
      </c>
      <c r="H63" s="76">
        <v>399.213</v>
      </c>
      <c r="I63" s="76">
        <v>400.697</v>
      </c>
      <c r="J63" s="76">
        <v>401.887</v>
      </c>
      <c r="K63" s="76">
        <v>402.424</v>
      </c>
      <c r="L63" s="76">
        <v>403.127</v>
      </c>
      <c r="M63" s="76">
        <v>404.255</v>
      </c>
      <c r="N63" s="1">
        <v>405.806</v>
      </c>
      <c r="O63" s="76">
        <v>407.476</v>
      </c>
      <c r="P63" s="76">
        <v>409.372</v>
      </c>
      <c r="Q63" s="76">
        <v>411.259</v>
      </c>
      <c r="R63" s="76">
        <v>413.27</v>
      </c>
      <c r="S63" s="97">
        <v>415.281</v>
      </c>
      <c r="T63" s="78">
        <v>418.753</v>
      </c>
      <c r="U63" s="78">
        <v>420.37</v>
      </c>
      <c r="V63" s="79">
        <v>422.235</v>
      </c>
      <c r="W63" s="80">
        <v>424.049</v>
      </c>
      <c r="X63" s="80">
        <v>425.922</v>
      </c>
      <c r="Y63" s="86">
        <f>IFERROR(__xludf.DUMMYFUNCTION("""COMPUTED_VALUE"""),427.639)</f>
        <v>427.639</v>
      </c>
      <c r="Z63" s="86">
        <f>IFERROR(__xludf.DUMMYFUNCTION("""COMPUTED_VALUE"""),428.582)</f>
        <v>428.582</v>
      </c>
      <c r="AA63" s="86">
        <f>IFERROR(__xludf.DUMMYFUNCTION("""COMPUTED_VALUE"""),428.668)</f>
        <v>428.668</v>
      </c>
      <c r="AB63" s="86">
        <f>IFERROR(__xludf.DUMMYFUNCTION("""COMPUTED_VALUE"""),429.473)</f>
        <v>429.473</v>
      </c>
      <c r="AC63" s="86">
        <f>IFERROR(__xludf.DUMMYFUNCTION("""COMPUTED_VALUE"""),430.313)</f>
        <v>430.313</v>
      </c>
      <c r="AD63" s="86">
        <v>0.0</v>
      </c>
      <c r="AE63" s="86">
        <v>0.0</v>
      </c>
      <c r="AF63" s="86">
        <v>0.0</v>
      </c>
      <c r="AG63" s="86">
        <v>0.0</v>
      </c>
      <c r="AH63" s="91"/>
      <c r="AI63" s="93">
        <v>1702.0</v>
      </c>
      <c r="AJ63" s="75">
        <v>2034081.0</v>
      </c>
    </row>
    <row r="64" ht="15.75" customHeight="1">
      <c r="T64" s="154"/>
      <c r="U64" s="154"/>
      <c r="V64" s="123"/>
      <c r="W64" s="79"/>
      <c r="X64" s="79"/>
      <c r="Y64" s="123"/>
      <c r="Z64" s="123"/>
      <c r="AA64" s="123"/>
      <c r="AB64" s="123"/>
      <c r="AC64" s="123"/>
      <c r="AD64" s="123"/>
      <c r="AE64" s="123"/>
      <c r="AF64" s="123"/>
      <c r="AG64" s="123"/>
      <c r="AH64" s="1"/>
      <c r="AI64" s="1"/>
    </row>
    <row r="65" ht="15.75" customHeight="1">
      <c r="Y65" s="154"/>
      <c r="Z65" s="154"/>
      <c r="AA65" s="182"/>
      <c r="AB65" s="182"/>
      <c r="AC65" s="154"/>
      <c r="AD65" s="154"/>
      <c r="AE65" s="154"/>
      <c r="AF65" s="154"/>
      <c r="AG65" s="154"/>
    </row>
    <row r="66" ht="15.75" customHeight="1">
      <c r="Y66" s="154"/>
      <c r="Z66" s="154"/>
      <c r="AA66" s="182"/>
      <c r="AB66" s="182"/>
      <c r="AC66" s="154"/>
      <c r="AD66" s="154"/>
      <c r="AE66" s="154"/>
      <c r="AF66" s="154"/>
      <c r="AG66" s="154"/>
    </row>
    <row r="67" ht="15.75" customHeight="1">
      <c r="B67" s="1" t="s">
        <v>255</v>
      </c>
      <c r="T67" s="154"/>
      <c r="U67" s="154"/>
      <c r="V67" s="154"/>
      <c r="W67" s="76"/>
      <c r="X67" s="154"/>
      <c r="Y67" s="154"/>
      <c r="Z67" s="154"/>
      <c r="AA67" s="182"/>
      <c r="AB67" s="182"/>
      <c r="AC67" s="154"/>
      <c r="AD67" s="154"/>
      <c r="AE67" s="154"/>
      <c r="AF67" s="154"/>
      <c r="AG67" s="154"/>
    </row>
    <row r="68" ht="15.75" customHeight="1">
      <c r="T68" s="154"/>
      <c r="U68" s="154"/>
      <c r="V68" s="154"/>
      <c r="W68" s="154"/>
      <c r="X68" s="154"/>
      <c r="Y68" s="154"/>
      <c r="Z68" s="154"/>
      <c r="AA68" s="187"/>
      <c r="AB68" s="187"/>
      <c r="AC68" s="154"/>
      <c r="AD68" s="154"/>
      <c r="AE68" s="154"/>
      <c r="AF68" s="154"/>
      <c r="AG68" s="154"/>
    </row>
    <row r="69" ht="15.75" customHeight="1"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</row>
    <row r="70" ht="15.75" customHeight="1"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</row>
    <row r="71" ht="15.75" customHeight="1"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</row>
    <row r="72" ht="15.75" customHeight="1"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</row>
    <row r="73" ht="15.75" customHeight="1"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</row>
    <row r="74" ht="15.75" customHeight="1"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</row>
    <row r="75" ht="15.75" customHeight="1"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</row>
    <row r="76" ht="15.75" customHeight="1"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</row>
    <row r="77" ht="15.75" customHeight="1"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</row>
    <row r="78" ht="15.75" customHeight="1"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</row>
    <row r="79" ht="15.75" customHeight="1"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</row>
    <row r="80" ht="15.75" customHeight="1"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</row>
    <row r="81" ht="15.75" customHeight="1"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</row>
    <row r="82" ht="15.75" customHeight="1"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</row>
    <row r="83" ht="15.75" customHeight="1"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</row>
    <row r="84" ht="15.75" customHeight="1"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</row>
    <row r="85" ht="15.75" customHeight="1"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</row>
    <row r="86" ht="15.75" customHeight="1"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</row>
    <row r="87" ht="15.75" customHeight="1"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</row>
    <row r="88" ht="15.75" customHeight="1"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</row>
    <row r="89" ht="15.75" customHeight="1"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</row>
    <row r="90" ht="15.75" customHeight="1"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</row>
    <row r="91" ht="15.75" customHeight="1"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</row>
    <row r="92" ht="15.75" customHeight="1"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</row>
    <row r="93" ht="15.75" customHeight="1"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</row>
    <row r="94" ht="15.75" customHeight="1"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</row>
    <row r="95" ht="15.75" customHeight="1"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</row>
    <row r="96" ht="15.75" customHeight="1"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</row>
    <row r="97" ht="15.75" customHeight="1"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</row>
    <row r="98" ht="15.75" customHeight="1"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</row>
    <row r="99" ht="15.75" customHeight="1"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</row>
    <row r="100" ht="15.75" customHeight="1"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</row>
    <row r="101" ht="15.75" customHeight="1"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</row>
    <row r="102" ht="15.75" customHeight="1"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</row>
    <row r="103" ht="15.75" customHeight="1"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</row>
    <row r="104" ht="15.75" customHeight="1"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</row>
    <row r="105" ht="15.75" customHeight="1"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</row>
    <row r="106" ht="15.75" customHeight="1"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</row>
    <row r="107" ht="15.75" customHeight="1"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</row>
    <row r="108" ht="15.75" customHeight="1"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</row>
    <row r="109" ht="15.75" customHeight="1"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</row>
    <row r="110" ht="15.75" customHeight="1"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</row>
    <row r="111" ht="15.75" customHeight="1"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</row>
    <row r="112" ht="15.75" customHeight="1"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</row>
    <row r="113" ht="15.75" customHeight="1"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</row>
    <row r="114" ht="15.75" customHeight="1"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</row>
    <row r="115" ht="15.75" customHeight="1"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</row>
    <row r="116" ht="15.75" customHeight="1"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</row>
    <row r="117" ht="15.75" customHeight="1"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</row>
    <row r="118" ht="15.75" customHeight="1"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</row>
    <row r="119" ht="15.75" customHeight="1"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</row>
    <row r="120" ht="15.75" customHeight="1"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</row>
    <row r="121" ht="15.75" customHeight="1"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</row>
    <row r="122" ht="15.75" customHeight="1"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</row>
    <row r="123" ht="15.75" customHeight="1"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</row>
    <row r="124" ht="15.75" customHeight="1"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</row>
    <row r="125" ht="15.75" customHeight="1"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</row>
    <row r="126" ht="15.75" customHeight="1"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F126" s="154"/>
      <c r="AG126" s="154"/>
    </row>
    <row r="127" ht="15.75" customHeight="1"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</row>
    <row r="128" ht="15.75" customHeight="1"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F128" s="154"/>
      <c r="AG128" s="154"/>
    </row>
    <row r="129" ht="15.75" customHeight="1"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</row>
    <row r="130" ht="15.75" customHeight="1"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F130" s="154"/>
      <c r="AG130" s="154"/>
    </row>
    <row r="131" ht="15.75" customHeight="1"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</row>
    <row r="132" ht="15.75" customHeight="1"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</row>
    <row r="133" ht="15.75" customHeight="1">
      <c r="T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  <c r="AF133" s="154"/>
      <c r="AG133" s="154"/>
    </row>
    <row r="134" ht="15.75" customHeight="1"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F134" s="154"/>
      <c r="AG134" s="154"/>
    </row>
    <row r="135" ht="15.75" customHeight="1"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F135" s="154"/>
      <c r="AG135" s="154"/>
    </row>
    <row r="136" ht="15.75" customHeight="1"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F136" s="154"/>
      <c r="AG136" s="154"/>
    </row>
    <row r="137" ht="15.75" customHeight="1"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  <c r="AG137" s="154"/>
    </row>
    <row r="138" ht="15.75" customHeight="1"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</row>
    <row r="139" ht="15.75" customHeight="1"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F139" s="154"/>
      <c r="AG139" s="154"/>
    </row>
    <row r="140" ht="15.75" customHeight="1"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</row>
    <row r="141" ht="15.75" customHeight="1"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</row>
    <row r="142" ht="15.75" customHeight="1"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</row>
    <row r="143" ht="15.75" customHeight="1"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</row>
    <row r="144" ht="15.75" customHeight="1"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</row>
    <row r="145" ht="15.75" customHeight="1"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</row>
    <row r="146" ht="15.75" customHeight="1"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</row>
    <row r="147" ht="15.75" customHeight="1"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4"/>
    </row>
    <row r="148" ht="15.75" customHeight="1"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</row>
    <row r="149" ht="15.75" customHeight="1"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</row>
    <row r="150" ht="15.75" customHeight="1"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</row>
    <row r="151" ht="15.75" customHeight="1"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/>
    </row>
    <row r="152" ht="15.75" customHeight="1"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</row>
    <row r="153" ht="15.75" customHeight="1"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</row>
    <row r="154" ht="15.75" customHeight="1"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</row>
    <row r="155" ht="15.75" customHeight="1"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</row>
    <row r="156" ht="15.75" customHeight="1"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/>
    </row>
    <row r="157" ht="15.75" customHeight="1"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</row>
    <row r="158" ht="15.75" customHeight="1"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</row>
    <row r="159" ht="15.75" customHeight="1"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</row>
    <row r="160" ht="15.75" customHeight="1"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</row>
    <row r="161" ht="15.75" customHeight="1"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</row>
    <row r="162" ht="15.75" customHeight="1"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</row>
    <row r="163" ht="15.75" customHeight="1"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</row>
    <row r="164" ht="15.75" customHeight="1"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</row>
    <row r="165" ht="15.75" customHeight="1"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54"/>
    </row>
    <row r="166" ht="15.75" customHeight="1"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/>
    </row>
    <row r="167" ht="15.75" customHeight="1"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</row>
    <row r="168" ht="15.75" customHeight="1"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</row>
    <row r="169" ht="15.75" customHeight="1"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</row>
    <row r="170" ht="15.75" customHeight="1"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</row>
    <row r="171" ht="15.75" customHeight="1"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</row>
    <row r="172" ht="15.75" customHeight="1"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</row>
    <row r="173" ht="15.75" customHeight="1"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</row>
    <row r="174" ht="15.75" customHeight="1"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</row>
    <row r="175" ht="15.75" customHeight="1"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</row>
    <row r="176" ht="15.75" customHeight="1"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</row>
    <row r="177" ht="15.75" customHeight="1"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</row>
    <row r="178" ht="15.75" customHeight="1"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</row>
    <row r="179" ht="15.75" customHeight="1"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</row>
    <row r="180" ht="15.75" customHeight="1"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</row>
    <row r="181" ht="15.75" customHeight="1"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</row>
    <row r="182" ht="15.75" customHeight="1"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</row>
    <row r="183" ht="15.75" customHeight="1"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</row>
    <row r="184" ht="15.75" customHeight="1"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</row>
    <row r="185" ht="15.75" customHeight="1"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</row>
    <row r="186" ht="15.75" customHeight="1"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</row>
    <row r="187" ht="15.75" customHeight="1"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</row>
    <row r="188" ht="15.75" customHeight="1"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</row>
    <row r="189" ht="15.75" customHeight="1"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</row>
    <row r="190" ht="15.75" customHeight="1"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</row>
    <row r="191" ht="15.75" customHeight="1"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</row>
    <row r="192" ht="15.75" customHeight="1"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</row>
    <row r="193" ht="15.75" customHeight="1"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</row>
    <row r="194" ht="15.75" customHeight="1"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</row>
    <row r="195" ht="15.75" customHeight="1"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</row>
    <row r="196" ht="15.75" customHeight="1"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</row>
    <row r="197" ht="15.75" customHeight="1"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</row>
    <row r="198" ht="15.75" customHeight="1"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</row>
    <row r="199" ht="15.75" customHeight="1"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</row>
    <row r="200" ht="15.75" customHeight="1"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</row>
    <row r="201" ht="15.75" customHeight="1"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</row>
    <row r="202" ht="15.75" customHeight="1"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</row>
    <row r="203" ht="15.75" customHeight="1"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</row>
    <row r="204" ht="15.75" customHeight="1"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</row>
    <row r="205" ht="15.75" customHeight="1"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</row>
    <row r="206" ht="15.75" customHeight="1"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</row>
    <row r="207" ht="15.75" customHeight="1"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</row>
    <row r="208" ht="15.75" customHeight="1"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</row>
    <row r="209" ht="15.75" customHeight="1"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</row>
    <row r="210" ht="15.75" customHeight="1"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</row>
    <row r="211" ht="15.75" customHeight="1"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</row>
    <row r="212" ht="15.75" customHeight="1"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</row>
    <row r="213" ht="15.75" customHeight="1"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</row>
    <row r="214" ht="15.75" customHeight="1"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</row>
    <row r="215" ht="15.75" customHeight="1"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</row>
    <row r="216" ht="15.75" customHeight="1"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</row>
    <row r="217" ht="15.75" customHeight="1"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</row>
    <row r="218" ht="15.75" customHeight="1"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</row>
    <row r="219" ht="15.75" customHeight="1"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</row>
    <row r="220" ht="15.75" customHeight="1"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</row>
    <row r="221" ht="15.75" customHeight="1"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</row>
    <row r="222" ht="15.75" customHeight="1"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</row>
    <row r="223" ht="15.75" customHeight="1"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</row>
    <row r="224" ht="15.75" customHeight="1"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</row>
    <row r="225" ht="15.75" customHeight="1"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</row>
    <row r="226" ht="15.75" customHeight="1"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</row>
    <row r="227" ht="15.75" customHeight="1"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</row>
    <row r="228" ht="15.75" customHeight="1"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</row>
    <row r="229" ht="15.75" customHeight="1"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</row>
    <row r="230" ht="15.75" customHeight="1"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</row>
    <row r="231" ht="15.75" customHeight="1"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</row>
    <row r="232" ht="15.75" customHeight="1"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</row>
    <row r="233" ht="15.75" customHeight="1"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</row>
    <row r="234" ht="15.75" customHeight="1"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</row>
    <row r="235" ht="15.75" customHeight="1"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</row>
    <row r="236" ht="15.75" customHeight="1"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</row>
    <row r="237" ht="15.75" customHeight="1"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</row>
    <row r="238" ht="15.75" customHeight="1"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</row>
    <row r="239" ht="15.75" customHeight="1"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</row>
    <row r="240" ht="15.75" customHeight="1"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</row>
    <row r="241" ht="15.75" customHeight="1"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</row>
    <row r="242" ht="15.75" customHeight="1"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</row>
    <row r="243" ht="15.75" customHeight="1"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</row>
    <row r="244" ht="15.75" customHeight="1"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</row>
    <row r="245" ht="15.75" customHeight="1"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</row>
    <row r="246" ht="15.75" customHeight="1"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</row>
    <row r="247" ht="15.75" customHeight="1"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</row>
    <row r="248" ht="15.75" customHeight="1"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</row>
    <row r="249" ht="15.75" customHeight="1"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</row>
    <row r="250" ht="15.75" customHeight="1"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</row>
    <row r="251" ht="15.75" customHeight="1"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</row>
    <row r="252" ht="15.75" customHeight="1"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</row>
    <row r="253" ht="15.75" customHeight="1"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</row>
    <row r="254" ht="15.75" customHeight="1"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</row>
    <row r="255" ht="15.75" customHeight="1"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</row>
    <row r="256" ht="15.75" customHeight="1"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</row>
    <row r="257" ht="15.75" customHeight="1"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</row>
    <row r="258" ht="15.75" customHeight="1"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</row>
    <row r="259" ht="15.75" customHeight="1"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</row>
    <row r="260" ht="15.75" customHeight="1"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</row>
    <row r="261" ht="15.75" customHeight="1"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</row>
    <row r="262" ht="15.75" customHeight="1"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</row>
    <row r="263" ht="15.75" customHeight="1"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</row>
    <row r="264" ht="15.75" customHeight="1"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</row>
    <row r="265" ht="15.75" customHeight="1"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</row>
    <row r="266" ht="15.75" customHeight="1"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</row>
    <row r="267" ht="15.75" customHeight="1"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</row>
    <row r="268" ht="15.75" customHeight="1"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</row>
    <row r="269" ht="15.75" customHeight="1"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</row>
    <row r="270" ht="15.75" customHeight="1"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</row>
    <row r="271" ht="15.75" customHeight="1"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</row>
    <row r="272" ht="15.75" customHeight="1"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</row>
    <row r="273" ht="15.75" customHeight="1"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</row>
    <row r="274" ht="15.75" customHeight="1"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</row>
    <row r="275" ht="15.75" customHeight="1"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</row>
    <row r="276" ht="15.75" customHeight="1"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</row>
    <row r="277" ht="15.75" customHeight="1"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</row>
    <row r="278" ht="15.75" customHeight="1"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</row>
    <row r="279" ht="15.75" customHeight="1"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</row>
    <row r="280" ht="15.75" customHeight="1"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</row>
    <row r="281" ht="15.75" customHeight="1"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</row>
    <row r="282" ht="15.75" customHeight="1"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</row>
    <row r="283" ht="15.75" customHeight="1"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</row>
    <row r="284" ht="15.75" customHeight="1"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</row>
    <row r="285" ht="15.75" customHeight="1"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</row>
    <row r="286" ht="15.75" customHeight="1"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</row>
    <row r="287" ht="15.75" customHeight="1"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</row>
    <row r="288" ht="15.75" customHeight="1"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</row>
    <row r="289" ht="15.75" customHeight="1"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</row>
    <row r="290" ht="15.75" customHeight="1"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</row>
    <row r="291" ht="15.75" customHeight="1"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</row>
    <row r="292" ht="15.75" customHeight="1"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</row>
    <row r="293" ht="15.75" customHeight="1"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</row>
    <row r="294" ht="15.75" customHeight="1"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</row>
    <row r="295" ht="15.75" customHeight="1"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</row>
    <row r="296" ht="15.75" customHeight="1"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</row>
    <row r="297" ht="15.75" customHeight="1"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</row>
    <row r="298" ht="15.75" customHeight="1"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</row>
    <row r="299" ht="15.75" customHeight="1"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</row>
    <row r="300" ht="15.75" customHeight="1"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</row>
    <row r="301" ht="15.75" customHeight="1"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</row>
    <row r="302" ht="15.75" customHeight="1"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</row>
    <row r="303" ht="15.75" customHeight="1"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</row>
    <row r="304" ht="15.75" customHeight="1"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</row>
    <row r="305" ht="15.75" customHeight="1"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</row>
    <row r="306" ht="15.75" customHeight="1"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</row>
    <row r="307" ht="15.75" customHeight="1"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</row>
    <row r="308" ht="15.75" customHeight="1"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</row>
    <row r="309" ht="15.75" customHeight="1"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</row>
    <row r="310" ht="15.75" customHeight="1"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</row>
    <row r="311" ht="15.75" customHeight="1"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</row>
    <row r="312" ht="15.75" customHeight="1"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</row>
    <row r="313" ht="15.75" customHeight="1"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54"/>
    </row>
    <row r="314" ht="15.75" customHeight="1"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54"/>
    </row>
    <row r="315" ht="15.75" customHeight="1"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54"/>
    </row>
    <row r="316" ht="15.75" customHeight="1"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154"/>
      <c r="AG316" s="154"/>
    </row>
    <row r="317" ht="15.75" customHeight="1"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154"/>
      <c r="AG317" s="154"/>
    </row>
    <row r="318" ht="15.75" customHeight="1"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  <c r="AF318" s="154"/>
      <c r="AG318" s="154"/>
    </row>
    <row r="319" ht="15.75" customHeight="1"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54"/>
    </row>
    <row r="320" ht="15.75" customHeight="1"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54"/>
    </row>
    <row r="321" ht="15.75" customHeight="1"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54"/>
    </row>
    <row r="322" ht="15.75" customHeight="1"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  <c r="AF322" s="154"/>
      <c r="AG322" s="154"/>
    </row>
    <row r="323" ht="15.75" customHeight="1"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</row>
    <row r="324" ht="15.75" customHeight="1"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54"/>
    </row>
    <row r="325" ht="15.75" customHeight="1"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54"/>
    </row>
    <row r="326" ht="15.75" customHeight="1"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  <c r="AF326" s="154"/>
      <c r="AG326" s="154"/>
    </row>
    <row r="327" ht="15.75" customHeight="1"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  <c r="AF327" s="154"/>
      <c r="AG327" s="154"/>
    </row>
    <row r="328" ht="15.75" customHeight="1"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  <c r="AF328" s="154"/>
      <c r="AG328" s="154"/>
    </row>
    <row r="329" ht="15.75" customHeight="1"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  <c r="AF329" s="154"/>
      <c r="AG329" s="154"/>
    </row>
    <row r="330" ht="15.75" customHeight="1"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  <c r="AF330" s="154"/>
      <c r="AG330" s="154"/>
    </row>
    <row r="331" ht="15.75" customHeight="1">
      <c r="T331" s="154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  <c r="AE331" s="154"/>
      <c r="AF331" s="154"/>
      <c r="AG331" s="154"/>
    </row>
    <row r="332" ht="15.75" customHeight="1"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  <c r="AF332" s="154"/>
      <c r="AG332" s="154"/>
    </row>
    <row r="333" ht="15.75" customHeight="1"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  <c r="AF333" s="154"/>
      <c r="AG333" s="154"/>
    </row>
    <row r="334" ht="15.75" customHeight="1"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4"/>
    </row>
    <row r="335" ht="15.75" customHeight="1">
      <c r="T335" s="154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  <c r="AE335" s="154"/>
      <c r="AF335" s="154"/>
      <c r="AG335" s="154"/>
    </row>
    <row r="336" ht="15.75" customHeight="1"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  <c r="AF336" s="154"/>
      <c r="AG336" s="154"/>
    </row>
    <row r="337" ht="15.75" customHeight="1"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  <c r="AF337" s="154"/>
      <c r="AG337" s="154"/>
    </row>
    <row r="338" ht="15.75" customHeight="1"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  <c r="AF338" s="154"/>
      <c r="AG338" s="154"/>
    </row>
    <row r="339" ht="15.75" customHeight="1">
      <c r="T339" s="154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  <c r="AE339" s="154"/>
      <c r="AF339" s="154"/>
      <c r="AG339" s="154"/>
    </row>
    <row r="340" ht="15.75" customHeight="1"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54"/>
    </row>
    <row r="341" ht="15.75" customHeight="1"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54"/>
    </row>
    <row r="342" ht="15.75" customHeight="1"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54"/>
    </row>
    <row r="343" ht="15.75" customHeight="1"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54"/>
    </row>
    <row r="344" ht="15.75" customHeight="1"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54"/>
    </row>
    <row r="345" ht="15.75" customHeight="1"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  <c r="AF345" s="154"/>
      <c r="AG345" s="154"/>
    </row>
    <row r="346" ht="15.75" customHeight="1"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  <c r="AF346" s="154"/>
      <c r="AG346" s="154"/>
    </row>
    <row r="347" ht="15.75" customHeight="1"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54"/>
    </row>
    <row r="348" ht="15.75" customHeight="1"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/>
    </row>
    <row r="349" ht="15.75" customHeight="1"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54"/>
    </row>
    <row r="350" ht="15.75" customHeight="1"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  <c r="AF350" s="154"/>
      <c r="AG350" s="154"/>
    </row>
    <row r="351" ht="15.75" customHeight="1"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  <c r="AF351" s="154"/>
      <c r="AG351" s="154"/>
    </row>
    <row r="352" ht="15.75" customHeight="1"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54"/>
    </row>
    <row r="353" ht="15.75" customHeight="1"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/>
    </row>
    <row r="354" ht="15.75" customHeight="1"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</row>
    <row r="355" ht="15.75" customHeight="1"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/>
    </row>
    <row r="356" ht="15.75" customHeight="1"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/>
    </row>
    <row r="357" ht="15.75" customHeight="1"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54"/>
    </row>
    <row r="358" ht="15.75" customHeight="1"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54"/>
    </row>
    <row r="359" ht="15.75" customHeight="1"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/>
    </row>
    <row r="360" ht="15.75" customHeight="1"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  <c r="AF360" s="154"/>
      <c r="AG360" s="154"/>
    </row>
    <row r="361" ht="15.75" customHeight="1"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54"/>
    </row>
    <row r="362" ht="15.75" customHeight="1"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54"/>
    </row>
    <row r="363" ht="15.75" customHeight="1"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54"/>
    </row>
    <row r="364" ht="15.75" customHeight="1"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54"/>
    </row>
    <row r="365" ht="15.75" customHeight="1"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  <c r="AF365" s="154"/>
      <c r="AG365" s="154"/>
    </row>
    <row r="366" ht="15.75" customHeight="1"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54"/>
    </row>
    <row r="367" ht="15.75" customHeight="1"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54"/>
    </row>
    <row r="368" ht="15.75" customHeight="1"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54"/>
    </row>
    <row r="369" ht="15.75" customHeight="1"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54"/>
    </row>
    <row r="370" ht="15.75" customHeight="1"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/>
    </row>
    <row r="371" ht="15.75" customHeight="1"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/>
    </row>
    <row r="372" ht="15.75" customHeight="1"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/>
    </row>
    <row r="373" ht="15.75" customHeight="1"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/>
    </row>
    <row r="374" ht="15.75" customHeight="1"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</row>
    <row r="375" ht="15.75" customHeight="1"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</row>
    <row r="376" ht="15.75" customHeight="1"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</row>
    <row r="377" ht="15.75" customHeight="1"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</row>
    <row r="378" ht="15.75" customHeight="1"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</row>
    <row r="379" ht="15.75" customHeight="1"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</row>
    <row r="380" ht="15.75" customHeight="1"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</row>
    <row r="381" ht="15.75" customHeight="1"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</row>
    <row r="382" ht="15.75" customHeight="1"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</row>
    <row r="383" ht="15.75" customHeight="1"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</row>
    <row r="384" ht="15.75" customHeight="1"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</row>
    <row r="385" ht="15.75" customHeight="1"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  <c r="AF385" s="154"/>
      <c r="AG385" s="154"/>
    </row>
    <row r="386" ht="15.75" customHeight="1"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</row>
    <row r="387" ht="15.75" customHeight="1"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</row>
    <row r="388" ht="15.75" customHeight="1"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</row>
    <row r="389" ht="15.75" customHeight="1"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</row>
    <row r="390" ht="15.75" customHeight="1"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</row>
    <row r="391" ht="15.75" customHeight="1"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  <c r="AF391" s="154"/>
      <c r="AG391" s="154"/>
    </row>
    <row r="392" ht="15.75" customHeight="1"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54"/>
    </row>
    <row r="393" ht="15.75" customHeight="1"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54"/>
    </row>
    <row r="394" ht="15.75" customHeight="1"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54"/>
    </row>
    <row r="395" ht="15.75" customHeight="1"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/>
    </row>
    <row r="396" ht="15.75" customHeight="1"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/>
    </row>
    <row r="397" ht="15.75" customHeight="1"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54"/>
    </row>
    <row r="398" ht="15.75" customHeight="1"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54"/>
    </row>
    <row r="399" ht="15.75" customHeight="1"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  <c r="AF399" s="154"/>
      <c r="AG399" s="154"/>
    </row>
    <row r="400" ht="15.75" customHeight="1"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  <c r="AF400" s="154"/>
      <c r="AG400" s="154"/>
    </row>
    <row r="401" ht="15.75" customHeight="1">
      <c r="T401" s="154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  <c r="AE401" s="154"/>
      <c r="AF401" s="154"/>
      <c r="AG401" s="154"/>
    </row>
    <row r="402" ht="15.75" customHeight="1"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  <c r="AF402" s="154"/>
      <c r="AG402" s="154"/>
    </row>
    <row r="403" ht="15.75" customHeight="1"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  <c r="AF403" s="154"/>
      <c r="AG403" s="154"/>
    </row>
    <row r="404" ht="15.75" customHeight="1"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  <c r="AF404" s="154"/>
      <c r="AG404" s="154"/>
    </row>
    <row r="405" ht="15.75" customHeight="1">
      <c r="T405" s="154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  <c r="AE405" s="154"/>
      <c r="AF405" s="154"/>
      <c r="AG405" s="154"/>
    </row>
    <row r="406" ht="15.75" customHeight="1"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  <c r="AF406" s="154"/>
      <c r="AG406" s="154"/>
    </row>
    <row r="407" ht="15.75" customHeight="1"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  <c r="AF407" s="154"/>
      <c r="AG407" s="154"/>
    </row>
    <row r="408" ht="15.75" customHeight="1"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  <c r="AF408" s="154"/>
      <c r="AG408" s="154"/>
    </row>
    <row r="409" ht="15.75" customHeight="1">
      <c r="T409" s="154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  <c r="AE409" s="154"/>
      <c r="AF409" s="154"/>
      <c r="AG409" s="154"/>
    </row>
    <row r="410" ht="15.75" customHeight="1"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  <c r="AF410" s="154"/>
      <c r="AG410" s="154"/>
    </row>
    <row r="411" ht="15.75" customHeight="1"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  <c r="AF411" s="154"/>
      <c r="AG411" s="154"/>
    </row>
    <row r="412" ht="15.75" customHeight="1"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  <c r="AF412" s="154"/>
      <c r="AG412" s="154"/>
    </row>
    <row r="413" ht="15.75" customHeight="1"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  <c r="AF413" s="154"/>
      <c r="AG413" s="154"/>
    </row>
    <row r="414" ht="15.75" customHeight="1">
      <c r="T414" s="154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  <c r="AE414" s="154"/>
      <c r="AF414" s="154"/>
      <c r="AG414" s="154"/>
    </row>
    <row r="415" ht="15.75" customHeight="1"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54"/>
    </row>
    <row r="416" ht="15.75" customHeight="1"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  <c r="AF416" s="154"/>
      <c r="AG416" s="154"/>
    </row>
    <row r="417" ht="15.75" customHeight="1"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54"/>
    </row>
    <row r="418" ht="15.75" customHeight="1">
      <c r="T418" s="154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  <c r="AE418" s="154"/>
      <c r="AF418" s="154"/>
      <c r="AG418" s="154"/>
    </row>
    <row r="419" ht="15.75" customHeight="1">
      <c r="T419" s="154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  <c r="AE419" s="154"/>
      <c r="AF419" s="154"/>
      <c r="AG419" s="154"/>
    </row>
    <row r="420" ht="15.75" customHeight="1">
      <c r="T420" s="154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  <c r="AE420" s="154"/>
      <c r="AF420" s="154"/>
      <c r="AG420" s="154"/>
    </row>
    <row r="421" ht="15.75" customHeight="1"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  <c r="AF421" s="154"/>
      <c r="AG421" s="154"/>
    </row>
    <row r="422" ht="15.75" customHeight="1">
      <c r="T422" s="154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  <c r="AE422" s="154"/>
      <c r="AF422" s="154"/>
      <c r="AG422" s="154"/>
    </row>
    <row r="423" ht="15.75" customHeight="1">
      <c r="T423" s="154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  <c r="AE423" s="154"/>
      <c r="AF423" s="154"/>
      <c r="AG423" s="154"/>
    </row>
    <row r="424" ht="15.75" customHeight="1">
      <c r="T424" s="154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  <c r="AE424" s="154"/>
      <c r="AF424" s="154"/>
      <c r="AG424" s="154"/>
    </row>
    <row r="425" ht="15.75" customHeight="1">
      <c r="T425" s="154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  <c r="AE425" s="154"/>
      <c r="AF425" s="154"/>
      <c r="AG425" s="154"/>
    </row>
    <row r="426" ht="15.75" customHeight="1">
      <c r="T426" s="154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  <c r="AE426" s="154"/>
      <c r="AF426" s="154"/>
      <c r="AG426" s="154"/>
    </row>
    <row r="427" ht="15.75" customHeight="1"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  <c r="AF427" s="154"/>
      <c r="AG427" s="154"/>
    </row>
    <row r="428" ht="15.75" customHeight="1">
      <c r="T428" s="154"/>
      <c r="U428" s="154"/>
      <c r="V428" s="154"/>
      <c r="W428" s="154"/>
      <c r="X428" s="154"/>
      <c r="Y428" s="154"/>
      <c r="Z428" s="154"/>
      <c r="AA428" s="154"/>
      <c r="AB428" s="154"/>
      <c r="AC428" s="154"/>
      <c r="AD428" s="154"/>
      <c r="AE428" s="154"/>
      <c r="AF428" s="154"/>
      <c r="AG428" s="154"/>
    </row>
    <row r="429" ht="15.75" customHeight="1"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  <c r="AF429" s="154"/>
      <c r="AG429" s="154"/>
    </row>
    <row r="430" ht="15.75" customHeight="1">
      <c r="T430" s="154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  <c r="AE430" s="154"/>
      <c r="AF430" s="154"/>
      <c r="AG430" s="154"/>
    </row>
    <row r="431" ht="15.75" customHeight="1">
      <c r="T431" s="154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  <c r="AE431" s="154"/>
      <c r="AF431" s="154"/>
      <c r="AG431" s="154"/>
    </row>
    <row r="432" ht="15.75" customHeight="1">
      <c r="T432" s="154"/>
      <c r="U432" s="154"/>
      <c r="V432" s="154"/>
      <c r="W432" s="154"/>
      <c r="X432" s="154"/>
      <c r="Y432" s="154"/>
      <c r="Z432" s="154"/>
      <c r="AA432" s="154"/>
      <c r="AB432" s="154"/>
      <c r="AC432" s="154"/>
      <c r="AD432" s="154"/>
      <c r="AE432" s="154"/>
      <c r="AF432" s="154"/>
      <c r="AG432" s="154"/>
    </row>
    <row r="433" ht="15.75" customHeight="1">
      <c r="T433" s="154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  <c r="AE433" s="154"/>
      <c r="AF433" s="154"/>
      <c r="AG433" s="154"/>
    </row>
    <row r="434" ht="15.75" customHeight="1">
      <c r="T434" s="154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  <c r="AE434" s="154"/>
      <c r="AF434" s="154"/>
      <c r="AG434" s="154"/>
    </row>
    <row r="435" ht="15.75" customHeight="1">
      <c r="T435" s="154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  <c r="AE435" s="154"/>
      <c r="AF435" s="154"/>
      <c r="AG435" s="154"/>
    </row>
    <row r="436" ht="15.75" customHeight="1">
      <c r="T436" s="154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  <c r="AE436" s="154"/>
      <c r="AF436" s="154"/>
      <c r="AG436" s="154"/>
    </row>
    <row r="437" ht="15.75" customHeight="1">
      <c r="T437" s="154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  <c r="AE437" s="154"/>
      <c r="AF437" s="154"/>
      <c r="AG437" s="154"/>
    </row>
    <row r="438" ht="15.75" customHeight="1"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4"/>
    </row>
    <row r="439" ht="15.75" customHeight="1">
      <c r="T439" s="154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  <c r="AE439" s="154"/>
      <c r="AF439" s="154"/>
      <c r="AG439" s="154"/>
    </row>
    <row r="440" ht="15.75" customHeight="1">
      <c r="T440" s="154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  <c r="AE440" s="154"/>
      <c r="AF440" s="154"/>
      <c r="AG440" s="154"/>
    </row>
    <row r="441" ht="15.75" customHeight="1">
      <c r="T441" s="154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  <c r="AE441" s="154"/>
      <c r="AF441" s="154"/>
      <c r="AG441" s="154"/>
    </row>
    <row r="442" ht="15.75" customHeight="1">
      <c r="T442" s="154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  <c r="AE442" s="154"/>
      <c r="AF442" s="154"/>
      <c r="AG442" s="154"/>
    </row>
    <row r="443" ht="15.75" customHeight="1">
      <c r="T443" s="154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  <c r="AE443" s="154"/>
      <c r="AF443" s="154"/>
      <c r="AG443" s="154"/>
    </row>
    <row r="444" ht="15.75" customHeight="1">
      <c r="T444" s="154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  <c r="AE444" s="154"/>
      <c r="AF444" s="154"/>
      <c r="AG444" s="154"/>
    </row>
    <row r="445" ht="15.75" customHeight="1">
      <c r="T445" s="154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  <c r="AE445" s="154"/>
      <c r="AF445" s="154"/>
      <c r="AG445" s="154"/>
    </row>
    <row r="446" ht="15.75" customHeight="1">
      <c r="T446" s="154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  <c r="AE446" s="154"/>
      <c r="AF446" s="154"/>
      <c r="AG446" s="154"/>
    </row>
    <row r="447" ht="15.75" customHeight="1">
      <c r="T447" s="154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  <c r="AE447" s="154"/>
      <c r="AF447" s="154"/>
      <c r="AG447" s="154"/>
    </row>
    <row r="448" ht="15.75" customHeight="1">
      <c r="T448" s="154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  <c r="AE448" s="154"/>
      <c r="AF448" s="154"/>
      <c r="AG448" s="154"/>
    </row>
    <row r="449" ht="15.75" customHeight="1">
      <c r="T449" s="154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  <c r="AE449" s="154"/>
      <c r="AF449" s="154"/>
      <c r="AG449" s="154"/>
    </row>
    <row r="450" ht="15.75" customHeight="1">
      <c r="T450" s="154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  <c r="AE450" s="154"/>
      <c r="AF450" s="154"/>
      <c r="AG450" s="154"/>
    </row>
    <row r="451" ht="15.75" customHeight="1"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  <c r="AF451" s="154"/>
      <c r="AG451" s="154"/>
    </row>
    <row r="452" ht="15.75" customHeight="1">
      <c r="T452" s="154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  <c r="AE452" s="154"/>
      <c r="AF452" s="154"/>
      <c r="AG452" s="154"/>
    </row>
    <row r="453" ht="15.75" customHeight="1">
      <c r="T453" s="154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  <c r="AE453" s="154"/>
      <c r="AF453" s="154"/>
      <c r="AG453" s="154"/>
    </row>
    <row r="454" ht="15.75" customHeight="1">
      <c r="T454" s="154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  <c r="AE454" s="154"/>
      <c r="AF454" s="154"/>
      <c r="AG454" s="154"/>
    </row>
    <row r="455" ht="15.75" customHeight="1">
      <c r="T455" s="154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  <c r="AE455" s="154"/>
      <c r="AF455" s="154"/>
      <c r="AG455" s="154"/>
    </row>
    <row r="456" ht="15.75" customHeight="1">
      <c r="T456" s="154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  <c r="AE456" s="154"/>
      <c r="AF456" s="154"/>
      <c r="AG456" s="154"/>
    </row>
    <row r="457" ht="15.75" customHeight="1">
      <c r="T457" s="154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  <c r="AE457" s="154"/>
      <c r="AF457" s="154"/>
      <c r="AG457" s="154"/>
    </row>
    <row r="458" ht="15.75" customHeight="1">
      <c r="T458" s="154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  <c r="AE458" s="154"/>
      <c r="AF458" s="154"/>
      <c r="AG458" s="154"/>
    </row>
    <row r="459" ht="15.75" customHeight="1">
      <c r="T459" s="154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  <c r="AE459" s="154"/>
      <c r="AF459" s="154"/>
      <c r="AG459" s="154"/>
    </row>
    <row r="460" ht="15.75" customHeight="1">
      <c r="T460" s="154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  <c r="AE460" s="154"/>
      <c r="AF460" s="154"/>
      <c r="AG460" s="154"/>
    </row>
    <row r="461" ht="15.75" customHeight="1">
      <c r="T461" s="154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  <c r="AE461" s="154"/>
      <c r="AF461" s="154"/>
      <c r="AG461" s="154"/>
    </row>
    <row r="462" ht="15.75" customHeight="1">
      <c r="T462" s="154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  <c r="AE462" s="154"/>
      <c r="AF462" s="154"/>
      <c r="AG462" s="154"/>
    </row>
    <row r="463" ht="15.75" customHeight="1">
      <c r="T463" s="154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  <c r="AE463" s="154"/>
      <c r="AF463" s="154"/>
      <c r="AG463" s="154"/>
    </row>
    <row r="464" ht="15.75" customHeight="1">
      <c r="T464" s="154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  <c r="AE464" s="154"/>
      <c r="AF464" s="154"/>
      <c r="AG464" s="154"/>
    </row>
    <row r="465" ht="15.75" customHeight="1">
      <c r="T465" s="154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  <c r="AE465" s="154"/>
      <c r="AF465" s="154"/>
      <c r="AG465" s="154"/>
    </row>
    <row r="466" ht="15.75" customHeight="1">
      <c r="T466" s="154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  <c r="AE466" s="154"/>
      <c r="AF466" s="154"/>
      <c r="AG466" s="154"/>
    </row>
    <row r="467" ht="15.75" customHeight="1">
      <c r="T467" s="154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  <c r="AE467" s="154"/>
      <c r="AF467" s="154"/>
      <c r="AG467" s="154"/>
    </row>
    <row r="468" ht="15.75" customHeight="1">
      <c r="T468" s="154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  <c r="AE468" s="154"/>
      <c r="AF468" s="154"/>
      <c r="AG468" s="154"/>
    </row>
    <row r="469" ht="15.75" customHeight="1">
      <c r="T469" s="154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  <c r="AE469" s="154"/>
      <c r="AF469" s="154"/>
      <c r="AG469" s="154"/>
    </row>
    <row r="470" ht="15.75" customHeight="1">
      <c r="T470" s="154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  <c r="AE470" s="154"/>
      <c r="AF470" s="154"/>
      <c r="AG470" s="154"/>
    </row>
    <row r="471" ht="15.75" customHeight="1">
      <c r="T471" s="154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  <c r="AE471" s="154"/>
      <c r="AF471" s="154"/>
      <c r="AG471" s="154"/>
    </row>
    <row r="472" ht="15.75" customHeight="1">
      <c r="T472" s="154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  <c r="AE472" s="154"/>
      <c r="AF472" s="154"/>
      <c r="AG472" s="154"/>
    </row>
    <row r="473" ht="15.75" customHeight="1">
      <c r="T473" s="154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  <c r="AE473" s="154"/>
      <c r="AF473" s="154"/>
      <c r="AG473" s="154"/>
    </row>
    <row r="474" ht="15.75" customHeight="1">
      <c r="T474" s="154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  <c r="AE474" s="154"/>
      <c r="AF474" s="154"/>
      <c r="AG474" s="154"/>
    </row>
    <row r="475" ht="15.75" customHeight="1">
      <c r="T475" s="154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  <c r="AE475" s="154"/>
      <c r="AF475" s="154"/>
      <c r="AG475" s="154"/>
    </row>
    <row r="476" ht="15.75" customHeight="1">
      <c r="T476" s="154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  <c r="AE476" s="154"/>
      <c r="AF476" s="154"/>
      <c r="AG476" s="154"/>
    </row>
    <row r="477" ht="15.75" customHeight="1">
      <c r="T477" s="154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  <c r="AE477" s="154"/>
      <c r="AF477" s="154"/>
      <c r="AG477" s="154"/>
    </row>
    <row r="478" ht="15.75" customHeight="1">
      <c r="T478" s="154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  <c r="AE478" s="154"/>
      <c r="AF478" s="154"/>
      <c r="AG478" s="154"/>
    </row>
    <row r="479" ht="15.75" customHeight="1">
      <c r="T479" s="154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  <c r="AE479" s="154"/>
      <c r="AF479" s="154"/>
      <c r="AG479" s="154"/>
    </row>
    <row r="480" ht="15.75" customHeight="1">
      <c r="T480" s="154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  <c r="AE480" s="154"/>
      <c r="AF480" s="154"/>
      <c r="AG480" s="154"/>
    </row>
    <row r="481" ht="15.75" customHeight="1">
      <c r="T481" s="154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  <c r="AE481" s="154"/>
      <c r="AF481" s="154"/>
      <c r="AG481" s="154"/>
    </row>
    <row r="482" ht="15.75" customHeight="1"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  <c r="AF482" s="154"/>
      <c r="AG482" s="154"/>
    </row>
    <row r="483" ht="15.75" customHeight="1">
      <c r="T483" s="154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  <c r="AE483" s="154"/>
      <c r="AF483" s="154"/>
      <c r="AG483" s="154"/>
    </row>
    <row r="484" ht="15.75" customHeight="1">
      <c r="T484" s="154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  <c r="AE484" s="154"/>
      <c r="AF484" s="154"/>
      <c r="AG484" s="154"/>
    </row>
    <row r="485" ht="15.75" customHeight="1">
      <c r="T485" s="154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  <c r="AE485" s="154"/>
      <c r="AF485" s="154"/>
      <c r="AG485" s="154"/>
    </row>
    <row r="486" ht="15.75" customHeight="1">
      <c r="T486" s="154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  <c r="AE486" s="154"/>
      <c r="AF486" s="154"/>
      <c r="AG486" s="154"/>
    </row>
    <row r="487" ht="15.75" customHeight="1">
      <c r="T487" s="154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  <c r="AE487" s="154"/>
      <c r="AF487" s="154"/>
      <c r="AG487" s="154"/>
    </row>
    <row r="488" ht="15.75" customHeight="1">
      <c r="T488" s="154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  <c r="AE488" s="154"/>
      <c r="AF488" s="154"/>
      <c r="AG488" s="154"/>
    </row>
    <row r="489" ht="15.75" customHeight="1">
      <c r="T489" s="154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  <c r="AE489" s="154"/>
      <c r="AF489" s="154"/>
      <c r="AG489" s="154"/>
    </row>
    <row r="490" ht="15.75" customHeight="1"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4"/>
    </row>
    <row r="491" ht="15.75" customHeight="1">
      <c r="T491" s="154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  <c r="AE491" s="154"/>
      <c r="AF491" s="154"/>
      <c r="AG491" s="154"/>
    </row>
    <row r="492" ht="15.75" customHeight="1">
      <c r="T492" s="154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  <c r="AE492" s="154"/>
      <c r="AF492" s="154"/>
      <c r="AG492" s="154"/>
    </row>
    <row r="493" ht="15.75" customHeight="1">
      <c r="T493" s="154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  <c r="AE493" s="154"/>
      <c r="AF493" s="154"/>
      <c r="AG493" s="154"/>
    </row>
    <row r="494" ht="15.75" customHeight="1">
      <c r="T494" s="154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  <c r="AE494" s="154"/>
      <c r="AF494" s="154"/>
      <c r="AG494" s="154"/>
    </row>
    <row r="495" ht="15.75" customHeight="1">
      <c r="T495" s="154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  <c r="AE495" s="154"/>
      <c r="AF495" s="154"/>
      <c r="AG495" s="154"/>
    </row>
    <row r="496" ht="15.75" customHeight="1">
      <c r="T496" s="154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  <c r="AE496" s="154"/>
      <c r="AF496" s="154"/>
      <c r="AG496" s="154"/>
    </row>
    <row r="497" ht="15.75" customHeight="1"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/>
      <c r="AF497" s="154"/>
      <c r="AG497" s="154"/>
    </row>
    <row r="498" ht="15.75" customHeight="1"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/>
      <c r="AF498" s="154"/>
      <c r="AG498" s="154"/>
    </row>
    <row r="499" ht="15.75" customHeight="1"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/>
      <c r="AF499" s="154"/>
      <c r="AG499" s="154"/>
    </row>
    <row r="500" ht="15.75" customHeight="1"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/>
      <c r="AF500" s="154"/>
      <c r="AG500" s="154"/>
    </row>
    <row r="501" ht="15.75" customHeight="1"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/>
      <c r="AF501" s="154"/>
      <c r="AG501" s="154"/>
    </row>
    <row r="502" ht="15.75" customHeight="1"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  <c r="AF502" s="154"/>
      <c r="AG502" s="154"/>
    </row>
    <row r="503" ht="15.75" customHeight="1"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  <c r="AF503" s="154"/>
      <c r="AG503" s="154"/>
    </row>
    <row r="504" ht="15.75" customHeight="1"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  <c r="AF504" s="154"/>
      <c r="AG504" s="154"/>
    </row>
    <row r="505" ht="15.75" customHeight="1"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  <c r="AF505" s="154"/>
      <c r="AG505" s="154"/>
    </row>
    <row r="506" ht="15.75" customHeight="1"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  <c r="AF506" s="154"/>
      <c r="AG506" s="154"/>
    </row>
    <row r="507" ht="15.75" customHeight="1"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  <c r="AF507" s="154"/>
      <c r="AG507" s="154"/>
    </row>
    <row r="508" ht="15.75" customHeight="1"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  <c r="AF508" s="154"/>
      <c r="AG508" s="154"/>
    </row>
    <row r="509" ht="15.75" customHeight="1"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  <c r="AF509" s="154"/>
      <c r="AG509" s="154"/>
    </row>
    <row r="510" ht="15.75" customHeight="1"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  <c r="AF510" s="154"/>
      <c r="AG510" s="154"/>
    </row>
    <row r="511" ht="15.75" customHeight="1"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  <c r="AF511" s="154"/>
      <c r="AG511" s="154"/>
    </row>
    <row r="512" ht="15.75" customHeight="1"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  <c r="AF512" s="154"/>
      <c r="AG512" s="154"/>
    </row>
    <row r="513" ht="15.75" customHeight="1"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  <c r="AF513" s="154"/>
      <c r="AG513" s="154"/>
    </row>
    <row r="514" ht="15.75" customHeight="1"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  <c r="AF514" s="154"/>
      <c r="AG514" s="154"/>
    </row>
    <row r="515" ht="15.75" customHeight="1"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154"/>
    </row>
    <row r="516" ht="15.75" customHeight="1"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  <c r="AF516" s="154"/>
      <c r="AG516" s="154"/>
    </row>
    <row r="517" ht="15.75" customHeight="1"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  <c r="AF517" s="154"/>
      <c r="AG517" s="154"/>
    </row>
    <row r="518" ht="15.75" customHeight="1"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  <c r="AF518" s="154"/>
      <c r="AG518" s="154"/>
    </row>
    <row r="519" ht="15.75" customHeight="1"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  <c r="AF519" s="154"/>
      <c r="AG519" s="154"/>
    </row>
    <row r="520" ht="15.75" customHeight="1"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  <c r="AF520" s="154"/>
      <c r="AG520" s="154"/>
    </row>
    <row r="521" ht="15.75" customHeight="1"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  <c r="AF521" s="154"/>
      <c r="AG521" s="154"/>
    </row>
    <row r="522" ht="15.75" customHeight="1"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  <c r="AF522" s="154"/>
      <c r="AG522" s="154"/>
    </row>
    <row r="523" ht="15.75" customHeight="1"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  <c r="AF523" s="154"/>
      <c r="AG523" s="154"/>
    </row>
    <row r="524" ht="15.75" customHeight="1"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  <c r="AF524" s="154"/>
      <c r="AG524" s="154"/>
    </row>
    <row r="525" ht="15.75" customHeight="1"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  <c r="AF525" s="154"/>
      <c r="AG525" s="154"/>
    </row>
    <row r="526" ht="15.75" customHeight="1"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  <c r="AF526" s="154"/>
      <c r="AG526" s="154"/>
    </row>
    <row r="527" ht="15.75" customHeight="1"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  <c r="AF527" s="154"/>
      <c r="AG527" s="154"/>
    </row>
    <row r="528" ht="15.75" customHeight="1"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  <c r="AF528" s="154"/>
      <c r="AG528" s="154"/>
    </row>
    <row r="529" ht="15.75" customHeight="1"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  <c r="AF529" s="154"/>
      <c r="AG529" s="154"/>
    </row>
    <row r="530" ht="15.75" customHeight="1"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154"/>
    </row>
    <row r="531" ht="15.75" customHeight="1"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154"/>
    </row>
    <row r="532" ht="15.75" customHeight="1"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154"/>
    </row>
    <row r="533" ht="15.75" customHeight="1"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154"/>
    </row>
    <row r="534" ht="15.75" customHeight="1"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  <c r="AF534" s="154"/>
      <c r="AG534" s="154"/>
    </row>
    <row r="535" ht="15.75" customHeight="1"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154"/>
    </row>
    <row r="536" ht="15.75" customHeight="1"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154"/>
    </row>
    <row r="537" ht="15.75" customHeight="1"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  <c r="AF537" s="154"/>
      <c r="AG537" s="154"/>
    </row>
    <row r="538" ht="15.75" customHeight="1"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154"/>
    </row>
    <row r="539" ht="15.75" customHeight="1"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154"/>
    </row>
    <row r="540" ht="15.75" customHeight="1"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154"/>
    </row>
    <row r="541" ht="15.75" customHeight="1"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154"/>
    </row>
    <row r="542" ht="15.75" customHeight="1"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154"/>
    </row>
    <row r="543" ht="15.75" customHeight="1"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  <c r="AF543" s="154"/>
      <c r="AG543" s="154"/>
    </row>
    <row r="544" ht="15.75" customHeight="1"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  <c r="AF544" s="154"/>
      <c r="AG544" s="154"/>
    </row>
    <row r="545" ht="15.75" customHeight="1"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  <c r="AF545" s="154"/>
      <c r="AG545" s="154"/>
    </row>
    <row r="546" ht="15.75" customHeight="1"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154"/>
    </row>
    <row r="547" ht="15.75" customHeight="1"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  <c r="AF547" s="154"/>
      <c r="AG547" s="154"/>
    </row>
    <row r="548" ht="15.75" customHeight="1"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  <c r="AF548" s="154"/>
      <c r="AG548" s="154"/>
    </row>
    <row r="549" ht="15.75" customHeight="1"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  <c r="AF549" s="154"/>
      <c r="AG549" s="154"/>
    </row>
    <row r="550" ht="15.75" customHeight="1"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  <c r="AF550" s="154"/>
      <c r="AG550" s="154"/>
    </row>
    <row r="551" ht="15.75" customHeight="1"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  <c r="AF551" s="154"/>
      <c r="AG551" s="154"/>
    </row>
    <row r="552" ht="15.75" customHeight="1"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  <c r="AF552" s="154"/>
      <c r="AG552" s="154"/>
    </row>
    <row r="553" ht="15.75" customHeight="1"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  <c r="AF553" s="154"/>
      <c r="AG553" s="154"/>
    </row>
    <row r="554" ht="15.75" customHeight="1"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  <c r="AF554" s="154"/>
      <c r="AG554" s="154"/>
    </row>
    <row r="555" ht="15.75" customHeight="1"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  <c r="AF555" s="154"/>
      <c r="AG555" s="154"/>
    </row>
    <row r="556" ht="15.75" customHeight="1"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  <c r="AF556" s="154"/>
      <c r="AG556" s="154"/>
    </row>
    <row r="557" ht="15.75" customHeight="1"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  <c r="AF557" s="154"/>
      <c r="AG557" s="154"/>
    </row>
    <row r="558" ht="15.75" customHeight="1"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  <c r="AF558" s="154"/>
      <c r="AG558" s="154"/>
    </row>
    <row r="559" ht="15.75" customHeight="1"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  <c r="AF559" s="154"/>
      <c r="AG559" s="154"/>
    </row>
    <row r="560" ht="15.75" customHeight="1"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  <c r="AF560" s="154"/>
      <c r="AG560" s="154"/>
    </row>
    <row r="561" ht="15.75" customHeight="1"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  <c r="AF561" s="154"/>
      <c r="AG561" s="154"/>
    </row>
    <row r="562" ht="15.75" customHeight="1"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154"/>
    </row>
    <row r="563" ht="15.75" customHeight="1"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154"/>
    </row>
    <row r="564" ht="15.75" customHeight="1"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  <c r="AF564" s="154"/>
      <c r="AG564" s="154"/>
    </row>
    <row r="565" ht="15.75" customHeight="1"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154"/>
    </row>
    <row r="566" ht="15.75" customHeight="1"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154"/>
    </row>
    <row r="567" ht="15.75" customHeight="1"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154"/>
    </row>
    <row r="568" ht="15.75" customHeight="1"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154"/>
    </row>
    <row r="569" ht="15.75" customHeight="1"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154"/>
    </row>
    <row r="570" ht="15.75" customHeight="1"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  <c r="AF570" s="154"/>
      <c r="AG570" s="154"/>
    </row>
    <row r="571" ht="15.75" customHeight="1"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  <c r="AF571" s="154"/>
      <c r="AG571" s="154"/>
    </row>
    <row r="572" ht="15.75" customHeight="1"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  <c r="AF572" s="154"/>
      <c r="AG572" s="154"/>
    </row>
    <row r="573" ht="15.75" customHeight="1"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  <c r="AF573" s="154"/>
      <c r="AG573" s="154"/>
    </row>
    <row r="574" ht="15.75" customHeight="1"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  <c r="AF574" s="154"/>
      <c r="AG574" s="154"/>
    </row>
    <row r="575" ht="15.75" customHeight="1"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  <c r="AF575" s="154"/>
      <c r="AG575" s="154"/>
    </row>
    <row r="576" ht="15.75" customHeight="1"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  <c r="AF576" s="154"/>
      <c r="AG576" s="154"/>
    </row>
    <row r="577" ht="15.75" customHeight="1"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  <c r="AF577" s="154"/>
      <c r="AG577" s="154"/>
    </row>
    <row r="578" ht="15.75" customHeight="1"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  <c r="AF578" s="154"/>
      <c r="AG578" s="154"/>
    </row>
    <row r="579" ht="15.75" customHeight="1"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154"/>
    </row>
    <row r="580" ht="15.75" customHeight="1"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  <c r="AF580" s="154"/>
      <c r="AG580" s="154"/>
    </row>
    <row r="581" ht="15.75" customHeight="1"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  <c r="AF581" s="154"/>
      <c r="AG581" s="154"/>
    </row>
    <row r="582" ht="15.75" customHeight="1"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  <c r="AF582" s="154"/>
      <c r="AG582" s="154"/>
    </row>
    <row r="583" ht="15.75" customHeight="1"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  <c r="AF583" s="154"/>
      <c r="AG583" s="154"/>
    </row>
    <row r="584" ht="15.75" customHeight="1"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  <c r="AF584" s="154"/>
      <c r="AG584" s="154"/>
    </row>
    <row r="585" ht="15.75" customHeight="1"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  <c r="AF585" s="154"/>
      <c r="AG585" s="154"/>
    </row>
    <row r="586" ht="15.75" customHeight="1"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  <c r="AF586" s="154"/>
      <c r="AG586" s="154"/>
    </row>
    <row r="587" ht="15.75" customHeight="1"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  <c r="AF587" s="154"/>
      <c r="AG587" s="154"/>
    </row>
    <row r="588" ht="15.75" customHeight="1"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  <c r="AF588" s="154"/>
      <c r="AG588" s="154"/>
    </row>
    <row r="589" ht="15.75" customHeight="1"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  <c r="AF589" s="154"/>
      <c r="AG589" s="154"/>
    </row>
    <row r="590" ht="15.75" customHeight="1"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  <c r="AF590" s="154"/>
      <c r="AG590" s="154"/>
    </row>
    <row r="591" ht="15.75" customHeight="1"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  <c r="AF591" s="154"/>
      <c r="AG591" s="154"/>
    </row>
    <row r="592" ht="15.75" customHeight="1"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  <c r="AF592" s="154"/>
      <c r="AG592" s="154"/>
    </row>
    <row r="593" ht="15.75" customHeight="1"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  <c r="AF593" s="154"/>
      <c r="AG593" s="154"/>
    </row>
    <row r="594" ht="15.75" customHeight="1"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  <c r="AF594" s="154"/>
      <c r="AG594" s="154"/>
    </row>
    <row r="595" ht="15.75" customHeight="1"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  <c r="AF595" s="154"/>
      <c r="AG595" s="154"/>
    </row>
    <row r="596" ht="15.75" customHeight="1"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  <c r="AF596" s="154"/>
      <c r="AG596" s="154"/>
    </row>
    <row r="597" ht="15.75" customHeight="1"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  <c r="AF597" s="154"/>
      <c r="AG597" s="154"/>
    </row>
    <row r="598" ht="15.75" customHeight="1"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154"/>
    </row>
    <row r="599" ht="15.75" customHeight="1"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154"/>
    </row>
    <row r="600" ht="15.75" customHeight="1"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154"/>
    </row>
    <row r="601" ht="15.75" customHeight="1"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154"/>
    </row>
    <row r="602" ht="15.75" customHeight="1"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154"/>
    </row>
    <row r="603" ht="15.75" customHeight="1"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154"/>
    </row>
    <row r="604" ht="15.75" customHeight="1"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154"/>
    </row>
    <row r="605" ht="15.75" customHeight="1"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154"/>
    </row>
    <row r="606" ht="15.75" customHeight="1"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  <c r="AF606" s="154"/>
      <c r="AG606" s="154"/>
    </row>
    <row r="607" ht="15.75" customHeight="1"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  <c r="AF607" s="154"/>
      <c r="AG607" s="154"/>
    </row>
    <row r="608" ht="15.75" customHeight="1"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  <c r="AF608" s="154"/>
      <c r="AG608" s="154"/>
    </row>
    <row r="609" ht="15.75" customHeight="1"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  <c r="AF609" s="154"/>
      <c r="AG609" s="154"/>
    </row>
    <row r="610" ht="15.75" customHeight="1"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54"/>
    </row>
    <row r="611" ht="15.75" customHeight="1"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154"/>
    </row>
    <row r="612" ht="15.75" customHeight="1"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  <c r="AF612" s="154"/>
      <c r="AG612" s="154"/>
    </row>
    <row r="613" ht="15.75" customHeight="1"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  <c r="AF613" s="154"/>
      <c r="AG613" s="154"/>
    </row>
    <row r="614" ht="15.75" customHeight="1"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54"/>
    </row>
    <row r="615" ht="15.75" customHeight="1"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154"/>
    </row>
    <row r="616" ht="15.75" customHeight="1"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154"/>
    </row>
    <row r="617" ht="15.75" customHeight="1"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154"/>
    </row>
    <row r="618" ht="15.75" customHeight="1"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154"/>
    </row>
    <row r="619" ht="15.75" customHeight="1"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154"/>
    </row>
    <row r="620" ht="15.75" customHeight="1"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154"/>
    </row>
    <row r="621" ht="15.75" customHeight="1"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154"/>
    </row>
    <row r="622" ht="15.75" customHeight="1"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  <c r="AF622" s="154"/>
      <c r="AG622" s="154"/>
    </row>
    <row r="623" ht="15.75" customHeight="1"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54"/>
    </row>
    <row r="624" ht="15.75" customHeight="1"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54"/>
    </row>
    <row r="625" ht="15.75" customHeight="1"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154"/>
    </row>
    <row r="626" ht="15.75" customHeight="1"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154"/>
    </row>
    <row r="627" ht="15.75" customHeight="1"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  <c r="AF627" s="154"/>
      <c r="AG627" s="154"/>
    </row>
    <row r="628" ht="15.75" customHeight="1"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154"/>
    </row>
    <row r="629" ht="15.75" customHeight="1"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54"/>
    </row>
    <row r="630" ht="15.75" customHeight="1"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154"/>
    </row>
    <row r="631" ht="15.75" customHeight="1"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54"/>
    </row>
    <row r="632" ht="15.75" customHeight="1"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154"/>
    </row>
    <row r="633" ht="15.75" customHeight="1"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154"/>
    </row>
    <row r="634" ht="15.75" customHeight="1"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154"/>
    </row>
    <row r="635" ht="15.75" customHeight="1"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54"/>
    </row>
    <row r="636" ht="15.75" customHeight="1"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154"/>
    </row>
    <row r="637" ht="15.75" customHeight="1"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154"/>
    </row>
    <row r="638" ht="15.75" customHeight="1"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  <c r="AF638" s="154"/>
      <c r="AG638" s="154"/>
    </row>
    <row r="639" ht="15.75" customHeight="1"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154"/>
    </row>
    <row r="640" ht="15.75" customHeight="1"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154"/>
    </row>
    <row r="641" ht="15.75" customHeight="1"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54"/>
    </row>
    <row r="642" ht="15.75" customHeight="1"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154"/>
    </row>
    <row r="643" ht="15.75" customHeight="1"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54"/>
    </row>
    <row r="644" ht="15.75" customHeight="1"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54"/>
    </row>
    <row r="645" ht="15.75" customHeight="1"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54"/>
    </row>
    <row r="646" ht="15.75" customHeight="1"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54"/>
    </row>
    <row r="647" ht="15.75" customHeight="1"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54"/>
    </row>
    <row r="648" ht="15.75" customHeight="1"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154"/>
    </row>
    <row r="649" ht="15.75" customHeight="1"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154"/>
    </row>
    <row r="650" ht="15.75" customHeight="1"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154"/>
    </row>
    <row r="651" ht="15.75" customHeight="1"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154"/>
    </row>
    <row r="652" ht="15.75" customHeight="1"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  <c r="AF652" s="154"/>
      <c r="AG652" s="154"/>
    </row>
    <row r="653" ht="15.75" customHeight="1"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  <c r="AF653" s="154"/>
      <c r="AG653" s="154"/>
    </row>
    <row r="654" ht="15.75" customHeight="1"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  <c r="AF654" s="154"/>
      <c r="AG654" s="154"/>
    </row>
    <row r="655" ht="15.75" customHeight="1"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  <c r="AF655" s="154"/>
      <c r="AG655" s="154"/>
    </row>
    <row r="656" ht="15.75" customHeight="1"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154"/>
    </row>
    <row r="657" ht="15.75" customHeight="1"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154"/>
    </row>
    <row r="658" ht="15.75" customHeight="1"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  <c r="AF658" s="154"/>
      <c r="AG658" s="154"/>
    </row>
    <row r="659" ht="15.75" customHeight="1"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  <c r="AF659" s="154"/>
      <c r="AG659" s="154"/>
    </row>
    <row r="660" ht="15.75" customHeight="1"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  <c r="AF660" s="154"/>
      <c r="AG660" s="154"/>
    </row>
    <row r="661" ht="15.75" customHeight="1"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  <c r="AF661" s="154"/>
      <c r="AG661" s="154"/>
    </row>
    <row r="662" ht="15.75" customHeight="1"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  <c r="AF662" s="154"/>
      <c r="AG662" s="154"/>
    </row>
    <row r="663" ht="15.75" customHeight="1"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  <c r="AF663" s="154"/>
      <c r="AG663" s="154"/>
    </row>
    <row r="664" ht="15.75" customHeight="1"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  <c r="AF664" s="154"/>
      <c r="AG664" s="154"/>
    </row>
    <row r="665" ht="15.75" customHeight="1"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  <c r="AF665" s="154"/>
      <c r="AG665" s="154"/>
    </row>
    <row r="666" ht="15.75" customHeight="1"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  <c r="AF666" s="154"/>
      <c r="AG666" s="154"/>
    </row>
    <row r="667" ht="15.75" customHeight="1"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  <c r="AF667" s="154"/>
      <c r="AG667" s="154"/>
    </row>
    <row r="668" ht="15.75" customHeight="1"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  <c r="AF668" s="154"/>
      <c r="AG668" s="154"/>
    </row>
    <row r="669" ht="15.75" customHeight="1"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  <c r="AF669" s="154"/>
      <c r="AG669" s="154"/>
    </row>
    <row r="670" ht="15.75" customHeight="1"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  <c r="AF670" s="154"/>
      <c r="AG670" s="154"/>
    </row>
    <row r="671" ht="15.75" customHeight="1"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  <c r="AF671" s="154"/>
      <c r="AG671" s="154"/>
    </row>
    <row r="672" ht="15.75" customHeight="1"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  <c r="AF672" s="154"/>
      <c r="AG672" s="154"/>
    </row>
    <row r="673" ht="15.75" customHeight="1"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  <c r="AF673" s="154"/>
      <c r="AG673" s="154"/>
    </row>
    <row r="674" ht="15.75" customHeight="1"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154"/>
    </row>
    <row r="675" ht="15.75" customHeight="1"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  <c r="AF675" s="154"/>
      <c r="AG675" s="154"/>
    </row>
    <row r="676" ht="15.75" customHeight="1"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  <c r="AF676" s="154"/>
      <c r="AG676" s="154"/>
    </row>
    <row r="677" ht="15.75" customHeight="1"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  <c r="AF677" s="154"/>
      <c r="AG677" s="154"/>
    </row>
    <row r="678" ht="15.75" customHeight="1"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  <c r="AF678" s="154"/>
      <c r="AG678" s="154"/>
    </row>
    <row r="679" ht="15.75" customHeight="1"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  <c r="AF679" s="154"/>
      <c r="AG679" s="154"/>
    </row>
    <row r="680" ht="15.75" customHeight="1"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  <c r="AF680" s="154"/>
      <c r="AG680" s="154"/>
    </row>
    <row r="681" ht="15.75" customHeight="1"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  <c r="AF681" s="154"/>
      <c r="AG681" s="154"/>
    </row>
    <row r="682" ht="15.75" customHeight="1"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  <c r="AF682" s="154"/>
      <c r="AG682" s="154"/>
    </row>
    <row r="683" ht="15.75" customHeight="1"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  <c r="AF683" s="154"/>
      <c r="AG683" s="154"/>
    </row>
    <row r="684" ht="15.75" customHeight="1"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  <c r="AF684" s="154"/>
      <c r="AG684" s="154"/>
    </row>
    <row r="685" ht="15.75" customHeight="1"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  <c r="AF685" s="154"/>
      <c r="AG685" s="154"/>
    </row>
    <row r="686" ht="15.75" customHeight="1"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  <c r="AF686" s="154"/>
      <c r="AG686" s="154"/>
    </row>
    <row r="687" ht="15.75" customHeight="1"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  <c r="AF687" s="154"/>
      <c r="AG687" s="154"/>
    </row>
    <row r="688" ht="15.75" customHeight="1"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  <c r="AF688" s="154"/>
      <c r="AG688" s="154"/>
    </row>
    <row r="689" ht="15.75" customHeight="1"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  <c r="AF689" s="154"/>
      <c r="AG689" s="154"/>
    </row>
    <row r="690" ht="15.75" customHeight="1"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  <c r="AF690" s="154"/>
      <c r="AG690" s="154"/>
    </row>
    <row r="691" ht="15.75" customHeight="1"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  <c r="AF691" s="154"/>
      <c r="AG691" s="154"/>
    </row>
    <row r="692" ht="15.75" customHeight="1"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  <c r="AF692" s="154"/>
      <c r="AG692" s="154"/>
    </row>
    <row r="693" ht="15.75" customHeight="1"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  <c r="AF693" s="154"/>
      <c r="AG693" s="154"/>
    </row>
    <row r="694" ht="15.75" customHeight="1"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  <c r="AF694" s="154"/>
      <c r="AG694" s="154"/>
    </row>
    <row r="695" ht="15.75" customHeight="1"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  <c r="AF695" s="154"/>
      <c r="AG695" s="154"/>
    </row>
    <row r="696" ht="15.75" customHeight="1"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  <c r="AF696" s="154"/>
      <c r="AG696" s="154"/>
    </row>
    <row r="697" ht="15.75" customHeight="1"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  <c r="AF697" s="154"/>
      <c r="AG697" s="154"/>
    </row>
    <row r="698" ht="15.75" customHeight="1"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  <c r="AF698" s="154"/>
      <c r="AG698" s="154"/>
    </row>
    <row r="699" ht="15.75" customHeight="1"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  <c r="AF699" s="154"/>
      <c r="AG699" s="154"/>
    </row>
    <row r="700" ht="15.75" customHeight="1"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  <c r="AF700" s="154"/>
      <c r="AG700" s="154"/>
    </row>
    <row r="701" ht="15.75" customHeight="1"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  <c r="AF701" s="154"/>
      <c r="AG701" s="154"/>
    </row>
    <row r="702" ht="15.75" customHeight="1"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  <c r="AF702" s="154"/>
      <c r="AG702" s="154"/>
    </row>
    <row r="703" ht="15.75" customHeight="1"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  <c r="AF703" s="154"/>
      <c r="AG703" s="154"/>
    </row>
    <row r="704" ht="15.75" customHeight="1"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  <c r="AF704" s="154"/>
      <c r="AG704" s="154"/>
    </row>
    <row r="705" ht="15.75" customHeight="1"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  <c r="AF705" s="154"/>
      <c r="AG705" s="154"/>
    </row>
    <row r="706" ht="15.75" customHeight="1"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  <c r="AF706" s="154"/>
      <c r="AG706" s="154"/>
    </row>
    <row r="707" ht="15.75" customHeight="1"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154"/>
    </row>
    <row r="708" ht="15.75" customHeight="1"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  <c r="AF708" s="154"/>
      <c r="AG708" s="154"/>
    </row>
    <row r="709" ht="15.75" customHeight="1"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  <c r="AF709" s="154"/>
      <c r="AG709" s="154"/>
    </row>
    <row r="710" ht="15.75" customHeight="1"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  <c r="AF710" s="154"/>
      <c r="AG710" s="154"/>
    </row>
    <row r="711" ht="15.75" customHeight="1"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  <c r="AF711" s="154"/>
      <c r="AG711" s="154"/>
    </row>
    <row r="712" ht="15.75" customHeight="1"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  <c r="AF712" s="154"/>
      <c r="AG712" s="154"/>
    </row>
    <row r="713" ht="15.75" customHeight="1"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  <c r="AF713" s="154"/>
      <c r="AG713" s="154"/>
    </row>
    <row r="714" ht="15.75" customHeight="1"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  <c r="AF714" s="154"/>
      <c r="AG714" s="154"/>
    </row>
    <row r="715" ht="15.75" customHeight="1"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  <c r="AF715" s="154"/>
      <c r="AG715" s="154"/>
    </row>
    <row r="716" ht="15.75" customHeight="1"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  <c r="AF716" s="154"/>
      <c r="AG716" s="154"/>
    </row>
    <row r="717" ht="15.75" customHeight="1"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  <c r="AF717" s="154"/>
      <c r="AG717" s="154"/>
    </row>
    <row r="718" ht="15.75" customHeight="1"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  <c r="AF718" s="154"/>
      <c r="AG718" s="154"/>
    </row>
    <row r="719" ht="15.75" customHeight="1"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  <c r="AF719" s="154"/>
      <c r="AG719" s="154"/>
    </row>
    <row r="720" ht="15.75" customHeight="1"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  <c r="AF720" s="154"/>
      <c r="AG720" s="154"/>
    </row>
    <row r="721" ht="15.75" customHeight="1"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  <c r="AF721" s="154"/>
      <c r="AG721" s="154"/>
    </row>
    <row r="722" ht="15.75" customHeight="1"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  <c r="AF722" s="154"/>
      <c r="AG722" s="154"/>
    </row>
    <row r="723" ht="15.75" customHeight="1"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  <c r="AF723" s="154"/>
      <c r="AG723" s="154"/>
    </row>
    <row r="724" ht="15.75" customHeight="1"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  <c r="AF724" s="154"/>
      <c r="AG724" s="154"/>
    </row>
    <row r="725" ht="15.75" customHeight="1"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  <c r="AF725" s="154"/>
      <c r="AG725" s="154"/>
    </row>
    <row r="726" ht="15.75" customHeight="1"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  <c r="AF726" s="154"/>
      <c r="AG726" s="154"/>
    </row>
    <row r="727" ht="15.75" customHeight="1"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  <c r="AF727" s="154"/>
      <c r="AG727" s="154"/>
    </row>
    <row r="728" ht="15.75" customHeight="1"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  <c r="AF728" s="154"/>
      <c r="AG728" s="154"/>
    </row>
    <row r="729" ht="15.75" customHeight="1"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  <c r="AF729" s="154"/>
      <c r="AG729" s="154"/>
    </row>
    <row r="730" ht="15.75" customHeight="1"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  <c r="AF730" s="154"/>
      <c r="AG730" s="154"/>
    </row>
    <row r="731" ht="15.75" customHeight="1"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  <c r="AF731" s="154"/>
      <c r="AG731" s="154"/>
    </row>
    <row r="732" ht="15.75" customHeight="1"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  <c r="AF732" s="154"/>
      <c r="AG732" s="154"/>
    </row>
    <row r="733" ht="15.75" customHeight="1"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  <c r="AF733" s="154"/>
      <c r="AG733" s="154"/>
    </row>
    <row r="734" ht="15.75" customHeight="1"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  <c r="AF734" s="154"/>
      <c r="AG734" s="154"/>
    </row>
    <row r="735" ht="15.75" customHeight="1"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  <c r="AF735" s="154"/>
      <c r="AG735" s="154"/>
    </row>
    <row r="736" ht="15.75" customHeight="1"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  <c r="AF736" s="154"/>
      <c r="AG736" s="154"/>
    </row>
    <row r="737" ht="15.75" customHeight="1"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  <c r="AF737" s="154"/>
      <c r="AG737" s="154"/>
    </row>
    <row r="738" ht="15.75" customHeight="1"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154"/>
    </row>
    <row r="739" ht="15.75" customHeight="1"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  <c r="AF739" s="154"/>
      <c r="AG739" s="154"/>
    </row>
    <row r="740" ht="15.75" customHeight="1"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  <c r="AF740" s="154"/>
      <c r="AG740" s="154"/>
    </row>
    <row r="741" ht="15.75" customHeight="1"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  <c r="AF741" s="154"/>
      <c r="AG741" s="154"/>
    </row>
    <row r="742" ht="15.75" customHeight="1"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  <c r="AF742" s="154"/>
      <c r="AG742" s="154"/>
    </row>
    <row r="743" ht="15.75" customHeight="1"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  <c r="AF743" s="154"/>
      <c r="AG743" s="154"/>
    </row>
    <row r="744" ht="15.75" customHeight="1"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  <c r="AF744" s="154"/>
      <c r="AG744" s="154"/>
    </row>
    <row r="745" ht="15.75" customHeight="1"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  <c r="AF745" s="154"/>
      <c r="AG745" s="154"/>
    </row>
    <row r="746" ht="15.75" customHeight="1"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154"/>
      <c r="AG746" s="154"/>
    </row>
    <row r="747" ht="15.75" customHeight="1"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154"/>
      <c r="AG747" s="154"/>
    </row>
    <row r="748" ht="15.75" customHeight="1"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  <c r="AF748" s="154"/>
      <c r="AG748" s="154"/>
    </row>
    <row r="749" ht="15.75" customHeight="1"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  <c r="AF749" s="154"/>
      <c r="AG749" s="154"/>
    </row>
    <row r="750" ht="15.75" customHeight="1"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  <c r="AF750" s="154"/>
      <c r="AG750" s="154"/>
    </row>
    <row r="751" ht="15.75" customHeight="1"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  <c r="AF751" s="154"/>
      <c r="AG751" s="154"/>
    </row>
    <row r="752" ht="15.75" customHeight="1"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154"/>
      <c r="AG752" s="154"/>
    </row>
    <row r="753" ht="15.75" customHeight="1"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  <c r="AF753" s="154"/>
      <c r="AG753" s="154"/>
    </row>
    <row r="754" ht="15.75" customHeight="1"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  <c r="AF754" s="154"/>
      <c r="AG754" s="154"/>
    </row>
    <row r="755" ht="15.75" customHeight="1"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154"/>
      <c r="AG755" s="154"/>
    </row>
    <row r="756" ht="15.75" customHeight="1"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  <c r="AF756" s="154"/>
      <c r="AG756" s="154"/>
    </row>
    <row r="757" ht="15.75" customHeight="1"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  <c r="AF757" s="154"/>
      <c r="AG757" s="154"/>
    </row>
    <row r="758" ht="15.75" customHeight="1"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  <c r="AF758" s="154"/>
      <c r="AG758" s="154"/>
    </row>
    <row r="759" ht="15.75" customHeight="1"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  <c r="AF759" s="154"/>
      <c r="AG759" s="154"/>
    </row>
    <row r="760" ht="15.75" customHeight="1"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  <c r="AF760" s="154"/>
      <c r="AG760" s="154"/>
    </row>
    <row r="761" ht="15.75" customHeight="1"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  <c r="AF761" s="154"/>
      <c r="AG761" s="154"/>
    </row>
    <row r="762" ht="15.75" customHeight="1"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  <c r="AF762" s="154"/>
      <c r="AG762" s="154"/>
    </row>
    <row r="763" ht="15.75" customHeight="1"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  <c r="AF763" s="154"/>
      <c r="AG763" s="154"/>
    </row>
    <row r="764" ht="15.75" customHeight="1"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  <c r="AF764" s="154"/>
      <c r="AG764" s="154"/>
    </row>
    <row r="765" ht="15.75" customHeight="1"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  <c r="AF765" s="154"/>
      <c r="AG765" s="154"/>
    </row>
    <row r="766" ht="15.75" customHeight="1"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  <c r="AF766" s="154"/>
      <c r="AG766" s="154"/>
    </row>
    <row r="767" ht="15.75" customHeight="1"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  <c r="AF767" s="154"/>
      <c r="AG767" s="154"/>
    </row>
    <row r="768" ht="15.75" customHeight="1"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  <c r="AF768" s="154"/>
      <c r="AG768" s="154"/>
    </row>
    <row r="769" ht="15.75" customHeight="1"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  <c r="AF769" s="154"/>
      <c r="AG769" s="154"/>
    </row>
    <row r="770" ht="15.75" customHeight="1"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  <c r="AF770" s="154"/>
      <c r="AG770" s="154"/>
    </row>
    <row r="771" ht="15.75" customHeight="1"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154"/>
    </row>
    <row r="772" ht="15.75" customHeight="1"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  <c r="AF772" s="154"/>
      <c r="AG772" s="154"/>
    </row>
    <row r="773" ht="15.75" customHeight="1"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  <c r="AF773" s="154"/>
      <c r="AG773" s="154"/>
    </row>
    <row r="774" ht="15.75" customHeight="1"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  <c r="AF774" s="154"/>
      <c r="AG774" s="154"/>
    </row>
    <row r="775" ht="15.75" customHeight="1"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  <c r="AF775" s="154"/>
      <c r="AG775" s="154"/>
    </row>
    <row r="776" ht="15.75" customHeight="1"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  <c r="AF776" s="154"/>
      <c r="AG776" s="154"/>
    </row>
    <row r="777" ht="15.75" customHeight="1"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  <c r="AF777" s="154"/>
      <c r="AG777" s="154"/>
    </row>
    <row r="778" ht="15.75" customHeight="1"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  <c r="AF778" s="154"/>
      <c r="AG778" s="154"/>
    </row>
    <row r="779" ht="15.75" customHeight="1"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  <c r="AF779" s="154"/>
      <c r="AG779" s="154"/>
    </row>
    <row r="780" ht="15.75" customHeight="1"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  <c r="AF780" s="154"/>
      <c r="AG780" s="154"/>
    </row>
    <row r="781" ht="15.75" customHeight="1"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  <c r="AF781" s="154"/>
      <c r="AG781" s="154"/>
    </row>
    <row r="782" ht="15.75" customHeight="1"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  <c r="AF782" s="154"/>
      <c r="AG782" s="154"/>
    </row>
    <row r="783" ht="15.75" customHeight="1"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154"/>
    </row>
    <row r="784" ht="15.75" customHeight="1"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154"/>
    </row>
    <row r="785" ht="15.75" customHeight="1"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154"/>
    </row>
    <row r="786" ht="15.75" customHeight="1"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154"/>
    </row>
    <row r="787" ht="15.75" customHeight="1"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154"/>
    </row>
    <row r="788" ht="15.75" customHeight="1"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  <c r="AF788" s="154"/>
      <c r="AG788" s="154"/>
    </row>
    <row r="789" ht="15.75" customHeight="1"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  <c r="AF789" s="154"/>
      <c r="AG789" s="154"/>
    </row>
    <row r="790" ht="15.75" customHeight="1"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  <c r="AF790" s="154"/>
      <c r="AG790" s="154"/>
    </row>
    <row r="791" ht="15.75" customHeight="1"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  <c r="AF791" s="154"/>
      <c r="AG791" s="154"/>
    </row>
    <row r="792" ht="15.75" customHeight="1"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  <c r="AF792" s="154"/>
      <c r="AG792" s="154"/>
    </row>
    <row r="793" ht="15.75" customHeight="1"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  <c r="AF793" s="154"/>
      <c r="AG793" s="154"/>
    </row>
    <row r="794" ht="15.75" customHeight="1"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  <c r="AF794" s="154"/>
      <c r="AG794" s="154"/>
    </row>
    <row r="795" ht="15.75" customHeight="1"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  <c r="AF795" s="154"/>
      <c r="AG795" s="154"/>
    </row>
    <row r="796" ht="15.75" customHeight="1"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  <c r="AF796" s="154"/>
      <c r="AG796" s="154"/>
    </row>
    <row r="797" ht="15.75" customHeight="1"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  <c r="AF797" s="154"/>
      <c r="AG797" s="154"/>
    </row>
    <row r="798" ht="15.75" customHeight="1"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  <c r="AF798" s="154"/>
      <c r="AG798" s="154"/>
    </row>
    <row r="799" ht="15.75" customHeight="1"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  <c r="AF799" s="154"/>
      <c r="AG799" s="154"/>
    </row>
    <row r="800" ht="15.75" customHeight="1"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  <c r="AF800" s="154"/>
      <c r="AG800" s="154"/>
    </row>
    <row r="801" ht="15.75" customHeight="1"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154"/>
    </row>
    <row r="802" ht="15.75" customHeight="1"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154"/>
    </row>
    <row r="803" ht="15.75" customHeight="1"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  <c r="AF803" s="154"/>
      <c r="AG803" s="154"/>
    </row>
    <row r="804" ht="15.75" customHeight="1"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  <c r="AF804" s="154"/>
      <c r="AG804" s="154"/>
    </row>
    <row r="805" ht="15.75" customHeight="1"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  <c r="AF805" s="154"/>
      <c r="AG805" s="154"/>
    </row>
    <row r="806" ht="15.75" customHeight="1"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  <c r="AF806" s="154"/>
      <c r="AG806" s="154"/>
    </row>
    <row r="807" ht="15.75" customHeight="1"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  <c r="AF807" s="154"/>
      <c r="AG807" s="154"/>
    </row>
    <row r="808" ht="15.75" customHeight="1"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  <c r="AF808" s="154"/>
      <c r="AG808" s="154"/>
    </row>
    <row r="809" ht="15.75" customHeight="1"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  <c r="AF809" s="154"/>
      <c r="AG809" s="154"/>
    </row>
    <row r="810" ht="15.75" customHeight="1"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  <c r="AF810" s="154"/>
      <c r="AG810" s="154"/>
    </row>
    <row r="811" ht="15.75" customHeight="1"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154"/>
    </row>
    <row r="812" ht="15.75" customHeight="1"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154"/>
    </row>
    <row r="813" ht="15.75" customHeight="1"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154"/>
    </row>
    <row r="814" ht="15.75" customHeight="1"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154"/>
    </row>
    <row r="815" ht="15.75" customHeight="1"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154"/>
    </row>
    <row r="816" ht="15.75" customHeight="1"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  <c r="AF816" s="154"/>
      <c r="AG816" s="154"/>
    </row>
    <row r="817" ht="15.75" customHeight="1"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  <c r="AF817" s="154"/>
      <c r="AG817" s="154"/>
    </row>
    <row r="818" ht="15.75" customHeight="1"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  <c r="AF818" s="154"/>
      <c r="AG818" s="154"/>
    </row>
    <row r="819" ht="15.75" customHeight="1"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  <c r="AF819" s="154"/>
      <c r="AG819" s="154"/>
    </row>
    <row r="820" ht="15.75" customHeight="1"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  <c r="AF820" s="154"/>
      <c r="AG820" s="154"/>
    </row>
    <row r="821" ht="15.75" customHeight="1"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  <c r="AF821" s="154"/>
      <c r="AG821" s="154"/>
    </row>
    <row r="822" ht="15.75" customHeight="1"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  <c r="AF822" s="154"/>
      <c r="AG822" s="154"/>
    </row>
    <row r="823" ht="15.75" customHeight="1"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  <c r="AF823" s="154"/>
      <c r="AG823" s="154"/>
    </row>
    <row r="824" ht="15.75" customHeight="1"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  <c r="AF824" s="154"/>
      <c r="AG824" s="154"/>
    </row>
    <row r="825" ht="15.75" customHeight="1"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  <c r="AF825" s="154"/>
      <c r="AG825" s="154"/>
    </row>
    <row r="826" ht="15.75" customHeight="1"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  <c r="AF826" s="154"/>
      <c r="AG826" s="154"/>
    </row>
    <row r="827" ht="15.75" customHeight="1"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  <c r="AF827" s="154"/>
      <c r="AG827" s="154"/>
    </row>
    <row r="828" ht="15.75" customHeight="1"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  <c r="AF828" s="154"/>
      <c r="AG828" s="154"/>
    </row>
    <row r="829" ht="15.75" customHeight="1"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  <c r="AF829" s="154"/>
      <c r="AG829" s="154"/>
    </row>
    <row r="830" ht="15.75" customHeight="1"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  <c r="AF830" s="154"/>
      <c r="AG830" s="154"/>
    </row>
    <row r="831" ht="15.75" customHeight="1"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  <c r="AF831" s="154"/>
      <c r="AG831" s="154"/>
    </row>
    <row r="832" ht="15.75" customHeight="1"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  <c r="AF832" s="154"/>
      <c r="AG832" s="154"/>
    </row>
    <row r="833" ht="15.75" customHeight="1"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  <c r="AF833" s="154"/>
      <c r="AG833" s="154"/>
    </row>
    <row r="834" ht="15.75" customHeight="1"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  <c r="AF834" s="154"/>
      <c r="AG834" s="154"/>
    </row>
    <row r="835" ht="15.75" customHeight="1"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154"/>
    </row>
    <row r="836" ht="15.75" customHeight="1"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  <c r="AF836" s="154"/>
      <c r="AG836" s="154"/>
    </row>
    <row r="837" ht="15.75" customHeight="1"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  <c r="AF837" s="154"/>
      <c r="AG837" s="154"/>
    </row>
    <row r="838" ht="15.75" customHeight="1"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  <c r="AF838" s="154"/>
      <c r="AG838" s="154"/>
    </row>
    <row r="839" ht="15.75" customHeight="1"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  <c r="AF839" s="154"/>
      <c r="AG839" s="154"/>
    </row>
    <row r="840" ht="15.75" customHeight="1"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  <c r="AF840" s="154"/>
      <c r="AG840" s="154"/>
    </row>
    <row r="841" ht="15.75" customHeight="1"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  <c r="AF841" s="154"/>
      <c r="AG841" s="154"/>
    </row>
    <row r="842" ht="15.75" customHeight="1"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  <c r="AF842" s="154"/>
      <c r="AG842" s="154"/>
    </row>
    <row r="843" ht="15.75" customHeight="1"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  <c r="AF843" s="154"/>
      <c r="AG843" s="154"/>
    </row>
    <row r="844" ht="15.75" customHeight="1"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  <c r="AF844" s="154"/>
      <c r="AG844" s="154"/>
    </row>
    <row r="845" ht="15.75" customHeight="1"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  <c r="AF845" s="154"/>
      <c r="AG845" s="154"/>
    </row>
    <row r="846" ht="15.75" customHeight="1"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  <c r="AF846" s="154"/>
      <c r="AG846" s="154"/>
    </row>
    <row r="847" ht="15.75" customHeight="1"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  <c r="AF847" s="154"/>
      <c r="AG847" s="154"/>
    </row>
    <row r="848" ht="15.75" customHeight="1"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  <c r="AF848" s="154"/>
      <c r="AG848" s="154"/>
    </row>
    <row r="849" ht="15.75" customHeight="1"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  <c r="AF849" s="154"/>
      <c r="AG849" s="154"/>
    </row>
    <row r="850" ht="15.75" customHeight="1"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  <c r="AF850" s="154"/>
      <c r="AG850" s="154"/>
    </row>
    <row r="851" ht="15.75" customHeight="1"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  <c r="AF851" s="154"/>
      <c r="AG851" s="154"/>
    </row>
    <row r="852" ht="15.75" customHeight="1"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  <c r="AF852" s="154"/>
      <c r="AG852" s="154"/>
    </row>
    <row r="853" ht="15.75" customHeight="1"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  <c r="AF853" s="154"/>
      <c r="AG853" s="154"/>
    </row>
    <row r="854" ht="15.75" customHeight="1"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  <c r="AF854" s="154"/>
      <c r="AG854" s="154"/>
    </row>
    <row r="855" ht="15.75" customHeight="1"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  <c r="AF855" s="154"/>
      <c r="AG855" s="154"/>
    </row>
    <row r="856" ht="15.75" customHeight="1"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  <c r="AF856" s="154"/>
      <c r="AG856" s="154"/>
    </row>
    <row r="857" ht="15.75" customHeight="1"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  <c r="AF857" s="154"/>
      <c r="AG857" s="154"/>
    </row>
    <row r="858" ht="15.75" customHeight="1"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  <c r="AF858" s="154"/>
      <c r="AG858" s="154"/>
    </row>
    <row r="859" ht="15.75" customHeight="1"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  <c r="AF859" s="154"/>
      <c r="AG859" s="154"/>
    </row>
    <row r="860" ht="15.75" customHeight="1"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  <c r="AF860" s="154"/>
      <c r="AG860" s="154"/>
    </row>
    <row r="861" ht="15.75" customHeight="1"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  <c r="AF861" s="154"/>
      <c r="AG861" s="154"/>
    </row>
    <row r="862" ht="15.75" customHeight="1"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  <c r="AF862" s="154"/>
      <c r="AG862" s="154"/>
    </row>
    <row r="863" ht="15.75" customHeight="1"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  <c r="AF863" s="154"/>
      <c r="AG863" s="154"/>
    </row>
    <row r="864" ht="15.75" customHeight="1"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  <c r="AF864" s="154"/>
      <c r="AG864" s="154"/>
    </row>
    <row r="865" ht="15.75" customHeight="1"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  <c r="AF865" s="154"/>
      <c r="AG865" s="154"/>
    </row>
    <row r="866" ht="15.75" customHeight="1"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154"/>
    </row>
    <row r="867" ht="15.75" customHeight="1"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  <c r="AF867" s="154"/>
      <c r="AG867" s="154"/>
    </row>
    <row r="868" ht="15.75" customHeight="1"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  <c r="AF868" s="154"/>
      <c r="AG868" s="154"/>
    </row>
    <row r="869" ht="15.75" customHeight="1"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  <c r="AF869" s="154"/>
      <c r="AG869" s="154"/>
    </row>
    <row r="870" ht="15.75" customHeight="1"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  <c r="AF870" s="154"/>
      <c r="AG870" s="154"/>
    </row>
    <row r="871" ht="15.75" customHeight="1"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  <c r="AF871" s="154"/>
      <c r="AG871" s="154"/>
    </row>
    <row r="872" ht="15.75" customHeight="1"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  <c r="AF872" s="154"/>
      <c r="AG872" s="154"/>
    </row>
    <row r="873" ht="15.75" customHeight="1"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  <c r="AF873" s="154"/>
      <c r="AG873" s="154"/>
    </row>
    <row r="874" ht="15.75" customHeight="1"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  <c r="AF874" s="154"/>
      <c r="AG874" s="154"/>
    </row>
    <row r="875" ht="15.75" customHeight="1"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  <c r="AF875" s="154"/>
      <c r="AG875" s="154"/>
    </row>
    <row r="876" ht="15.75" customHeight="1"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  <c r="AF876" s="154"/>
      <c r="AG876" s="154"/>
    </row>
    <row r="877" ht="15.75" customHeight="1"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  <c r="AF877" s="154"/>
      <c r="AG877" s="154"/>
    </row>
    <row r="878" ht="15.75" customHeight="1"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  <c r="AF878" s="154"/>
      <c r="AG878" s="154"/>
    </row>
    <row r="879" ht="15.75" customHeight="1"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  <c r="AF879" s="154"/>
      <c r="AG879" s="154"/>
    </row>
    <row r="880" ht="15.75" customHeight="1"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  <c r="AF880" s="154"/>
      <c r="AG880" s="154"/>
    </row>
    <row r="881" ht="15.75" customHeight="1"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  <c r="AF881" s="154"/>
      <c r="AG881" s="154"/>
    </row>
    <row r="882" ht="15.75" customHeight="1"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  <c r="AF882" s="154"/>
      <c r="AG882" s="154"/>
    </row>
    <row r="883" ht="15.75" customHeight="1"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  <c r="AF883" s="154"/>
      <c r="AG883" s="154"/>
    </row>
    <row r="884" ht="15.75" customHeight="1"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  <c r="AF884" s="154"/>
      <c r="AG884" s="154"/>
    </row>
    <row r="885" ht="15.75" customHeight="1"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154"/>
    </row>
    <row r="886" ht="15.75" customHeight="1"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  <c r="AF886" s="154"/>
      <c r="AG886" s="154"/>
    </row>
    <row r="887" ht="15.75" customHeight="1"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  <c r="AF887" s="154"/>
      <c r="AG887" s="154"/>
    </row>
    <row r="888" ht="15.75" customHeight="1"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154"/>
    </row>
    <row r="889" ht="15.75" customHeight="1"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  <c r="AF889" s="154"/>
      <c r="AG889" s="154"/>
    </row>
    <row r="890" ht="15.75" customHeight="1"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154"/>
    </row>
    <row r="891" ht="15.75" customHeight="1"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  <c r="AF891" s="154"/>
      <c r="AG891" s="154"/>
    </row>
    <row r="892" ht="15.75" customHeight="1"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  <c r="AF892" s="154"/>
      <c r="AG892" s="154"/>
    </row>
    <row r="893" ht="15.75" customHeight="1"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  <c r="AF893" s="154"/>
      <c r="AG893" s="154"/>
    </row>
    <row r="894" ht="15.75" customHeight="1"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  <c r="AF894" s="154"/>
      <c r="AG894" s="154"/>
    </row>
    <row r="895" ht="15.75" customHeight="1"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  <c r="AF895" s="154"/>
      <c r="AG895" s="154"/>
    </row>
    <row r="896" ht="15.75" customHeight="1"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  <c r="AF896" s="154"/>
      <c r="AG896" s="154"/>
    </row>
    <row r="897" ht="15.75" customHeight="1"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  <c r="AF897" s="154"/>
      <c r="AG897" s="154"/>
    </row>
    <row r="898" ht="15.75" customHeight="1"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154"/>
    </row>
    <row r="899" ht="15.75" customHeight="1"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154"/>
    </row>
    <row r="900" ht="15.75" customHeight="1"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154"/>
    </row>
    <row r="901" ht="15.75" customHeight="1"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154"/>
    </row>
    <row r="902" ht="15.75" customHeight="1"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154"/>
    </row>
    <row r="903" ht="15.75" customHeight="1"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  <c r="AF903" s="154"/>
      <c r="AG903" s="154"/>
    </row>
    <row r="904" ht="15.75" customHeight="1"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  <c r="AF904" s="154"/>
      <c r="AG904" s="154"/>
    </row>
    <row r="905" ht="15.75" customHeight="1"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  <c r="AF905" s="154"/>
      <c r="AG905" s="154"/>
    </row>
    <row r="906" ht="15.75" customHeight="1"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  <c r="AF906" s="154"/>
      <c r="AG906" s="154"/>
    </row>
    <row r="907" ht="15.75" customHeight="1"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  <c r="AF907" s="154"/>
      <c r="AG907" s="154"/>
    </row>
    <row r="908" ht="15.75" customHeight="1"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  <c r="AF908" s="154"/>
      <c r="AG908" s="154"/>
    </row>
    <row r="909" ht="15.75" customHeight="1"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  <c r="AF909" s="154"/>
      <c r="AG909" s="154"/>
    </row>
    <row r="910" ht="15.75" customHeight="1"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  <c r="AF910" s="154"/>
      <c r="AG910" s="154"/>
    </row>
    <row r="911" ht="15.75" customHeight="1"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  <c r="AF911" s="154"/>
      <c r="AG911" s="154"/>
    </row>
    <row r="912" ht="15.75" customHeight="1"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  <c r="AF912" s="154"/>
      <c r="AG912" s="154"/>
    </row>
    <row r="913" ht="15.75" customHeight="1"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  <c r="AF913" s="154"/>
      <c r="AG913" s="154"/>
    </row>
    <row r="914" ht="15.75" customHeight="1"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  <c r="AF914" s="154"/>
      <c r="AG914" s="154"/>
    </row>
    <row r="915" ht="15.75" customHeight="1"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  <c r="AF915" s="154"/>
      <c r="AG915" s="154"/>
    </row>
    <row r="916" ht="15.75" customHeight="1"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  <c r="AF916" s="154"/>
      <c r="AG916" s="154"/>
    </row>
    <row r="917" ht="15.75" customHeight="1"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  <c r="AF917" s="154"/>
      <c r="AG917" s="154"/>
    </row>
    <row r="918" ht="15.75" customHeight="1"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  <c r="AF918" s="154"/>
      <c r="AG918" s="154"/>
    </row>
    <row r="919" ht="15.75" customHeight="1"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  <c r="AF919" s="154"/>
      <c r="AG919" s="154"/>
    </row>
    <row r="920" ht="15.75" customHeight="1"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  <c r="AF920" s="154"/>
      <c r="AG920" s="154"/>
    </row>
    <row r="921" ht="15.75" customHeight="1"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  <c r="AF921" s="154"/>
      <c r="AG921" s="154"/>
    </row>
    <row r="922" ht="15.75" customHeight="1"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  <c r="AF922" s="154"/>
      <c r="AG922" s="154"/>
    </row>
    <row r="923" ht="15.75" customHeight="1"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  <c r="AF923" s="154"/>
      <c r="AG923" s="154"/>
    </row>
    <row r="924" ht="15.75" customHeight="1"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  <c r="AF924" s="154"/>
      <c r="AG924" s="154"/>
    </row>
    <row r="925" ht="15.75" customHeight="1"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  <c r="AF925" s="154"/>
      <c r="AG925" s="154"/>
    </row>
    <row r="926" ht="15.75" customHeight="1"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  <c r="AF926" s="154"/>
      <c r="AG926" s="154"/>
    </row>
    <row r="927" ht="15.75" customHeight="1"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  <c r="AF927" s="154"/>
      <c r="AG927" s="154"/>
    </row>
    <row r="928" ht="15.75" customHeight="1"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  <c r="AF928" s="154"/>
      <c r="AG928" s="154"/>
    </row>
    <row r="929" ht="15.75" customHeight="1"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  <c r="AF929" s="154"/>
      <c r="AG929" s="154"/>
    </row>
    <row r="930" ht="15.75" customHeight="1"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154"/>
    </row>
    <row r="931" ht="15.75" customHeight="1"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  <c r="AF931" s="154"/>
      <c r="AG931" s="154"/>
    </row>
    <row r="932" ht="15.75" customHeight="1"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  <c r="AF932" s="154"/>
      <c r="AG932" s="154"/>
    </row>
    <row r="933" ht="15.75" customHeight="1"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  <c r="AF933" s="154"/>
      <c r="AG933" s="154"/>
    </row>
    <row r="934" ht="15.75" customHeight="1"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  <c r="AF934" s="154"/>
      <c r="AG934" s="154"/>
    </row>
    <row r="935" ht="15.75" customHeight="1"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  <c r="AF935" s="154"/>
      <c r="AG935" s="154"/>
    </row>
    <row r="936" ht="15.75" customHeight="1"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  <c r="AF936" s="154"/>
      <c r="AG936" s="154"/>
    </row>
    <row r="937" ht="15.75" customHeight="1"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  <c r="AF937" s="154"/>
      <c r="AG937" s="154"/>
    </row>
    <row r="938" ht="15.75" customHeight="1"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  <c r="AF938" s="154"/>
      <c r="AG938" s="154"/>
    </row>
    <row r="939" ht="15.75" customHeight="1"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154"/>
    </row>
    <row r="940" ht="15.75" customHeight="1"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154"/>
    </row>
    <row r="941" ht="15.75" customHeight="1"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154"/>
    </row>
    <row r="942" ht="15.75" customHeight="1"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154"/>
    </row>
    <row r="943" ht="15.75" customHeight="1"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154"/>
    </row>
    <row r="944" ht="15.75" customHeight="1"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154"/>
    </row>
    <row r="945" ht="15.75" customHeight="1"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154"/>
    </row>
    <row r="946" ht="15.75" customHeight="1"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154"/>
    </row>
    <row r="947" ht="15.75" customHeight="1"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154"/>
    </row>
    <row r="948" ht="15.75" customHeight="1"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154"/>
    </row>
    <row r="949" ht="15.75" customHeight="1"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154"/>
    </row>
    <row r="950" ht="15.75" customHeight="1"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154"/>
    </row>
    <row r="951" ht="15.75" customHeight="1"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  <c r="AF951" s="154"/>
      <c r="AG951" s="154"/>
    </row>
    <row r="952" ht="15.75" customHeight="1"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  <c r="AF952" s="154"/>
      <c r="AG952" s="154"/>
    </row>
    <row r="953" ht="15.75" customHeight="1"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  <c r="AF953" s="154"/>
      <c r="AG953" s="154"/>
    </row>
    <row r="954" ht="15.75" customHeight="1"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  <c r="AF954" s="154"/>
      <c r="AG954" s="154"/>
    </row>
    <row r="955" ht="15.75" customHeight="1"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  <c r="AF955" s="154"/>
      <c r="AG955" s="154"/>
    </row>
    <row r="956" ht="15.75" customHeight="1"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  <c r="AF956" s="154"/>
      <c r="AG956" s="154"/>
    </row>
    <row r="957" ht="15.75" customHeight="1"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  <c r="AF957" s="154"/>
      <c r="AG957" s="154"/>
    </row>
    <row r="958" ht="15.75" customHeight="1"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  <c r="AF958" s="154"/>
      <c r="AG958" s="154"/>
    </row>
    <row r="959" ht="15.75" customHeight="1"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  <c r="AF959" s="154"/>
      <c r="AG959" s="154"/>
    </row>
    <row r="960" ht="15.75" customHeight="1"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  <c r="AF960" s="154"/>
      <c r="AG960" s="154"/>
    </row>
    <row r="961" ht="15.75" customHeight="1"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  <c r="AF961" s="154"/>
      <c r="AG961" s="154"/>
    </row>
    <row r="962" ht="15.75" customHeight="1"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  <c r="AF962" s="154"/>
      <c r="AG962" s="154"/>
    </row>
    <row r="963" ht="15.75" customHeight="1"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  <c r="AF963" s="154"/>
      <c r="AG963" s="154"/>
    </row>
    <row r="964" ht="15.75" customHeight="1"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  <c r="AF964" s="154"/>
      <c r="AG964" s="154"/>
    </row>
    <row r="965" ht="15.75" customHeight="1"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  <c r="AF965" s="154"/>
      <c r="AG965" s="154"/>
    </row>
    <row r="966" ht="15.75" customHeight="1"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  <c r="AF966" s="154"/>
      <c r="AG966" s="154"/>
    </row>
    <row r="967" ht="15.75" customHeight="1"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  <c r="AF967" s="154"/>
      <c r="AG967" s="154"/>
    </row>
    <row r="968" ht="15.75" customHeight="1"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  <c r="AF968" s="154"/>
      <c r="AG968" s="154"/>
    </row>
    <row r="969" ht="15.75" customHeight="1"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  <c r="AF969" s="154"/>
      <c r="AG969" s="154"/>
    </row>
    <row r="970" ht="15.75" customHeight="1"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  <c r="AF970" s="154"/>
      <c r="AG970" s="154"/>
    </row>
    <row r="971" ht="15.75" customHeight="1"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  <c r="AF971" s="154"/>
      <c r="AG971" s="154"/>
    </row>
    <row r="972" ht="15.75" customHeight="1"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  <c r="AF972" s="154"/>
      <c r="AG972" s="154"/>
    </row>
    <row r="973" ht="15.75" customHeight="1"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  <c r="AF973" s="154"/>
      <c r="AG973" s="154"/>
    </row>
    <row r="974" ht="15.75" customHeight="1"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  <c r="AF974" s="154"/>
      <c r="AG974" s="154"/>
    </row>
    <row r="975" ht="15.75" customHeight="1"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  <c r="AF975" s="154"/>
      <c r="AG975" s="154"/>
    </row>
    <row r="976" ht="15.75" customHeight="1"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  <c r="AF976" s="154"/>
      <c r="AG976" s="154"/>
    </row>
    <row r="977" ht="15.75" customHeight="1"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154"/>
    </row>
    <row r="978" ht="15.75" customHeight="1"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154"/>
    </row>
    <row r="979" ht="15.75" customHeight="1"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154"/>
    </row>
    <row r="980" ht="15.75" customHeight="1"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154"/>
    </row>
    <row r="981" ht="15.75" customHeight="1"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154"/>
    </row>
    <row r="982" ht="15.75" customHeight="1"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154"/>
    </row>
    <row r="983" ht="15.75" customHeight="1"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154"/>
    </row>
    <row r="984" ht="15.75" customHeight="1"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154"/>
    </row>
    <row r="985" ht="15.75" customHeight="1"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154"/>
    </row>
    <row r="986" ht="15.75" customHeight="1"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154"/>
    </row>
    <row r="987" ht="15.75" customHeight="1"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154"/>
    </row>
    <row r="988" ht="15.75" customHeight="1"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154"/>
    </row>
    <row r="989" ht="15.75" customHeight="1"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154"/>
    </row>
    <row r="990" ht="15.75" customHeight="1"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154"/>
    </row>
    <row r="991" ht="15.75" customHeight="1"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154"/>
    </row>
    <row r="992" ht="15.75" customHeight="1"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154"/>
    </row>
    <row r="993" ht="15.75" customHeight="1"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154"/>
    </row>
    <row r="994" ht="15.75" customHeight="1"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154"/>
    </row>
    <row r="995" ht="15.75" customHeight="1">
      <c r="T995" s="154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  <c r="AE995" s="154"/>
      <c r="AF995" s="154"/>
      <c r="AG995" s="154"/>
    </row>
    <row r="996" ht="15.75" customHeight="1">
      <c r="T996" s="154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  <c r="AE996" s="154"/>
      <c r="AF996" s="154"/>
      <c r="AG996" s="154"/>
    </row>
    <row r="997" ht="15.75" customHeight="1">
      <c r="T997" s="154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  <c r="AE997" s="154"/>
      <c r="AF997" s="154"/>
      <c r="AG997" s="154"/>
    </row>
    <row r="998" ht="15.75" customHeight="1">
      <c r="T998" s="154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  <c r="AE998" s="154"/>
      <c r="AF998" s="154"/>
      <c r="AG998" s="154"/>
    </row>
    <row r="999" ht="15.75" customHeight="1"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</row>
    <row r="1000" ht="15.75" customHeight="1"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</row>
  </sheetData>
  <mergeCells count="3">
    <mergeCell ref="C1:I1"/>
    <mergeCell ref="J1:U1"/>
    <mergeCell ref="V1:Y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6.67"/>
    <col customWidth="1" min="2" max="2" width="25.67"/>
    <col customWidth="1" min="3" max="3" width="23.67"/>
    <col customWidth="1" min="4" max="4" width="23.11"/>
    <col customWidth="1" min="5" max="5" width="16.67"/>
    <col customWidth="1" min="6" max="26" width="9.0"/>
  </cols>
  <sheetData>
    <row r="1" ht="15.75" customHeight="1">
      <c r="A1" s="2" t="s">
        <v>0</v>
      </c>
      <c r="C1" s="3"/>
      <c r="E1" s="5"/>
    </row>
    <row r="2" ht="15.75" customHeight="1">
      <c r="C2" s="3"/>
      <c r="E2" s="5"/>
    </row>
    <row r="3" ht="15.75" customHeight="1">
      <c r="A3" s="8" t="s">
        <v>1</v>
      </c>
      <c r="B3" s="8" t="s">
        <v>2</v>
      </c>
      <c r="C3" s="8" t="s">
        <v>3</v>
      </c>
      <c r="D3" s="11"/>
      <c r="E3" s="14" t="s">
        <v>4</v>
      </c>
    </row>
    <row r="4" ht="15.75" customHeight="1">
      <c r="A4" s="15" t="s">
        <v>5</v>
      </c>
      <c r="B4" s="17" t="s">
        <v>6</v>
      </c>
      <c r="C4" s="19">
        <v>449.0</v>
      </c>
      <c r="D4" s="20" t="s">
        <v>7</v>
      </c>
      <c r="E4" s="5"/>
    </row>
    <row r="5" ht="15.75" customHeight="1">
      <c r="A5" s="23" t="s">
        <v>9</v>
      </c>
      <c r="B5" s="1" t="s">
        <v>10</v>
      </c>
      <c r="C5" s="19">
        <v>898.0</v>
      </c>
      <c r="D5" s="20" t="s">
        <v>11</v>
      </c>
      <c r="E5" s="5"/>
    </row>
    <row r="6" ht="15.75" customHeight="1">
      <c r="A6" s="25" t="s">
        <v>12</v>
      </c>
      <c r="B6" s="1" t="s">
        <v>13</v>
      </c>
      <c r="C6" s="19">
        <v>898.0</v>
      </c>
      <c r="D6" s="20" t="s">
        <v>11</v>
      </c>
      <c r="E6" s="5"/>
    </row>
    <row r="7" ht="15.75" customHeight="1">
      <c r="A7" s="27" t="s">
        <v>16</v>
      </c>
      <c r="B7" s="30" t="s">
        <v>18</v>
      </c>
      <c r="C7" s="33">
        <v>898.0</v>
      </c>
      <c r="D7" s="34" t="s">
        <v>11</v>
      </c>
      <c r="E7" s="39">
        <f>SUM(C4:C7)</f>
        <v>3143</v>
      </c>
    </row>
    <row r="8" ht="15.75" customHeight="1">
      <c r="A8" s="23" t="s">
        <v>30</v>
      </c>
      <c r="B8" s="1" t="s">
        <v>32</v>
      </c>
      <c r="C8" s="19">
        <v>898.0</v>
      </c>
      <c r="D8" s="20" t="s">
        <v>7</v>
      </c>
      <c r="E8" s="5"/>
    </row>
    <row r="9" ht="15.75" customHeight="1">
      <c r="A9" s="25" t="s">
        <v>35</v>
      </c>
      <c r="B9" s="1" t="s">
        <v>36</v>
      </c>
      <c r="C9" s="19">
        <v>912.0</v>
      </c>
      <c r="D9" s="20" t="s">
        <v>11</v>
      </c>
      <c r="E9" s="5"/>
    </row>
    <row r="10" ht="15.75" customHeight="1">
      <c r="A10" s="27" t="s">
        <v>39</v>
      </c>
      <c r="B10" s="30" t="s">
        <v>41</v>
      </c>
      <c r="C10" s="33">
        <v>467.0</v>
      </c>
      <c r="D10" s="34" t="s">
        <v>11</v>
      </c>
      <c r="E10" s="39">
        <f>SUM(C8:C10)</f>
        <v>2277</v>
      </c>
    </row>
    <row r="11" ht="15.75" customHeight="1">
      <c r="A11" s="45">
        <v>45506.0</v>
      </c>
      <c r="B11" s="1" t="s">
        <v>47</v>
      </c>
      <c r="C11" s="19">
        <v>467.0</v>
      </c>
      <c r="D11" s="20" t="s">
        <v>7</v>
      </c>
      <c r="E11" s="5"/>
    </row>
    <row r="12" ht="15.75" customHeight="1">
      <c r="A12" s="25" t="s">
        <v>48</v>
      </c>
      <c r="B12" s="1" t="s">
        <v>49</v>
      </c>
      <c r="C12" s="19">
        <v>467.0</v>
      </c>
      <c r="D12" s="20" t="s">
        <v>11</v>
      </c>
      <c r="E12" s="5"/>
    </row>
    <row r="13" ht="15.75" customHeight="1">
      <c r="A13" s="27" t="s">
        <v>52</v>
      </c>
      <c r="B13" s="30" t="s">
        <v>54</v>
      </c>
      <c r="C13" s="33">
        <v>467.0</v>
      </c>
      <c r="D13" s="34" t="s">
        <v>11</v>
      </c>
      <c r="E13" s="39">
        <f>SUM(C11:C13)</f>
        <v>1401</v>
      </c>
    </row>
    <row r="14" ht="15.75" customHeight="1">
      <c r="A14" s="45">
        <v>45532.0</v>
      </c>
      <c r="B14" s="1" t="s">
        <v>61</v>
      </c>
      <c r="C14" s="19">
        <v>467.0</v>
      </c>
      <c r="D14" s="20" t="s">
        <v>7</v>
      </c>
      <c r="E14" s="5"/>
    </row>
    <row r="15" ht="15.75" customHeight="1">
      <c r="A15" s="45">
        <v>45540.0</v>
      </c>
      <c r="B15" s="1" t="s">
        <v>63</v>
      </c>
      <c r="C15" s="19">
        <v>467.0</v>
      </c>
      <c r="D15" s="20" t="s">
        <v>11</v>
      </c>
      <c r="E15" s="5"/>
    </row>
    <row r="16" ht="15.75" customHeight="1">
      <c r="A16" s="45">
        <v>45548.0</v>
      </c>
      <c r="B16" s="1" t="s">
        <v>65</v>
      </c>
      <c r="C16" s="19">
        <v>467.0</v>
      </c>
      <c r="D16" s="20" t="s">
        <v>11</v>
      </c>
      <c r="E16" s="5"/>
    </row>
    <row r="17" ht="15.75" customHeight="1">
      <c r="A17" s="54">
        <v>45555.0</v>
      </c>
      <c r="B17" s="30" t="s">
        <v>68</v>
      </c>
      <c r="C17" s="33">
        <v>467.0</v>
      </c>
      <c r="D17" s="34" t="s">
        <v>11</v>
      </c>
      <c r="E17" s="39">
        <f>SUM(C14:C17)</f>
        <v>1868</v>
      </c>
    </row>
    <row r="18" ht="15.75" customHeight="1">
      <c r="A18" s="56" t="s">
        <v>69</v>
      </c>
      <c r="B18" s="1" t="s">
        <v>70</v>
      </c>
      <c r="C18" s="19">
        <v>467.0</v>
      </c>
      <c r="D18" s="20" t="s">
        <v>7</v>
      </c>
      <c r="E18" s="58"/>
    </row>
    <row r="19" ht="15.75" customHeight="1">
      <c r="A19" s="56" t="s">
        <v>71</v>
      </c>
      <c r="B19" s="1" t="s">
        <v>72</v>
      </c>
      <c r="C19" s="19">
        <v>467.0</v>
      </c>
      <c r="D19" s="20" t="s">
        <v>11</v>
      </c>
      <c r="E19" s="58"/>
    </row>
    <row r="20" ht="15.75" customHeight="1">
      <c r="A20" s="56" t="s">
        <v>76</v>
      </c>
      <c r="B20" s="1" t="s">
        <v>77</v>
      </c>
      <c r="C20" s="19">
        <v>481.0</v>
      </c>
      <c r="D20" s="20" t="s">
        <v>11</v>
      </c>
      <c r="E20" s="5"/>
    </row>
    <row r="21" ht="15.75" customHeight="1">
      <c r="A21" s="65" t="s">
        <v>78</v>
      </c>
      <c r="B21" s="30" t="s">
        <v>79</v>
      </c>
      <c r="C21" s="33">
        <v>492.0</v>
      </c>
      <c r="D21" s="34" t="s">
        <v>11</v>
      </c>
      <c r="E21" s="39">
        <f>SUM(C18:C21)</f>
        <v>1907</v>
      </c>
    </row>
    <row r="22" ht="15.75" customHeight="1">
      <c r="A22" s="68" t="s">
        <v>80</v>
      </c>
      <c r="B22" s="1" t="s">
        <v>81</v>
      </c>
      <c r="C22" s="19">
        <v>492.0</v>
      </c>
      <c r="D22" s="20" t="s">
        <v>7</v>
      </c>
      <c r="E22" s="5"/>
    </row>
    <row r="23" ht="15.75" customHeight="1">
      <c r="A23" s="68" t="s">
        <v>82</v>
      </c>
      <c r="B23" s="1" t="s">
        <v>83</v>
      </c>
      <c r="C23" s="19">
        <v>492.0</v>
      </c>
      <c r="D23" s="20" t="s">
        <v>11</v>
      </c>
      <c r="E23" s="5"/>
    </row>
    <row r="24" ht="15.75" customHeight="1">
      <c r="A24" s="68" t="s">
        <v>85</v>
      </c>
      <c r="B24" s="1" t="s">
        <v>86</v>
      </c>
      <c r="C24" s="19">
        <v>492.0</v>
      </c>
      <c r="D24" s="20" t="s">
        <v>11</v>
      </c>
      <c r="E24" s="5"/>
    </row>
    <row r="25" ht="15.75" customHeight="1">
      <c r="A25" s="73" t="s">
        <v>87</v>
      </c>
      <c r="B25" s="30" t="s">
        <v>89</v>
      </c>
      <c r="C25" s="33">
        <v>497.0</v>
      </c>
      <c r="D25" s="34" t="s">
        <v>11</v>
      </c>
      <c r="E25" s="39">
        <f>SUM(C22:C25)</f>
        <v>1973</v>
      </c>
    </row>
    <row r="26" ht="15.75" customHeight="1">
      <c r="A26" s="1" t="s">
        <v>91</v>
      </c>
      <c r="B26" s="1" t="s">
        <v>92</v>
      </c>
      <c r="C26" s="19">
        <v>497.0</v>
      </c>
      <c r="D26" s="20" t="s">
        <v>7</v>
      </c>
      <c r="E26" s="5"/>
    </row>
    <row r="27" ht="15.75" customHeight="1">
      <c r="A27" s="45">
        <v>45577.0</v>
      </c>
      <c r="B27" s="1" t="s">
        <v>94</v>
      </c>
      <c r="C27" s="19">
        <v>497.0</v>
      </c>
      <c r="D27" s="20" t="s">
        <v>11</v>
      </c>
      <c r="E27" s="5"/>
    </row>
    <row r="28" ht="15.75" customHeight="1">
      <c r="A28" s="1" t="s">
        <v>95</v>
      </c>
      <c r="B28" s="1" t="s">
        <v>96</v>
      </c>
      <c r="C28" s="19">
        <v>497.0</v>
      </c>
      <c r="D28" s="20" t="s">
        <v>11</v>
      </c>
      <c r="E28" s="5"/>
    </row>
    <row r="29" ht="15.75" customHeight="1">
      <c r="A29" s="23" t="s">
        <v>97</v>
      </c>
      <c r="B29" s="1" t="s">
        <v>98</v>
      </c>
      <c r="C29" s="19">
        <v>497.0</v>
      </c>
      <c r="D29" s="20" t="s">
        <v>11</v>
      </c>
      <c r="E29" s="5"/>
    </row>
    <row r="30" ht="15.75" customHeight="1">
      <c r="A30" s="81" t="s">
        <v>99</v>
      </c>
      <c r="B30" s="30" t="s">
        <v>100</v>
      </c>
      <c r="C30" s="33">
        <v>497.0</v>
      </c>
      <c r="D30" s="34" t="s">
        <v>11</v>
      </c>
      <c r="E30" s="39">
        <f>SUM(C26:C30)</f>
        <v>2485</v>
      </c>
    </row>
    <row r="31" ht="15.75" customHeight="1">
      <c r="A31" s="45">
        <v>45809.0</v>
      </c>
      <c r="B31" s="1" t="s">
        <v>102</v>
      </c>
      <c r="C31" s="19">
        <v>497.0</v>
      </c>
      <c r="D31" s="20" t="s">
        <v>7</v>
      </c>
      <c r="E31" s="5"/>
    </row>
    <row r="32" ht="15.75" customHeight="1">
      <c r="A32" s="23" t="s">
        <v>104</v>
      </c>
      <c r="B32" s="1" t="s">
        <v>105</v>
      </c>
      <c r="C32" s="19">
        <v>497.0</v>
      </c>
      <c r="D32" s="20" t="s">
        <v>11</v>
      </c>
      <c r="E32" s="5"/>
    </row>
    <row r="33" ht="15.75" customHeight="1">
      <c r="A33" s="23" t="s">
        <v>106</v>
      </c>
      <c r="B33" s="1" t="s">
        <v>107</v>
      </c>
      <c r="C33" s="19">
        <v>504.0</v>
      </c>
      <c r="D33" s="20" t="s">
        <v>11</v>
      </c>
      <c r="E33" s="39"/>
    </row>
    <row r="34" ht="15.75" customHeight="1">
      <c r="A34" s="89" t="s">
        <v>74</v>
      </c>
      <c r="B34" s="89" t="s">
        <v>108</v>
      </c>
      <c r="C34" s="90">
        <v>533.0</v>
      </c>
      <c r="D34" s="92" t="s">
        <v>11</v>
      </c>
      <c r="E34" s="39">
        <f>SUM(C31:C34)</f>
        <v>2031</v>
      </c>
    </row>
    <row r="35" ht="15.75" customHeight="1">
      <c r="A35" s="45">
        <v>45698.0</v>
      </c>
      <c r="B35" s="1" t="s">
        <v>109</v>
      </c>
      <c r="C35" s="19">
        <v>517.0</v>
      </c>
      <c r="D35" s="20" t="s">
        <v>11</v>
      </c>
      <c r="E35" s="5"/>
    </row>
    <row r="36" ht="15.75" customHeight="1">
      <c r="A36" s="45">
        <v>45705.0</v>
      </c>
      <c r="B36" s="1" t="s">
        <v>110</v>
      </c>
      <c r="C36" s="19">
        <v>517.0</v>
      </c>
      <c r="D36" s="20" t="s">
        <v>11</v>
      </c>
      <c r="E36" s="5"/>
    </row>
    <row r="37" ht="15.75" customHeight="1">
      <c r="A37" s="54">
        <v>45711.0</v>
      </c>
      <c r="B37" s="30" t="s">
        <v>111</v>
      </c>
      <c r="C37" s="33">
        <v>517.0</v>
      </c>
      <c r="D37" s="34" t="s">
        <v>11</v>
      </c>
      <c r="E37" s="39">
        <f>SUM(C35:C37)</f>
        <v>1551</v>
      </c>
    </row>
    <row r="38" ht="15.75" customHeight="1">
      <c r="A38" s="45">
        <v>45721.0</v>
      </c>
      <c r="B38" s="1" t="s">
        <v>114</v>
      </c>
      <c r="C38" s="19">
        <v>497.0</v>
      </c>
      <c r="D38" s="20" t="s">
        <v>11</v>
      </c>
      <c r="E38" s="5"/>
    </row>
    <row r="39" ht="15.75" customHeight="1">
      <c r="A39" s="45">
        <v>45727.0</v>
      </c>
      <c r="B39" s="23" t="s">
        <v>117</v>
      </c>
      <c r="C39" s="19">
        <v>497.0</v>
      </c>
      <c r="D39" s="20" t="s">
        <v>11</v>
      </c>
      <c r="E39" s="5"/>
    </row>
    <row r="40" ht="15.75" customHeight="1">
      <c r="A40" s="54">
        <v>45736.0</v>
      </c>
      <c r="B40" s="30" t="s">
        <v>120</v>
      </c>
      <c r="C40" s="33">
        <v>492.0</v>
      </c>
      <c r="D40" s="34" t="s">
        <v>11</v>
      </c>
      <c r="E40" s="39">
        <f>SUM(C38:C40)</f>
        <v>1486</v>
      </c>
    </row>
    <row r="41" ht="15.75" customHeight="1">
      <c r="A41" s="45" t="s">
        <v>122</v>
      </c>
      <c r="B41" s="23" t="s">
        <v>124</v>
      </c>
      <c r="C41" s="19">
        <v>492.0</v>
      </c>
      <c r="D41" s="20" t="s">
        <v>11</v>
      </c>
      <c r="E41" s="5"/>
    </row>
    <row r="42" ht="15.75" customHeight="1">
      <c r="A42" s="45">
        <v>45842.0</v>
      </c>
      <c r="B42" s="23" t="s">
        <v>126</v>
      </c>
      <c r="C42" s="19">
        <v>492.0</v>
      </c>
      <c r="D42" s="20" t="s">
        <v>11</v>
      </c>
      <c r="E42" s="5"/>
    </row>
    <row r="43" ht="15.75" customHeight="1">
      <c r="A43" s="23" t="s">
        <v>128</v>
      </c>
      <c r="B43" s="23" t="s">
        <v>129</v>
      </c>
      <c r="C43" s="19">
        <v>492.0</v>
      </c>
      <c r="D43" s="20" t="s">
        <v>11</v>
      </c>
      <c r="E43" s="5"/>
    </row>
    <row r="44" ht="15.75" customHeight="1">
      <c r="A44" s="30" t="s">
        <v>132</v>
      </c>
      <c r="B44" s="30" t="s">
        <v>134</v>
      </c>
      <c r="C44" s="33">
        <v>492.0</v>
      </c>
      <c r="D44" s="34" t="s">
        <v>11</v>
      </c>
      <c r="E44" s="39">
        <f>SUM(C41:C44)</f>
        <v>1968</v>
      </c>
    </row>
    <row r="45" ht="15.75" customHeight="1">
      <c r="A45" s="23" t="s">
        <v>137</v>
      </c>
      <c r="B45" s="23" t="s">
        <v>138</v>
      </c>
      <c r="C45" s="19">
        <v>480.0</v>
      </c>
      <c r="D45" s="20" t="s">
        <v>11</v>
      </c>
      <c r="E45" s="5"/>
    </row>
    <row r="46" ht="15.75" customHeight="1">
      <c r="A46" s="45">
        <v>45783.0</v>
      </c>
      <c r="B46" s="23" t="s">
        <v>142</v>
      </c>
      <c r="C46" s="19">
        <v>480.0</v>
      </c>
      <c r="D46" s="20" t="s">
        <v>11</v>
      </c>
      <c r="E46" s="5"/>
    </row>
    <row r="47" ht="15.75" customHeight="1">
      <c r="A47" s="45">
        <v>45783.0</v>
      </c>
      <c r="B47" s="23" t="s">
        <v>143</v>
      </c>
      <c r="C47" s="19">
        <v>480.0</v>
      </c>
      <c r="D47" s="20" t="s">
        <v>11</v>
      </c>
      <c r="E47" s="5"/>
    </row>
    <row r="48" ht="15.75" customHeight="1">
      <c r="A48" s="98">
        <v>45803.0</v>
      </c>
      <c r="B48" s="89" t="s">
        <v>144</v>
      </c>
      <c r="C48" s="90">
        <v>460.0</v>
      </c>
      <c r="D48" s="34" t="s">
        <v>11</v>
      </c>
      <c r="E48" s="39">
        <f>SUM(C45:C48)</f>
        <v>1900</v>
      </c>
    </row>
    <row r="49" ht="15.75" customHeight="1">
      <c r="A49" s="45">
        <v>45810.0</v>
      </c>
      <c r="B49" s="1" t="s">
        <v>146</v>
      </c>
      <c r="C49" s="19">
        <v>460.0</v>
      </c>
      <c r="D49" s="20" t="s">
        <v>11</v>
      </c>
      <c r="E49" s="5"/>
    </row>
    <row r="50" ht="15.75" customHeight="1">
      <c r="A50" s="45">
        <v>45817.0</v>
      </c>
      <c r="B50" s="1" t="s">
        <v>150</v>
      </c>
      <c r="C50" s="19">
        <v>460.0</v>
      </c>
      <c r="D50" s="20" t="s">
        <v>11</v>
      </c>
      <c r="E50" s="5"/>
    </row>
    <row r="51" ht="15.75" customHeight="1">
      <c r="A51" s="45">
        <v>45822.0</v>
      </c>
      <c r="B51" s="1" t="s">
        <v>152</v>
      </c>
      <c r="C51" s="19">
        <v>460.0</v>
      </c>
      <c r="D51" s="20" t="s">
        <v>11</v>
      </c>
      <c r="E51" s="5"/>
    </row>
    <row r="52" ht="15.75" customHeight="1">
      <c r="A52" s="98">
        <v>45830.0</v>
      </c>
      <c r="B52" s="89" t="s">
        <v>154</v>
      </c>
      <c r="C52" s="90">
        <v>460.0</v>
      </c>
      <c r="D52" s="92" t="s">
        <v>11</v>
      </c>
      <c r="E52" s="39">
        <f>SUM(C49:C52)</f>
        <v>1840</v>
      </c>
    </row>
    <row r="53" ht="15.75" customHeight="1">
      <c r="A53" s="102">
        <v>45836.0</v>
      </c>
      <c r="B53" s="103" t="s">
        <v>159</v>
      </c>
      <c r="C53" s="19">
        <v>460.0</v>
      </c>
      <c r="D53" s="20" t="s">
        <v>11</v>
      </c>
      <c r="E53" s="5"/>
    </row>
    <row r="54" ht="15.75" customHeight="1">
      <c r="A54" s="45">
        <v>45845.0</v>
      </c>
      <c r="B54" s="1" t="s">
        <v>162</v>
      </c>
      <c r="C54" s="19">
        <v>460.0</v>
      </c>
      <c r="D54" s="20" t="s">
        <v>11</v>
      </c>
      <c r="E54" s="5"/>
    </row>
    <row r="55" ht="15.75" customHeight="1">
      <c r="A55" s="45">
        <v>45848.0</v>
      </c>
      <c r="B55" s="1" t="s">
        <v>163</v>
      </c>
      <c r="C55" s="19">
        <v>450.0</v>
      </c>
      <c r="D55" s="20" t="s">
        <v>11</v>
      </c>
      <c r="E55" s="5"/>
    </row>
    <row r="56" ht="15.75" customHeight="1">
      <c r="A56" s="45"/>
      <c r="B56" s="1"/>
      <c r="C56" s="19">
        <v>440.0</v>
      </c>
      <c r="D56" s="20" t="s">
        <v>11</v>
      </c>
      <c r="E56" s="5"/>
    </row>
    <row r="57" ht="15.75" customHeight="1">
      <c r="A57" s="110">
        <v>45868.0</v>
      </c>
      <c r="B57" s="111" t="s">
        <v>164</v>
      </c>
      <c r="C57" s="19">
        <v>440.0</v>
      </c>
      <c r="D57" s="92" t="s">
        <v>11</v>
      </c>
      <c r="E57" s="39">
        <f>SUM(C53:C57)</f>
        <v>2250</v>
      </c>
    </row>
    <row r="58" ht="15.75" customHeight="1">
      <c r="A58" s="102">
        <v>45873.0</v>
      </c>
      <c r="B58" s="112" t="s">
        <v>165</v>
      </c>
      <c r="C58" s="113">
        <v>440.0</v>
      </c>
      <c r="D58" s="112"/>
      <c r="E58" s="5"/>
    </row>
    <row r="59" ht="15.75" customHeight="1">
      <c r="A59" s="45">
        <v>45877.0</v>
      </c>
      <c r="B59" s="1" t="s">
        <v>166</v>
      </c>
      <c r="C59" s="19">
        <v>420.0</v>
      </c>
      <c r="D59" s="1"/>
      <c r="E59" s="5"/>
    </row>
    <row r="60" ht="15.75" customHeight="1">
      <c r="A60" s="45">
        <v>45884.0</v>
      </c>
      <c r="B60" s="1" t="s">
        <v>167</v>
      </c>
      <c r="C60" s="19">
        <v>420.0</v>
      </c>
      <c r="D60" s="1"/>
      <c r="E60" s="5"/>
    </row>
    <row r="61" ht="15.75" customHeight="1">
      <c r="A61" s="45">
        <v>45891.0</v>
      </c>
      <c r="B61" s="1" t="s">
        <v>168</v>
      </c>
      <c r="C61" s="19">
        <v>420.0</v>
      </c>
      <c r="D61" s="1"/>
      <c r="E61" s="5"/>
    </row>
    <row r="62" ht="15.75" customHeight="1">
      <c r="A62" s="110">
        <v>45898.0</v>
      </c>
      <c r="B62" s="111" t="s">
        <v>169</v>
      </c>
      <c r="C62" s="114">
        <v>420.0</v>
      </c>
      <c r="D62" s="111"/>
      <c r="E62" s="58">
        <f>SUM(C58:C62)</f>
        <v>2120</v>
      </c>
    </row>
    <row r="63" ht="15.75" customHeight="1">
      <c r="A63" s="102">
        <v>45903.0</v>
      </c>
      <c r="B63" s="112" t="s">
        <v>170</v>
      </c>
      <c r="C63" s="113">
        <v>420.0</v>
      </c>
      <c r="D63" s="112"/>
      <c r="E63" s="5"/>
    </row>
    <row r="64" ht="15.75" customHeight="1">
      <c r="A64" s="45">
        <v>45910.0</v>
      </c>
      <c r="B64" s="1" t="s">
        <v>171</v>
      </c>
      <c r="C64" s="19">
        <v>420.0</v>
      </c>
      <c r="D64" s="1"/>
      <c r="E64" s="5"/>
    </row>
    <row r="65" ht="15.75" customHeight="1">
      <c r="A65" s="45">
        <v>45915.0</v>
      </c>
      <c r="B65" s="1" t="s">
        <v>172</v>
      </c>
      <c r="C65" s="19">
        <v>420.0</v>
      </c>
      <c r="D65" s="1"/>
      <c r="E65" s="5"/>
    </row>
    <row r="66" ht="15.75" customHeight="1">
      <c r="A66" s="45">
        <v>45923.0</v>
      </c>
      <c r="B66" s="1" t="s">
        <v>173</v>
      </c>
      <c r="C66" s="19">
        <v>420.0</v>
      </c>
      <c r="D66" s="1"/>
      <c r="E66" s="5"/>
    </row>
    <row r="67" ht="15.75" customHeight="1">
      <c r="A67" s="110">
        <v>45930.0</v>
      </c>
      <c r="B67" s="111" t="s">
        <v>174</v>
      </c>
      <c r="C67" s="114">
        <v>420.0</v>
      </c>
      <c r="D67" s="111"/>
      <c r="E67" s="58">
        <f>SUM(C63:C67)</f>
        <v>2100</v>
      </c>
    </row>
    <row r="68" ht="15.75" customHeight="1">
      <c r="A68" s="102">
        <v>45937.0</v>
      </c>
      <c r="B68" s="112" t="s">
        <v>176</v>
      </c>
      <c r="C68" s="113">
        <v>420.0</v>
      </c>
      <c r="D68" s="112"/>
      <c r="E68" s="5"/>
    </row>
    <row r="69" ht="15.75" customHeight="1">
      <c r="A69" s="45">
        <v>45943.0</v>
      </c>
      <c r="B69" s="1" t="s">
        <v>177</v>
      </c>
      <c r="C69" s="19">
        <v>420.0</v>
      </c>
      <c r="D69" s="1"/>
      <c r="E69" s="5"/>
    </row>
    <row r="70" ht="15.75" customHeight="1">
      <c r="A70" s="45">
        <v>45948.0</v>
      </c>
      <c r="B70" s="1" t="s">
        <v>178</v>
      </c>
      <c r="C70" s="19">
        <v>420.0</v>
      </c>
      <c r="D70" s="1"/>
      <c r="E70" s="5"/>
    </row>
    <row r="71" ht="15.75" customHeight="1">
      <c r="A71" s="110">
        <v>45955.0</v>
      </c>
      <c r="B71" s="111" t="s">
        <v>179</v>
      </c>
      <c r="C71" s="114">
        <v>400.0</v>
      </c>
      <c r="D71" s="111"/>
      <c r="E71" s="58">
        <f>SUM(C68:C71)</f>
        <v>1660</v>
      </c>
    </row>
    <row r="72" ht="15.75" customHeight="1">
      <c r="A72" s="102">
        <v>45962.0</v>
      </c>
      <c r="B72" s="112" t="s">
        <v>181</v>
      </c>
      <c r="C72" s="113">
        <v>400.0</v>
      </c>
      <c r="D72" s="112"/>
      <c r="E72" s="5"/>
    </row>
    <row r="73" ht="15.75" customHeight="1">
      <c r="A73" s="45">
        <v>45969.0</v>
      </c>
      <c r="B73" s="1" t="s">
        <v>182</v>
      </c>
      <c r="C73" s="19">
        <v>400.0</v>
      </c>
      <c r="D73" s="1"/>
      <c r="E73" s="5"/>
    </row>
    <row r="74" ht="15.75" customHeight="1">
      <c r="A74" s="45">
        <v>45976.0</v>
      </c>
      <c r="B74" s="1" t="s">
        <v>183</v>
      </c>
      <c r="C74" s="19">
        <v>400.0</v>
      </c>
      <c r="D74" s="1"/>
      <c r="E74" s="5"/>
    </row>
    <row r="75" ht="15.75" customHeight="1">
      <c r="A75" s="45">
        <v>45983.0</v>
      </c>
      <c r="B75" s="1" t="s">
        <v>184</v>
      </c>
      <c r="C75" s="19">
        <v>400.0</v>
      </c>
      <c r="D75" s="1"/>
      <c r="E75" s="5"/>
    </row>
    <row r="76" ht="15.75" customHeight="1">
      <c r="A76" s="110">
        <v>45990.0</v>
      </c>
      <c r="B76" s="111" t="s">
        <v>185</v>
      </c>
      <c r="C76" s="114">
        <v>400.0</v>
      </c>
      <c r="D76" s="111"/>
      <c r="E76" s="58">
        <f>SUM(C72:C76)</f>
        <v>2000</v>
      </c>
    </row>
    <row r="77" ht="15.75" customHeight="1">
      <c r="A77" s="102">
        <v>45995.0</v>
      </c>
      <c r="B77" s="112" t="s">
        <v>186</v>
      </c>
      <c r="C77" s="113">
        <v>400.0</v>
      </c>
      <c r="D77" s="112"/>
      <c r="E77" s="5"/>
    </row>
    <row r="78" ht="15.75" customHeight="1">
      <c r="A78" s="45">
        <v>45999.0</v>
      </c>
      <c r="B78" s="1" t="s">
        <v>187</v>
      </c>
      <c r="C78" s="19">
        <v>400.0</v>
      </c>
      <c r="D78" s="1"/>
      <c r="E78" s="5"/>
    </row>
    <row r="79" ht="15.75" customHeight="1">
      <c r="A79" s="45">
        <v>46010.0</v>
      </c>
      <c r="B79" s="1" t="s">
        <v>188</v>
      </c>
      <c r="C79" s="19">
        <v>400.0</v>
      </c>
      <c r="D79" s="1"/>
      <c r="E79" s="5"/>
    </row>
    <row r="80" ht="15.75" customHeight="1">
      <c r="A80" s="110">
        <v>46015.0</v>
      </c>
      <c r="B80" s="111" t="s">
        <v>189</v>
      </c>
      <c r="C80" s="114">
        <v>400.0</v>
      </c>
      <c r="D80" s="111"/>
      <c r="E80" s="58">
        <f>SUM(C77:C80)</f>
        <v>1600</v>
      </c>
    </row>
    <row r="81" ht="15.75" customHeight="1">
      <c r="A81" s="102">
        <v>46024.0</v>
      </c>
      <c r="B81" s="112" t="s">
        <v>190</v>
      </c>
      <c r="C81" s="113">
        <v>400.0</v>
      </c>
      <c r="D81" s="112"/>
      <c r="E81" s="5"/>
    </row>
    <row r="82" ht="15.75" customHeight="1">
      <c r="A82" s="45">
        <v>46033.0</v>
      </c>
      <c r="B82" s="1" t="s">
        <v>191</v>
      </c>
      <c r="C82" s="19">
        <v>400.0</v>
      </c>
      <c r="D82" s="1"/>
      <c r="E82" s="5"/>
    </row>
    <row r="83" ht="15.75" customHeight="1">
      <c r="A83" s="45">
        <v>46041.0</v>
      </c>
      <c r="B83" s="1" t="s">
        <v>192</v>
      </c>
      <c r="C83" s="19">
        <v>400.0</v>
      </c>
      <c r="D83" s="1"/>
      <c r="E83" s="5"/>
    </row>
    <row r="84" ht="15.75" customHeight="1">
      <c r="A84" s="110">
        <v>46048.0</v>
      </c>
      <c r="B84" s="111" t="s">
        <v>193</v>
      </c>
      <c r="C84" s="114">
        <v>400.0</v>
      </c>
      <c r="D84" s="111"/>
      <c r="E84" s="58">
        <f>SUM(C81:C84)</f>
        <v>1600</v>
      </c>
    </row>
    <row r="85" ht="15.75" customHeight="1">
      <c r="A85" s="102">
        <v>46056.0</v>
      </c>
      <c r="B85" s="112" t="s">
        <v>194</v>
      </c>
      <c r="C85" s="113">
        <v>400.0</v>
      </c>
      <c r="D85" s="112"/>
      <c r="E85" s="5"/>
    </row>
    <row r="86" ht="15.75" customHeight="1">
      <c r="A86" s="45">
        <v>46062.0</v>
      </c>
      <c r="B86" s="1" t="s">
        <v>195</v>
      </c>
      <c r="C86" s="19">
        <v>400.0</v>
      </c>
      <c r="D86" s="1"/>
      <c r="E86" s="5"/>
    </row>
    <row r="87" ht="15.75" customHeight="1">
      <c r="A87" s="45">
        <v>46069.0</v>
      </c>
      <c r="B87" s="1" t="s">
        <v>196</v>
      </c>
      <c r="C87" s="19">
        <v>400.0</v>
      </c>
      <c r="D87" s="1"/>
      <c r="E87" s="5"/>
    </row>
    <row r="88" ht="15.75" customHeight="1">
      <c r="A88" s="110">
        <v>46077.0</v>
      </c>
      <c r="B88" s="111" t="s">
        <v>197</v>
      </c>
      <c r="C88" s="114">
        <v>400.0</v>
      </c>
      <c r="D88" s="111"/>
      <c r="E88" s="58">
        <f>SUM(C85:C88)</f>
        <v>1600</v>
      </c>
    </row>
    <row r="89" ht="15.75" customHeight="1">
      <c r="A89" s="102">
        <v>46084.0</v>
      </c>
      <c r="B89" s="112" t="s">
        <v>198</v>
      </c>
      <c r="C89" s="113">
        <v>400.0</v>
      </c>
      <c r="D89" s="112"/>
      <c r="E89" s="5"/>
    </row>
    <row r="90" ht="15.75" customHeight="1">
      <c r="A90" s="45">
        <v>46092.0</v>
      </c>
      <c r="B90" s="1" t="s">
        <v>199</v>
      </c>
      <c r="C90" s="19">
        <v>200.0</v>
      </c>
      <c r="D90" s="1"/>
      <c r="E90" s="5"/>
    </row>
    <row r="91" ht="15.75" customHeight="1">
      <c r="A91" s="45">
        <v>46093.0</v>
      </c>
      <c r="B91" s="1" t="s">
        <v>200</v>
      </c>
      <c r="C91" s="19">
        <v>210.0</v>
      </c>
      <c r="D91" s="1"/>
      <c r="E91" s="5"/>
    </row>
    <row r="92" ht="15.75" customHeight="1">
      <c r="A92" s="45">
        <v>46099.0</v>
      </c>
      <c r="B92" s="1" t="s">
        <v>201</v>
      </c>
      <c r="C92" s="19">
        <v>420.0</v>
      </c>
      <c r="D92" s="1"/>
      <c r="E92" s="5"/>
    </row>
    <row r="93" ht="15.75" customHeight="1">
      <c r="A93" s="110">
        <v>46106.0</v>
      </c>
      <c r="B93" s="111" t="s">
        <v>202</v>
      </c>
      <c r="C93" s="114">
        <v>420.0</v>
      </c>
      <c r="D93" s="111"/>
      <c r="E93" s="58">
        <f>SUM(C89:C93)</f>
        <v>1650</v>
      </c>
    </row>
    <row r="94" ht="15.75" customHeight="1">
      <c r="A94" s="102">
        <v>46114.0</v>
      </c>
      <c r="B94" s="112" t="s">
        <v>203</v>
      </c>
      <c r="C94" s="113">
        <v>420.0</v>
      </c>
      <c r="D94" s="112"/>
      <c r="E94" s="5"/>
    </row>
    <row r="95" ht="15.75" customHeight="1">
      <c r="A95" s="45">
        <v>46121.0</v>
      </c>
      <c r="B95" s="1" t="s">
        <v>204</v>
      </c>
      <c r="C95" s="19">
        <v>440.0</v>
      </c>
      <c r="D95" s="1"/>
      <c r="E95" s="5"/>
    </row>
    <row r="96" ht="15.75" customHeight="1">
      <c r="A96" s="45">
        <v>46130.0</v>
      </c>
      <c r="B96" s="1" t="s">
        <v>205</v>
      </c>
      <c r="C96" s="19">
        <v>440.0</v>
      </c>
      <c r="D96" s="1"/>
      <c r="E96" s="5"/>
    </row>
    <row r="97" ht="15.75" customHeight="1">
      <c r="A97" s="110">
        <v>46134.0</v>
      </c>
      <c r="B97" s="111" t="s">
        <v>206</v>
      </c>
      <c r="C97" s="114">
        <v>460.0</v>
      </c>
      <c r="D97" s="111"/>
      <c r="E97" s="58">
        <f>SUM(C94:C97)</f>
        <v>1760</v>
      </c>
    </row>
    <row r="98" ht="15.75" customHeight="1">
      <c r="A98" s="129" t="s">
        <v>207</v>
      </c>
      <c r="B98" s="129" t="s">
        <v>208</v>
      </c>
      <c r="C98" s="130">
        <v>460.0</v>
      </c>
      <c r="E98" s="131"/>
      <c r="F98" s="132"/>
      <c r="G98" s="132"/>
    </row>
    <row r="99" ht="15.75" customHeight="1">
      <c r="A99" s="129" t="s">
        <v>209</v>
      </c>
      <c r="B99" s="129" t="s">
        <v>210</v>
      </c>
      <c r="C99" s="130">
        <v>460.0</v>
      </c>
      <c r="E99" s="131"/>
      <c r="F99" s="132"/>
      <c r="G99" s="132"/>
    </row>
    <row r="100" ht="15.75" customHeight="1">
      <c r="A100" s="129" t="s">
        <v>211</v>
      </c>
      <c r="B100" s="129" t="s">
        <v>212</v>
      </c>
      <c r="C100" s="130">
        <v>460.0</v>
      </c>
      <c r="E100" s="131"/>
      <c r="F100" s="132"/>
      <c r="G100" s="132"/>
    </row>
    <row r="101" ht="15.75" customHeight="1">
      <c r="A101" s="129" t="s">
        <v>213</v>
      </c>
      <c r="B101" s="129" t="s">
        <v>214</v>
      </c>
      <c r="C101" s="130">
        <v>460.0</v>
      </c>
      <c r="E101" s="131"/>
      <c r="F101" s="132"/>
      <c r="G101" s="132"/>
    </row>
    <row r="102" ht="15.75" customHeight="1">
      <c r="A102" s="133" t="s">
        <v>215</v>
      </c>
      <c r="B102" s="133" t="s">
        <v>216</v>
      </c>
      <c r="C102" s="134">
        <v>460.0</v>
      </c>
      <c r="D102" s="135"/>
      <c r="E102" s="131">
        <f>SUM(C98:C102)</f>
        <v>2300</v>
      </c>
      <c r="F102" s="132"/>
      <c r="G102" s="132"/>
    </row>
    <row r="103" ht="15.75" customHeight="1">
      <c r="A103" s="129" t="s">
        <v>217</v>
      </c>
      <c r="B103" s="129" t="s">
        <v>218</v>
      </c>
      <c r="C103" s="130">
        <v>460.0</v>
      </c>
      <c r="E103" s="131"/>
      <c r="F103" s="132"/>
      <c r="G103" s="132"/>
    </row>
    <row r="104" ht="15.75" customHeight="1">
      <c r="A104" s="129" t="s">
        <v>219</v>
      </c>
      <c r="B104" s="129" t="s">
        <v>220</v>
      </c>
      <c r="C104" s="130">
        <v>460.0</v>
      </c>
      <c r="E104" s="131"/>
      <c r="F104" s="132"/>
      <c r="G104" s="132"/>
    </row>
    <row r="105" ht="15.75" customHeight="1">
      <c r="A105" s="129" t="s">
        <v>221</v>
      </c>
      <c r="B105" s="129" t="s">
        <v>222</v>
      </c>
      <c r="C105" s="130">
        <v>460.0</v>
      </c>
      <c r="E105" s="131"/>
      <c r="F105" s="132"/>
      <c r="G105" s="132"/>
    </row>
    <row r="106" ht="15.75" customHeight="1">
      <c r="A106" s="129" t="s">
        <v>223</v>
      </c>
      <c r="B106" s="129" t="s">
        <v>224</v>
      </c>
      <c r="C106" s="130">
        <v>460.0</v>
      </c>
      <c r="E106" s="131"/>
      <c r="F106" s="132"/>
      <c r="G106" s="132"/>
    </row>
    <row r="107" ht="15.75" customHeight="1">
      <c r="A107" s="133" t="s">
        <v>225</v>
      </c>
      <c r="B107" s="133" t="s">
        <v>226</v>
      </c>
      <c r="C107" s="134">
        <v>460.0</v>
      </c>
      <c r="D107" s="135"/>
      <c r="E107" s="137">
        <f>SUM(C103:C107)</f>
        <v>2300</v>
      </c>
      <c r="F107" s="138"/>
      <c r="G107" s="138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 ht="15.75" customHeight="1">
      <c r="A108" s="129" t="s">
        <v>227</v>
      </c>
      <c r="B108" s="129" t="s">
        <v>228</v>
      </c>
      <c r="C108" s="130">
        <v>460.0</v>
      </c>
      <c r="D108" s="132"/>
      <c r="E108" s="131"/>
      <c r="F108" s="132"/>
    </row>
    <row r="109" ht="15.75" customHeight="1">
      <c r="A109" s="129" t="s">
        <v>229</v>
      </c>
      <c r="B109" s="129" t="s">
        <v>230</v>
      </c>
      <c r="C109" s="130">
        <v>460.0</v>
      </c>
      <c r="D109" s="132"/>
      <c r="E109" s="131"/>
      <c r="F109" s="132"/>
    </row>
    <row r="110" ht="15.75" customHeight="1">
      <c r="A110" s="129" t="s">
        <v>231</v>
      </c>
      <c r="B110" s="129" t="s">
        <v>232</v>
      </c>
      <c r="C110" s="130">
        <v>460.0</v>
      </c>
      <c r="D110" s="132"/>
      <c r="E110" s="131"/>
      <c r="F110" s="132"/>
    </row>
    <row r="111" ht="15.75" customHeight="1">
      <c r="A111" s="129" t="s">
        <v>233</v>
      </c>
      <c r="B111" s="129" t="s">
        <v>234</v>
      </c>
      <c r="C111" s="130">
        <v>460.0</v>
      </c>
      <c r="D111" s="132"/>
      <c r="E111" s="131"/>
      <c r="F111" s="132"/>
    </row>
    <row r="112" ht="15.75" customHeight="1">
      <c r="A112" s="129" t="s">
        <v>235</v>
      </c>
      <c r="B112" s="129" t="s">
        <v>236</v>
      </c>
      <c r="C112" s="130">
        <v>460.0</v>
      </c>
      <c r="D112" s="132"/>
      <c r="E112" s="131"/>
      <c r="F112" s="132"/>
    </row>
    <row r="113" ht="15.75" customHeight="1">
      <c r="A113" s="133" t="s">
        <v>237</v>
      </c>
      <c r="B113" s="133" t="s">
        <v>238</v>
      </c>
      <c r="C113" s="134">
        <v>460.0</v>
      </c>
      <c r="D113" s="138"/>
      <c r="E113" s="137">
        <f>sum(C108:C113)</f>
        <v>2760</v>
      </c>
      <c r="F113" s="138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</row>
    <row r="114" ht="15.75" customHeight="1">
      <c r="C114" s="3"/>
      <c r="E114" s="5"/>
    </row>
    <row r="115" ht="15.75" customHeight="1">
      <c r="C115" s="3"/>
      <c r="E115" s="5"/>
    </row>
    <row r="116" ht="15.75" customHeight="1">
      <c r="C116" s="3"/>
      <c r="E116" s="5"/>
    </row>
    <row r="117" ht="15.75" customHeight="1">
      <c r="C117" s="3"/>
      <c r="E117" s="5"/>
    </row>
    <row r="118" ht="15.75" customHeight="1">
      <c r="C118" s="3"/>
      <c r="E118" s="5"/>
    </row>
    <row r="119" ht="15.75" customHeight="1">
      <c r="C119" s="3"/>
      <c r="E119" s="5"/>
    </row>
    <row r="120" ht="15.75" customHeight="1">
      <c r="C120" s="3"/>
      <c r="E120" s="5"/>
    </row>
    <row r="121" ht="15.75" customHeight="1">
      <c r="C121" s="3"/>
      <c r="E121" s="5"/>
    </row>
    <row r="122" ht="15.75" customHeight="1">
      <c r="C122" s="3"/>
      <c r="E122" s="5"/>
    </row>
    <row r="123" ht="15.75" customHeight="1">
      <c r="C123" s="3"/>
      <c r="E123" s="5"/>
    </row>
    <row r="124" ht="15.75" customHeight="1">
      <c r="C124" s="3"/>
      <c r="E124" s="5"/>
    </row>
    <row r="125" ht="15.75" customHeight="1">
      <c r="C125" s="3"/>
      <c r="E125" s="5"/>
    </row>
    <row r="126" ht="15.75" customHeight="1">
      <c r="C126" s="3"/>
      <c r="E126" s="5"/>
    </row>
    <row r="127" ht="15.75" customHeight="1">
      <c r="C127" s="3"/>
      <c r="E127" s="5"/>
    </row>
    <row r="128" ht="15.75" customHeight="1">
      <c r="C128" s="3"/>
      <c r="E128" s="5"/>
    </row>
    <row r="129" ht="15.75" customHeight="1">
      <c r="C129" s="3"/>
      <c r="E129" s="5"/>
    </row>
    <row r="130" ht="15.75" customHeight="1">
      <c r="C130" s="3"/>
      <c r="E130" s="5"/>
    </row>
    <row r="131" ht="15.75" customHeight="1">
      <c r="C131" s="3"/>
      <c r="E131" s="5"/>
    </row>
    <row r="132" ht="15.75" customHeight="1">
      <c r="C132" s="3"/>
      <c r="E132" s="5"/>
    </row>
    <row r="133" ht="15.75" customHeight="1">
      <c r="C133" s="3"/>
      <c r="E133" s="5"/>
    </row>
    <row r="134" ht="15.75" customHeight="1">
      <c r="C134" s="3"/>
      <c r="E134" s="5"/>
    </row>
    <row r="135" ht="15.75" customHeight="1">
      <c r="C135" s="3"/>
      <c r="E135" s="5"/>
    </row>
    <row r="136" ht="15.75" customHeight="1">
      <c r="C136" s="3"/>
      <c r="E136" s="5"/>
    </row>
    <row r="137" ht="15.75" customHeight="1">
      <c r="C137" s="3"/>
      <c r="E137" s="5"/>
    </row>
    <row r="138" ht="15.75" customHeight="1">
      <c r="C138" s="3"/>
      <c r="E138" s="5"/>
    </row>
    <row r="139" ht="15.75" customHeight="1">
      <c r="C139" s="3"/>
      <c r="E139" s="5"/>
    </row>
    <row r="140" ht="15.75" customHeight="1">
      <c r="C140" s="3"/>
      <c r="E140" s="5"/>
    </row>
    <row r="141" ht="15.75" customHeight="1">
      <c r="C141" s="3"/>
      <c r="E141" s="5"/>
    </row>
    <row r="142" ht="15.75" customHeight="1">
      <c r="C142" s="3"/>
      <c r="E142" s="5"/>
    </row>
    <row r="143" ht="15.75" customHeight="1">
      <c r="C143" s="3"/>
      <c r="E143" s="5"/>
    </row>
    <row r="144" ht="15.75" customHeight="1">
      <c r="C144" s="3"/>
      <c r="E144" s="5"/>
    </row>
    <row r="145" ht="15.75" customHeight="1">
      <c r="C145" s="3"/>
      <c r="E145" s="5"/>
    </row>
    <row r="146" ht="15.75" customHeight="1">
      <c r="C146" s="3"/>
      <c r="E146" s="5"/>
    </row>
    <row r="147" ht="15.75" customHeight="1">
      <c r="C147" s="3"/>
      <c r="E147" s="5"/>
    </row>
    <row r="148" ht="15.75" customHeight="1">
      <c r="C148" s="3"/>
      <c r="E148" s="5"/>
    </row>
    <row r="149" ht="15.75" customHeight="1">
      <c r="C149" s="3"/>
      <c r="E149" s="5"/>
    </row>
    <row r="150" ht="15.75" customHeight="1">
      <c r="C150" s="3"/>
      <c r="E150" s="5"/>
    </row>
    <row r="151" ht="15.75" customHeight="1">
      <c r="C151" s="3"/>
      <c r="E151" s="5"/>
    </row>
    <row r="152" ht="15.75" customHeight="1">
      <c r="C152" s="3"/>
      <c r="E152" s="5"/>
    </row>
    <row r="153" ht="15.75" customHeight="1">
      <c r="C153" s="3"/>
      <c r="E153" s="5"/>
    </row>
    <row r="154" ht="15.75" customHeight="1">
      <c r="C154" s="3"/>
      <c r="E154" s="5"/>
    </row>
    <row r="155" ht="15.75" customHeight="1">
      <c r="C155" s="3"/>
      <c r="E155" s="5"/>
    </row>
    <row r="156" ht="15.75" customHeight="1">
      <c r="C156" s="3"/>
      <c r="E156" s="5"/>
    </row>
    <row r="157" ht="15.75" customHeight="1">
      <c r="C157" s="3"/>
      <c r="E157" s="5"/>
    </row>
    <row r="158" ht="15.75" customHeight="1">
      <c r="C158" s="3"/>
      <c r="E158" s="5"/>
    </row>
    <row r="159" ht="15.75" customHeight="1">
      <c r="C159" s="3"/>
      <c r="E159" s="5"/>
    </row>
    <row r="160" ht="15.75" customHeight="1">
      <c r="C160" s="3"/>
      <c r="E160" s="5"/>
    </row>
    <row r="161" ht="15.75" customHeight="1">
      <c r="C161" s="3"/>
      <c r="E161" s="5"/>
    </row>
    <row r="162" ht="15.75" customHeight="1">
      <c r="C162" s="3"/>
      <c r="E162" s="5"/>
    </row>
    <row r="163" ht="15.75" customHeight="1">
      <c r="C163" s="3"/>
      <c r="E163" s="5"/>
    </row>
    <row r="164" ht="15.75" customHeight="1">
      <c r="C164" s="3"/>
      <c r="E164" s="5"/>
    </row>
    <row r="165" ht="15.75" customHeight="1">
      <c r="C165" s="3"/>
      <c r="E165" s="5"/>
    </row>
    <row r="166" ht="15.75" customHeight="1">
      <c r="C166" s="3"/>
      <c r="E166" s="5"/>
    </row>
    <row r="167" ht="15.75" customHeight="1">
      <c r="C167" s="3"/>
      <c r="E167" s="5"/>
    </row>
    <row r="168" ht="15.75" customHeight="1">
      <c r="C168" s="3"/>
      <c r="E168" s="5"/>
    </row>
    <row r="169" ht="15.75" customHeight="1">
      <c r="C169" s="3"/>
      <c r="E169" s="5"/>
    </row>
    <row r="170" ht="15.75" customHeight="1">
      <c r="C170" s="3"/>
      <c r="E170" s="5"/>
    </row>
    <row r="171" ht="15.75" customHeight="1">
      <c r="C171" s="3"/>
      <c r="E171" s="5"/>
    </row>
    <row r="172" ht="15.75" customHeight="1">
      <c r="C172" s="3"/>
      <c r="E172" s="5"/>
    </row>
    <row r="173" ht="15.75" customHeight="1">
      <c r="C173" s="3"/>
      <c r="E173" s="5"/>
    </row>
    <row r="174" ht="15.75" customHeight="1">
      <c r="C174" s="3"/>
      <c r="E174" s="5"/>
    </row>
    <row r="175" ht="15.75" customHeight="1">
      <c r="C175" s="3"/>
      <c r="E175" s="5"/>
    </row>
    <row r="176" ht="15.75" customHeight="1">
      <c r="C176" s="3"/>
      <c r="E176" s="5"/>
    </row>
    <row r="177" ht="15.75" customHeight="1">
      <c r="C177" s="3"/>
      <c r="E177" s="5"/>
    </row>
    <row r="178" ht="15.75" customHeight="1">
      <c r="C178" s="3"/>
      <c r="E178" s="5"/>
    </row>
    <row r="179" ht="15.75" customHeight="1">
      <c r="C179" s="3"/>
      <c r="E179" s="5"/>
    </row>
    <row r="180" ht="15.75" customHeight="1">
      <c r="C180" s="3"/>
      <c r="E180" s="5"/>
    </row>
    <row r="181" ht="15.75" customHeight="1">
      <c r="C181" s="3"/>
      <c r="E181" s="5"/>
    </row>
    <row r="182" ht="15.75" customHeight="1">
      <c r="C182" s="3"/>
      <c r="E182" s="5"/>
    </row>
    <row r="183" ht="15.75" customHeight="1">
      <c r="C183" s="3"/>
      <c r="E183" s="5"/>
    </row>
    <row r="184" ht="15.75" customHeight="1">
      <c r="C184" s="3"/>
      <c r="E184" s="5"/>
    </row>
    <row r="185" ht="15.75" customHeight="1">
      <c r="C185" s="3"/>
      <c r="E185" s="5"/>
    </row>
    <row r="186" ht="15.75" customHeight="1">
      <c r="C186" s="3"/>
      <c r="E186" s="5"/>
    </row>
    <row r="187" ht="15.75" customHeight="1">
      <c r="C187" s="3"/>
      <c r="E187" s="5"/>
    </row>
    <row r="188" ht="15.75" customHeight="1">
      <c r="C188" s="3"/>
      <c r="E188" s="5"/>
    </row>
    <row r="189" ht="15.75" customHeight="1">
      <c r="C189" s="3"/>
      <c r="E189" s="5"/>
    </row>
    <row r="190" ht="15.75" customHeight="1">
      <c r="C190" s="3"/>
      <c r="E190" s="5"/>
    </row>
    <row r="191" ht="15.75" customHeight="1">
      <c r="C191" s="3"/>
      <c r="E191" s="5"/>
    </row>
    <row r="192" ht="15.75" customHeight="1">
      <c r="C192" s="3"/>
      <c r="E192" s="5"/>
    </row>
    <row r="193" ht="15.75" customHeight="1">
      <c r="C193" s="3"/>
      <c r="E193" s="5"/>
    </row>
    <row r="194" ht="15.75" customHeight="1">
      <c r="C194" s="3"/>
      <c r="E194" s="5"/>
    </row>
    <row r="195" ht="15.75" customHeight="1">
      <c r="C195" s="3"/>
      <c r="E195" s="5"/>
    </row>
    <row r="196" ht="15.75" customHeight="1">
      <c r="C196" s="3"/>
      <c r="E196" s="5"/>
    </row>
    <row r="197" ht="15.75" customHeight="1">
      <c r="C197" s="3"/>
      <c r="E197" s="5"/>
    </row>
    <row r="198" ht="15.75" customHeight="1">
      <c r="C198" s="3"/>
      <c r="E198" s="5"/>
    </row>
    <row r="199" ht="15.75" customHeight="1">
      <c r="C199" s="3"/>
      <c r="E199" s="5"/>
    </row>
    <row r="200" ht="15.75" customHeight="1">
      <c r="C200" s="3"/>
      <c r="E200" s="5"/>
    </row>
    <row r="201" ht="15.75" customHeight="1">
      <c r="C201" s="3"/>
      <c r="E201" s="5"/>
    </row>
    <row r="202" ht="15.75" customHeight="1">
      <c r="C202" s="3"/>
      <c r="E202" s="5"/>
    </row>
    <row r="203" ht="15.75" customHeight="1">
      <c r="C203" s="3"/>
      <c r="E203" s="5"/>
    </row>
    <row r="204" ht="15.75" customHeight="1">
      <c r="C204" s="3"/>
      <c r="E204" s="5"/>
    </row>
    <row r="205" ht="15.75" customHeight="1">
      <c r="C205" s="3"/>
      <c r="E205" s="5"/>
    </row>
    <row r="206" ht="15.75" customHeight="1">
      <c r="C206" s="3"/>
      <c r="E206" s="5"/>
    </row>
    <row r="207" ht="15.75" customHeight="1">
      <c r="C207" s="3"/>
      <c r="E207" s="5"/>
    </row>
    <row r="208" ht="15.75" customHeight="1">
      <c r="C208" s="3"/>
      <c r="E208" s="5"/>
    </row>
    <row r="209" ht="15.75" customHeight="1">
      <c r="C209" s="3"/>
      <c r="E209" s="5"/>
    </row>
    <row r="210" ht="15.75" customHeight="1">
      <c r="C210" s="3"/>
      <c r="E210" s="5"/>
    </row>
    <row r="211" ht="15.75" customHeight="1">
      <c r="C211" s="3"/>
      <c r="E211" s="5"/>
    </row>
    <row r="212" ht="15.75" customHeight="1">
      <c r="C212" s="3"/>
      <c r="E212" s="5"/>
    </row>
    <row r="213" ht="15.75" customHeight="1">
      <c r="C213" s="3"/>
      <c r="E213" s="5"/>
    </row>
    <row r="214" ht="15.75" customHeight="1">
      <c r="C214" s="3"/>
      <c r="E214" s="5"/>
    </row>
    <row r="215" ht="15.75" customHeight="1">
      <c r="C215" s="3"/>
      <c r="E215" s="5"/>
    </row>
    <row r="216" ht="15.75" customHeight="1">
      <c r="C216" s="3"/>
      <c r="E216" s="5"/>
    </row>
    <row r="217" ht="15.75" customHeight="1">
      <c r="C217" s="3"/>
      <c r="E217" s="5"/>
    </row>
    <row r="218" ht="15.75" customHeight="1">
      <c r="C218" s="3"/>
      <c r="E218" s="5"/>
    </row>
    <row r="219" ht="15.75" customHeight="1">
      <c r="C219" s="3"/>
      <c r="E219" s="5"/>
    </row>
    <row r="220" ht="15.75" customHeight="1">
      <c r="C220" s="3"/>
      <c r="E220" s="5"/>
    </row>
    <row r="221" ht="15.75" customHeight="1">
      <c r="C221" s="3"/>
      <c r="E221" s="5"/>
    </row>
    <row r="222" ht="15.75" customHeight="1">
      <c r="C222" s="3"/>
      <c r="E222" s="5"/>
    </row>
    <row r="223" ht="15.75" customHeight="1">
      <c r="C223" s="3"/>
      <c r="E223" s="5"/>
    </row>
    <row r="224" ht="15.75" customHeight="1">
      <c r="C224" s="3"/>
      <c r="E224" s="5"/>
    </row>
    <row r="225" ht="15.75" customHeight="1">
      <c r="C225" s="3"/>
      <c r="E225" s="5"/>
    </row>
    <row r="226" ht="15.75" customHeight="1">
      <c r="C226" s="3"/>
      <c r="E226" s="5"/>
    </row>
    <row r="227" ht="15.75" customHeight="1">
      <c r="C227" s="3"/>
      <c r="E227" s="5"/>
    </row>
    <row r="228" ht="15.75" customHeight="1">
      <c r="C228" s="3"/>
      <c r="E228" s="5"/>
    </row>
    <row r="229" ht="15.75" customHeight="1">
      <c r="C229" s="3"/>
      <c r="E229" s="5"/>
    </row>
    <row r="230" ht="15.75" customHeight="1">
      <c r="C230" s="3"/>
      <c r="E230" s="5"/>
    </row>
    <row r="231" ht="15.75" customHeight="1">
      <c r="C231" s="3"/>
      <c r="E231" s="5"/>
    </row>
    <row r="232" ht="15.75" customHeight="1">
      <c r="C232" s="3"/>
      <c r="E232" s="5"/>
    </row>
    <row r="233" ht="15.75" customHeight="1">
      <c r="C233" s="3"/>
      <c r="E233" s="5"/>
    </row>
    <row r="234" ht="15.75" customHeight="1">
      <c r="C234" s="3"/>
      <c r="E234" s="5"/>
    </row>
    <row r="235" ht="15.75" customHeight="1">
      <c r="C235" s="3"/>
      <c r="E235" s="5"/>
    </row>
    <row r="236" ht="15.75" customHeight="1">
      <c r="C236" s="3"/>
      <c r="E236" s="5"/>
    </row>
    <row r="237" ht="15.75" customHeight="1">
      <c r="C237" s="3"/>
      <c r="E237" s="5"/>
    </row>
    <row r="238" ht="15.75" customHeight="1">
      <c r="C238" s="3"/>
      <c r="E238" s="5"/>
    </row>
    <row r="239" ht="15.75" customHeight="1">
      <c r="C239" s="3"/>
      <c r="E239" s="5"/>
    </row>
    <row r="240" ht="15.75" customHeight="1">
      <c r="C240" s="3"/>
      <c r="E240" s="5"/>
    </row>
    <row r="241" ht="15.75" customHeight="1">
      <c r="C241" s="3"/>
      <c r="E241" s="5"/>
    </row>
    <row r="242" ht="15.75" customHeight="1">
      <c r="C242" s="3"/>
      <c r="E242" s="5"/>
    </row>
    <row r="243" ht="15.75" customHeight="1">
      <c r="C243" s="3"/>
      <c r="E243" s="5"/>
    </row>
    <row r="244" ht="15.75" customHeight="1">
      <c r="C244" s="3"/>
      <c r="E244" s="5"/>
    </row>
    <row r="245" ht="15.75" customHeight="1">
      <c r="C245" s="3"/>
      <c r="E245" s="5"/>
    </row>
    <row r="246" ht="15.75" customHeight="1">
      <c r="C246" s="3"/>
      <c r="E246" s="5"/>
    </row>
    <row r="247" ht="15.75" customHeight="1">
      <c r="C247" s="3"/>
      <c r="E247" s="5"/>
    </row>
    <row r="248" ht="15.75" customHeight="1">
      <c r="C248" s="3"/>
      <c r="E248" s="5"/>
    </row>
    <row r="249" ht="15.75" customHeight="1">
      <c r="C249" s="3"/>
      <c r="E249" s="5"/>
    </row>
    <row r="250" ht="15.75" customHeight="1">
      <c r="C250" s="3"/>
      <c r="E250" s="5"/>
    </row>
    <row r="251" ht="15.75" customHeight="1">
      <c r="C251" s="3"/>
      <c r="E251" s="5"/>
    </row>
    <row r="252" ht="15.75" customHeight="1">
      <c r="C252" s="3"/>
      <c r="E252" s="5"/>
    </row>
    <row r="253" ht="15.75" customHeight="1">
      <c r="C253" s="3"/>
      <c r="E253" s="5"/>
    </row>
    <row r="254" ht="15.75" customHeight="1">
      <c r="C254" s="3"/>
      <c r="E254" s="5"/>
    </row>
    <row r="255" ht="15.75" customHeight="1">
      <c r="C255" s="3"/>
      <c r="E255" s="5"/>
    </row>
    <row r="256" ht="15.75" customHeight="1">
      <c r="C256" s="3"/>
      <c r="E256" s="5"/>
    </row>
    <row r="257" ht="15.75" customHeight="1">
      <c r="C257" s="3"/>
      <c r="E257" s="5"/>
    </row>
    <row r="258" ht="15.75" customHeight="1">
      <c r="C258" s="3"/>
      <c r="E258" s="5"/>
    </row>
    <row r="259" ht="15.75" customHeight="1">
      <c r="C259" s="3"/>
      <c r="E259" s="5"/>
    </row>
    <row r="260" ht="15.75" customHeight="1">
      <c r="C260" s="3"/>
      <c r="E260" s="5"/>
    </row>
    <row r="261" ht="15.75" customHeight="1">
      <c r="C261" s="3"/>
      <c r="E261" s="5"/>
    </row>
    <row r="262" ht="15.75" customHeight="1">
      <c r="C262" s="3"/>
      <c r="E262" s="5"/>
    </row>
    <row r="263" ht="15.75" customHeight="1">
      <c r="C263" s="3"/>
      <c r="E263" s="5"/>
    </row>
    <row r="264" ht="15.75" customHeight="1">
      <c r="C264" s="3"/>
      <c r="E264" s="5"/>
    </row>
    <row r="265" ht="15.75" customHeight="1">
      <c r="C265" s="3"/>
      <c r="E265" s="5"/>
    </row>
    <row r="266" ht="15.75" customHeight="1">
      <c r="C266" s="3"/>
      <c r="E266" s="5"/>
    </row>
    <row r="267" ht="15.75" customHeight="1">
      <c r="C267" s="3"/>
      <c r="E267" s="5"/>
    </row>
    <row r="268" ht="15.75" customHeight="1">
      <c r="C268" s="3"/>
      <c r="E268" s="5"/>
    </row>
    <row r="269" ht="15.75" customHeight="1">
      <c r="C269" s="3"/>
      <c r="E269" s="5"/>
    </row>
    <row r="270" ht="15.75" customHeight="1">
      <c r="C270" s="3"/>
      <c r="E270" s="5"/>
    </row>
    <row r="271" ht="15.75" customHeight="1">
      <c r="C271" s="3"/>
      <c r="E271" s="5"/>
    </row>
    <row r="272" ht="15.75" customHeight="1">
      <c r="C272" s="3"/>
      <c r="E272" s="5"/>
    </row>
    <row r="273" ht="15.75" customHeight="1">
      <c r="C273" s="3"/>
      <c r="E273" s="5"/>
    </row>
    <row r="274" ht="15.75" customHeight="1">
      <c r="C274" s="3"/>
      <c r="E274" s="5"/>
    </row>
    <row r="275" ht="15.75" customHeight="1">
      <c r="C275" s="3"/>
      <c r="E275" s="5"/>
    </row>
    <row r="276" ht="15.75" customHeight="1">
      <c r="C276" s="3"/>
      <c r="E276" s="5"/>
    </row>
    <row r="277" ht="15.75" customHeight="1">
      <c r="C277" s="3"/>
      <c r="E277" s="5"/>
    </row>
    <row r="278" ht="15.75" customHeight="1">
      <c r="C278" s="3"/>
      <c r="E278" s="5"/>
    </row>
    <row r="279" ht="15.75" customHeight="1">
      <c r="C279" s="3"/>
      <c r="E279" s="5"/>
    </row>
    <row r="280" ht="15.75" customHeight="1">
      <c r="C280" s="3"/>
      <c r="E280" s="5"/>
    </row>
    <row r="281" ht="15.75" customHeight="1">
      <c r="C281" s="3"/>
      <c r="E281" s="5"/>
    </row>
    <row r="282" ht="15.75" customHeight="1">
      <c r="C282" s="3"/>
      <c r="E282" s="5"/>
    </row>
    <row r="283" ht="15.75" customHeight="1">
      <c r="C283" s="3"/>
      <c r="E283" s="5"/>
    </row>
    <row r="284" ht="15.75" customHeight="1">
      <c r="C284" s="3"/>
      <c r="E284" s="5"/>
    </row>
    <row r="285" ht="15.75" customHeight="1">
      <c r="C285" s="3"/>
      <c r="E285" s="5"/>
    </row>
    <row r="286" ht="15.75" customHeight="1">
      <c r="C286" s="3"/>
      <c r="E286" s="5"/>
    </row>
    <row r="287" ht="15.75" customHeight="1">
      <c r="C287" s="3"/>
      <c r="E287" s="5"/>
    </row>
    <row r="288" ht="15.75" customHeight="1">
      <c r="C288" s="3"/>
      <c r="E288" s="5"/>
    </row>
    <row r="289" ht="15.75" customHeight="1">
      <c r="C289" s="3"/>
      <c r="E289" s="5"/>
    </row>
    <row r="290" ht="15.75" customHeight="1">
      <c r="C290" s="3"/>
      <c r="E290" s="5"/>
    </row>
    <row r="291" ht="15.75" customHeight="1">
      <c r="C291" s="3"/>
      <c r="E291" s="5"/>
    </row>
    <row r="292" ht="15.75" customHeight="1">
      <c r="C292" s="3"/>
      <c r="E292" s="5"/>
    </row>
    <row r="293" ht="15.75" customHeight="1">
      <c r="C293" s="3"/>
      <c r="E293" s="5"/>
    </row>
    <row r="294" ht="15.75" customHeight="1">
      <c r="C294" s="3"/>
      <c r="E294" s="5"/>
    </row>
    <row r="295" ht="15.75" customHeight="1">
      <c r="C295" s="3"/>
      <c r="E295" s="5"/>
    </row>
    <row r="296" ht="15.75" customHeight="1">
      <c r="C296" s="3"/>
      <c r="E296" s="5"/>
    </row>
    <row r="297" ht="15.75" customHeight="1">
      <c r="C297" s="3"/>
      <c r="E297" s="5"/>
    </row>
    <row r="298" ht="15.75" customHeight="1">
      <c r="C298" s="3"/>
      <c r="E298" s="5"/>
    </row>
    <row r="299" ht="15.75" customHeight="1">
      <c r="C299" s="3"/>
      <c r="E299" s="5"/>
    </row>
    <row r="300" ht="15.75" customHeight="1">
      <c r="C300" s="3"/>
      <c r="E300" s="5"/>
    </row>
    <row r="301" ht="15.75" customHeight="1">
      <c r="C301" s="3"/>
      <c r="E301" s="5"/>
    </row>
    <row r="302" ht="15.75" customHeight="1">
      <c r="C302" s="3"/>
      <c r="E302" s="5"/>
    </row>
    <row r="303" ht="15.75" customHeight="1">
      <c r="C303" s="3"/>
      <c r="E303" s="5"/>
    </row>
    <row r="304" ht="15.75" customHeight="1">
      <c r="C304" s="3"/>
      <c r="E304" s="5"/>
    </row>
    <row r="305" ht="15.75" customHeight="1">
      <c r="C305" s="3"/>
      <c r="E305" s="5"/>
    </row>
    <row r="306" ht="15.75" customHeight="1">
      <c r="C306" s="3"/>
      <c r="E306" s="5"/>
    </row>
    <row r="307" ht="15.75" customHeight="1">
      <c r="C307" s="3"/>
      <c r="E307" s="5"/>
    </row>
    <row r="308" ht="15.75" customHeight="1">
      <c r="C308" s="3"/>
      <c r="E308" s="5"/>
    </row>
    <row r="309" ht="15.75" customHeight="1">
      <c r="C309" s="3"/>
      <c r="E309" s="5"/>
    </row>
    <row r="310" ht="15.75" customHeight="1">
      <c r="C310" s="3"/>
      <c r="E310" s="5"/>
    </row>
    <row r="311" ht="15.75" customHeight="1">
      <c r="C311" s="3"/>
      <c r="E311" s="5"/>
    </row>
    <row r="312" ht="15.75" customHeight="1">
      <c r="C312" s="3"/>
      <c r="E312" s="5"/>
    </row>
    <row r="313" ht="15.75" customHeight="1">
      <c r="C313" s="3"/>
      <c r="E313" s="5"/>
    </row>
    <row r="314" ht="15.75" customHeight="1">
      <c r="C314" s="3"/>
      <c r="E314" s="5"/>
    </row>
    <row r="315" ht="15.75" customHeight="1">
      <c r="C315" s="3"/>
      <c r="E315" s="5"/>
    </row>
    <row r="316" ht="15.75" customHeight="1">
      <c r="C316" s="3"/>
      <c r="E316" s="5"/>
    </row>
    <row r="317" ht="15.75" customHeight="1">
      <c r="C317" s="3"/>
      <c r="E317" s="5"/>
    </row>
    <row r="318" ht="15.75" customHeight="1">
      <c r="C318" s="3"/>
      <c r="E318" s="5"/>
    </row>
    <row r="319" ht="15.75" customHeight="1">
      <c r="C319" s="3"/>
      <c r="E319" s="5"/>
    </row>
    <row r="320" ht="15.75" customHeight="1">
      <c r="C320" s="3"/>
      <c r="E320" s="5"/>
    </row>
    <row r="321" ht="15.75" customHeight="1">
      <c r="C321" s="3"/>
      <c r="E321" s="5"/>
    </row>
    <row r="322" ht="15.75" customHeight="1">
      <c r="C322" s="3"/>
      <c r="E322" s="5"/>
    </row>
    <row r="323" ht="15.75" customHeight="1">
      <c r="C323" s="3"/>
      <c r="E323" s="5"/>
    </row>
    <row r="324" ht="15.75" customHeight="1">
      <c r="C324" s="3"/>
      <c r="E324" s="5"/>
    </row>
    <row r="325" ht="15.75" customHeight="1">
      <c r="C325" s="3"/>
      <c r="E325" s="5"/>
    </row>
    <row r="326" ht="15.75" customHeight="1">
      <c r="C326" s="3"/>
      <c r="E326" s="5"/>
    </row>
    <row r="327" ht="15.75" customHeight="1">
      <c r="C327" s="3"/>
      <c r="E327" s="5"/>
    </row>
    <row r="328" ht="15.75" customHeight="1">
      <c r="C328" s="3"/>
      <c r="E328" s="5"/>
    </row>
    <row r="329" ht="15.75" customHeight="1">
      <c r="C329" s="3"/>
      <c r="E329" s="5"/>
    </row>
    <row r="330" ht="15.75" customHeight="1">
      <c r="C330" s="3"/>
      <c r="E330" s="5"/>
    </row>
    <row r="331" ht="15.75" customHeight="1">
      <c r="C331" s="3"/>
      <c r="E331" s="5"/>
    </row>
    <row r="332" ht="15.75" customHeight="1">
      <c r="C332" s="3"/>
      <c r="E332" s="5"/>
    </row>
    <row r="333" ht="15.75" customHeight="1">
      <c r="C333" s="3"/>
      <c r="E333" s="5"/>
    </row>
    <row r="334" ht="15.75" customHeight="1">
      <c r="C334" s="3"/>
      <c r="E334" s="5"/>
    </row>
    <row r="335" ht="15.75" customHeight="1">
      <c r="C335" s="3"/>
      <c r="E335" s="5"/>
    </row>
    <row r="336" ht="15.75" customHeight="1">
      <c r="C336" s="3"/>
      <c r="E336" s="5"/>
    </row>
    <row r="337" ht="15.75" customHeight="1">
      <c r="C337" s="3"/>
      <c r="E337" s="5"/>
    </row>
    <row r="338" ht="15.75" customHeight="1">
      <c r="C338" s="3"/>
      <c r="E338" s="5"/>
    </row>
    <row r="339" ht="15.75" customHeight="1">
      <c r="C339" s="3"/>
      <c r="E339" s="5"/>
    </row>
    <row r="340" ht="15.75" customHeight="1">
      <c r="C340" s="3"/>
      <c r="E340" s="5"/>
    </row>
    <row r="341" ht="15.75" customHeight="1">
      <c r="C341" s="3"/>
      <c r="E341" s="5"/>
    </row>
    <row r="342" ht="15.75" customHeight="1">
      <c r="C342" s="3"/>
      <c r="E342" s="5"/>
    </row>
    <row r="343" ht="15.75" customHeight="1">
      <c r="C343" s="3"/>
      <c r="E343" s="5"/>
    </row>
    <row r="344" ht="15.75" customHeight="1">
      <c r="C344" s="3"/>
      <c r="E344" s="5"/>
    </row>
    <row r="345" ht="15.75" customHeight="1">
      <c r="C345" s="3"/>
      <c r="E345" s="5"/>
    </row>
    <row r="346" ht="15.75" customHeight="1">
      <c r="C346" s="3"/>
      <c r="E346" s="5"/>
    </row>
    <row r="347" ht="15.75" customHeight="1">
      <c r="C347" s="3"/>
      <c r="E347" s="5"/>
    </row>
    <row r="348" ht="15.75" customHeight="1">
      <c r="C348" s="3"/>
      <c r="E348" s="5"/>
    </row>
    <row r="349" ht="15.75" customHeight="1">
      <c r="C349" s="3"/>
      <c r="E349" s="5"/>
    </row>
    <row r="350" ht="15.75" customHeight="1">
      <c r="C350" s="3"/>
      <c r="E350" s="5"/>
    </row>
    <row r="351" ht="15.75" customHeight="1">
      <c r="C351" s="3"/>
      <c r="E351" s="5"/>
    </row>
    <row r="352" ht="15.75" customHeight="1">
      <c r="C352" s="3"/>
      <c r="E352" s="5"/>
    </row>
    <row r="353" ht="15.75" customHeight="1">
      <c r="C353" s="3"/>
      <c r="E353" s="5"/>
    </row>
    <row r="354" ht="15.75" customHeight="1">
      <c r="C354" s="3"/>
      <c r="E354" s="5"/>
    </row>
    <row r="355" ht="15.75" customHeight="1">
      <c r="C355" s="3"/>
      <c r="E355" s="5"/>
    </row>
    <row r="356" ht="15.75" customHeight="1">
      <c r="C356" s="3"/>
      <c r="E356" s="5"/>
    </row>
    <row r="357" ht="15.75" customHeight="1">
      <c r="C357" s="3"/>
      <c r="E357" s="5"/>
    </row>
    <row r="358" ht="15.75" customHeight="1">
      <c r="C358" s="3"/>
      <c r="E358" s="5"/>
    </row>
    <row r="359" ht="15.75" customHeight="1">
      <c r="C359" s="3"/>
      <c r="E359" s="5"/>
    </row>
    <row r="360" ht="15.75" customHeight="1">
      <c r="C360" s="3"/>
      <c r="E360" s="5"/>
    </row>
    <row r="361" ht="15.75" customHeight="1">
      <c r="C361" s="3"/>
      <c r="E361" s="5"/>
    </row>
    <row r="362" ht="15.75" customHeight="1">
      <c r="C362" s="3"/>
      <c r="E362" s="5"/>
    </row>
    <row r="363" ht="15.75" customHeight="1">
      <c r="C363" s="3"/>
      <c r="E363" s="5"/>
    </row>
    <row r="364" ht="15.75" customHeight="1">
      <c r="C364" s="3"/>
      <c r="E364" s="5"/>
    </row>
    <row r="365" ht="15.75" customHeight="1">
      <c r="C365" s="3"/>
      <c r="E365" s="5"/>
    </row>
    <row r="366" ht="15.75" customHeight="1">
      <c r="C366" s="3"/>
      <c r="E366" s="5"/>
    </row>
    <row r="367" ht="15.75" customHeight="1">
      <c r="C367" s="3"/>
      <c r="E367" s="5"/>
    </row>
    <row r="368" ht="15.75" customHeight="1">
      <c r="C368" s="3"/>
      <c r="E368" s="5"/>
    </row>
    <row r="369" ht="15.75" customHeight="1">
      <c r="C369" s="3"/>
      <c r="E369" s="5"/>
    </row>
    <row r="370" ht="15.75" customHeight="1">
      <c r="C370" s="3"/>
      <c r="E370" s="5"/>
    </row>
    <row r="371" ht="15.75" customHeight="1">
      <c r="C371" s="3"/>
      <c r="E371" s="5"/>
    </row>
    <row r="372" ht="15.75" customHeight="1">
      <c r="C372" s="3"/>
      <c r="E372" s="5"/>
    </row>
    <row r="373" ht="15.75" customHeight="1">
      <c r="C373" s="3"/>
      <c r="E373" s="5"/>
    </row>
    <row r="374" ht="15.75" customHeight="1">
      <c r="C374" s="3"/>
      <c r="E374" s="5"/>
    </row>
    <row r="375" ht="15.75" customHeight="1">
      <c r="C375" s="3"/>
      <c r="E375" s="5"/>
    </row>
    <row r="376" ht="15.75" customHeight="1">
      <c r="C376" s="3"/>
      <c r="E376" s="5"/>
    </row>
    <row r="377" ht="15.75" customHeight="1">
      <c r="C377" s="3"/>
      <c r="E377" s="5"/>
    </row>
    <row r="378" ht="15.75" customHeight="1">
      <c r="C378" s="3"/>
      <c r="E378" s="5"/>
    </row>
    <row r="379" ht="15.75" customHeight="1">
      <c r="C379" s="3"/>
      <c r="E379" s="5"/>
    </row>
    <row r="380" ht="15.75" customHeight="1">
      <c r="C380" s="3"/>
      <c r="E380" s="5"/>
    </row>
    <row r="381" ht="15.75" customHeight="1">
      <c r="C381" s="3"/>
      <c r="E381" s="5"/>
    </row>
    <row r="382" ht="15.75" customHeight="1">
      <c r="C382" s="3"/>
      <c r="E382" s="5"/>
    </row>
    <row r="383" ht="15.75" customHeight="1">
      <c r="C383" s="3"/>
      <c r="E383" s="5"/>
    </row>
    <row r="384" ht="15.75" customHeight="1">
      <c r="C384" s="3"/>
      <c r="E384" s="5"/>
    </row>
    <row r="385" ht="15.75" customHeight="1">
      <c r="C385" s="3"/>
      <c r="E385" s="5"/>
    </row>
    <row r="386" ht="15.75" customHeight="1">
      <c r="C386" s="3"/>
      <c r="E386" s="5"/>
    </row>
    <row r="387" ht="15.75" customHeight="1">
      <c r="C387" s="3"/>
      <c r="E387" s="5"/>
    </row>
    <row r="388" ht="15.75" customHeight="1">
      <c r="C388" s="3"/>
      <c r="E388" s="5"/>
    </row>
    <row r="389" ht="15.75" customHeight="1">
      <c r="C389" s="3"/>
      <c r="E389" s="5"/>
    </row>
    <row r="390" ht="15.75" customHeight="1">
      <c r="C390" s="3"/>
      <c r="E390" s="5"/>
    </row>
    <row r="391" ht="15.75" customHeight="1">
      <c r="C391" s="3"/>
      <c r="E391" s="5"/>
    </row>
    <row r="392" ht="15.75" customHeight="1">
      <c r="C392" s="3"/>
      <c r="E392" s="5"/>
    </row>
    <row r="393" ht="15.75" customHeight="1">
      <c r="C393" s="3"/>
      <c r="E393" s="5"/>
    </row>
    <row r="394" ht="15.75" customHeight="1">
      <c r="C394" s="3"/>
      <c r="E394" s="5"/>
    </row>
    <row r="395" ht="15.75" customHeight="1">
      <c r="C395" s="3"/>
      <c r="E395" s="5"/>
    </row>
    <row r="396" ht="15.75" customHeight="1">
      <c r="C396" s="3"/>
      <c r="E396" s="5"/>
    </row>
    <row r="397" ht="15.75" customHeight="1">
      <c r="C397" s="3"/>
      <c r="E397" s="5"/>
    </row>
    <row r="398" ht="15.75" customHeight="1">
      <c r="C398" s="3"/>
      <c r="E398" s="5"/>
    </row>
    <row r="399" ht="15.75" customHeight="1">
      <c r="C399" s="3"/>
      <c r="E399" s="5"/>
    </row>
    <row r="400" ht="15.75" customHeight="1">
      <c r="C400" s="3"/>
      <c r="E400" s="5"/>
    </row>
    <row r="401" ht="15.75" customHeight="1">
      <c r="C401" s="3"/>
      <c r="E401" s="5"/>
    </row>
    <row r="402" ht="15.75" customHeight="1">
      <c r="C402" s="3"/>
      <c r="E402" s="5"/>
    </row>
    <row r="403" ht="15.75" customHeight="1">
      <c r="C403" s="3"/>
      <c r="E403" s="5"/>
    </row>
    <row r="404" ht="15.75" customHeight="1">
      <c r="C404" s="3"/>
      <c r="E404" s="5"/>
    </row>
    <row r="405" ht="15.75" customHeight="1">
      <c r="C405" s="3"/>
      <c r="E405" s="5"/>
    </row>
    <row r="406" ht="15.75" customHeight="1">
      <c r="C406" s="3"/>
      <c r="E406" s="5"/>
    </row>
    <row r="407" ht="15.75" customHeight="1">
      <c r="C407" s="3"/>
      <c r="E407" s="5"/>
    </row>
    <row r="408" ht="15.75" customHeight="1">
      <c r="C408" s="3"/>
      <c r="E408" s="5"/>
    </row>
    <row r="409" ht="15.75" customHeight="1">
      <c r="C409" s="3"/>
      <c r="E409" s="5"/>
    </row>
    <row r="410" ht="15.75" customHeight="1">
      <c r="C410" s="3"/>
      <c r="E410" s="5"/>
    </row>
    <row r="411" ht="15.75" customHeight="1">
      <c r="C411" s="3"/>
      <c r="E411" s="5"/>
    </row>
    <row r="412" ht="15.75" customHeight="1">
      <c r="C412" s="3"/>
      <c r="E412" s="5"/>
    </row>
    <row r="413" ht="15.75" customHeight="1">
      <c r="C413" s="3"/>
      <c r="E413" s="5"/>
    </row>
    <row r="414" ht="15.75" customHeight="1">
      <c r="C414" s="3"/>
      <c r="E414" s="5"/>
    </row>
    <row r="415" ht="15.75" customHeight="1">
      <c r="C415" s="3"/>
      <c r="E415" s="5"/>
    </row>
    <row r="416" ht="15.75" customHeight="1">
      <c r="C416" s="3"/>
      <c r="E416" s="5"/>
    </row>
    <row r="417" ht="15.75" customHeight="1">
      <c r="C417" s="3"/>
      <c r="E417" s="5"/>
    </row>
    <row r="418" ht="15.75" customHeight="1">
      <c r="C418" s="3"/>
      <c r="E418" s="5"/>
    </row>
    <row r="419" ht="15.75" customHeight="1">
      <c r="C419" s="3"/>
      <c r="E419" s="5"/>
    </row>
    <row r="420" ht="15.75" customHeight="1">
      <c r="C420" s="3"/>
      <c r="E420" s="5"/>
    </row>
    <row r="421" ht="15.75" customHeight="1">
      <c r="C421" s="3"/>
      <c r="E421" s="5"/>
    </row>
    <row r="422" ht="15.75" customHeight="1">
      <c r="C422" s="3"/>
      <c r="E422" s="5"/>
    </row>
    <row r="423" ht="15.75" customHeight="1">
      <c r="C423" s="3"/>
      <c r="E423" s="5"/>
    </row>
    <row r="424" ht="15.75" customHeight="1">
      <c r="C424" s="3"/>
      <c r="E424" s="5"/>
    </row>
    <row r="425" ht="15.75" customHeight="1">
      <c r="C425" s="3"/>
      <c r="E425" s="5"/>
    </row>
    <row r="426" ht="15.75" customHeight="1">
      <c r="C426" s="3"/>
      <c r="E426" s="5"/>
    </row>
    <row r="427" ht="15.75" customHeight="1">
      <c r="C427" s="3"/>
      <c r="E427" s="5"/>
    </row>
    <row r="428" ht="15.75" customHeight="1">
      <c r="C428" s="3"/>
      <c r="E428" s="5"/>
    </row>
    <row r="429" ht="15.75" customHeight="1">
      <c r="C429" s="3"/>
      <c r="E429" s="5"/>
    </row>
    <row r="430" ht="15.75" customHeight="1">
      <c r="C430" s="3"/>
      <c r="E430" s="5"/>
    </row>
    <row r="431" ht="15.75" customHeight="1">
      <c r="C431" s="3"/>
      <c r="E431" s="5"/>
    </row>
    <row r="432" ht="15.75" customHeight="1">
      <c r="C432" s="3"/>
      <c r="E432" s="5"/>
    </row>
    <row r="433" ht="15.75" customHeight="1">
      <c r="C433" s="3"/>
      <c r="E433" s="5"/>
    </row>
    <row r="434" ht="15.75" customHeight="1">
      <c r="C434" s="3"/>
      <c r="E434" s="5"/>
    </row>
    <row r="435" ht="15.75" customHeight="1">
      <c r="C435" s="3"/>
      <c r="E435" s="5"/>
    </row>
    <row r="436" ht="15.75" customHeight="1">
      <c r="C436" s="3"/>
      <c r="E436" s="5"/>
    </row>
    <row r="437" ht="15.75" customHeight="1">
      <c r="C437" s="3"/>
      <c r="E437" s="5"/>
    </row>
    <row r="438" ht="15.75" customHeight="1">
      <c r="C438" s="3"/>
      <c r="E438" s="5"/>
    </row>
    <row r="439" ht="15.75" customHeight="1">
      <c r="C439" s="3"/>
      <c r="E439" s="5"/>
    </row>
    <row r="440" ht="15.75" customHeight="1">
      <c r="C440" s="3"/>
      <c r="E440" s="5"/>
    </row>
    <row r="441" ht="15.75" customHeight="1">
      <c r="C441" s="3"/>
      <c r="E441" s="5"/>
    </row>
    <row r="442" ht="15.75" customHeight="1">
      <c r="C442" s="3"/>
      <c r="E442" s="5"/>
    </row>
    <row r="443" ht="15.75" customHeight="1">
      <c r="C443" s="3"/>
      <c r="E443" s="5"/>
    </row>
    <row r="444" ht="15.75" customHeight="1">
      <c r="C444" s="3"/>
      <c r="E444" s="5"/>
    </row>
    <row r="445" ht="15.75" customHeight="1">
      <c r="C445" s="3"/>
      <c r="E445" s="5"/>
    </row>
    <row r="446" ht="15.75" customHeight="1">
      <c r="C446" s="3"/>
      <c r="E446" s="5"/>
    </row>
    <row r="447" ht="15.75" customHeight="1">
      <c r="C447" s="3"/>
      <c r="E447" s="5"/>
    </row>
    <row r="448" ht="15.75" customHeight="1">
      <c r="C448" s="3"/>
      <c r="E448" s="5"/>
    </row>
    <row r="449" ht="15.75" customHeight="1">
      <c r="C449" s="3"/>
      <c r="E449" s="5"/>
    </row>
    <row r="450" ht="15.75" customHeight="1">
      <c r="C450" s="3"/>
      <c r="E450" s="5"/>
    </row>
    <row r="451" ht="15.75" customHeight="1">
      <c r="C451" s="3"/>
      <c r="E451" s="5"/>
    </row>
    <row r="452" ht="15.75" customHeight="1">
      <c r="C452" s="3"/>
      <c r="E452" s="5"/>
    </row>
    <row r="453" ht="15.75" customHeight="1">
      <c r="C453" s="3"/>
      <c r="E453" s="5"/>
    </row>
    <row r="454" ht="15.75" customHeight="1">
      <c r="C454" s="3"/>
      <c r="E454" s="5"/>
    </row>
    <row r="455" ht="15.75" customHeight="1">
      <c r="C455" s="3"/>
      <c r="E455" s="5"/>
    </row>
    <row r="456" ht="15.75" customHeight="1">
      <c r="C456" s="3"/>
      <c r="E456" s="5"/>
    </row>
    <row r="457" ht="15.75" customHeight="1">
      <c r="C457" s="3"/>
      <c r="E457" s="5"/>
    </row>
    <row r="458" ht="15.75" customHeight="1">
      <c r="C458" s="3"/>
      <c r="E458" s="5"/>
    </row>
    <row r="459" ht="15.75" customHeight="1">
      <c r="C459" s="3"/>
      <c r="E459" s="5"/>
    </row>
    <row r="460" ht="15.75" customHeight="1">
      <c r="C460" s="3"/>
      <c r="E460" s="5"/>
    </row>
    <row r="461" ht="15.75" customHeight="1">
      <c r="C461" s="3"/>
      <c r="E461" s="5"/>
    </row>
    <row r="462" ht="15.75" customHeight="1">
      <c r="C462" s="3"/>
      <c r="E462" s="5"/>
    </row>
    <row r="463" ht="15.75" customHeight="1">
      <c r="C463" s="3"/>
      <c r="E463" s="5"/>
    </row>
    <row r="464" ht="15.75" customHeight="1">
      <c r="C464" s="3"/>
      <c r="E464" s="5"/>
    </row>
    <row r="465" ht="15.75" customHeight="1">
      <c r="C465" s="3"/>
      <c r="E465" s="5"/>
    </row>
    <row r="466" ht="15.75" customHeight="1">
      <c r="C466" s="3"/>
      <c r="E466" s="5"/>
    </row>
    <row r="467" ht="15.75" customHeight="1">
      <c r="C467" s="3"/>
      <c r="E467" s="5"/>
    </row>
    <row r="468" ht="15.75" customHeight="1">
      <c r="C468" s="3"/>
      <c r="E468" s="5"/>
    </row>
    <row r="469" ht="15.75" customHeight="1">
      <c r="C469" s="3"/>
      <c r="E469" s="5"/>
    </row>
    <row r="470" ht="15.75" customHeight="1">
      <c r="C470" s="3"/>
      <c r="E470" s="5"/>
    </row>
    <row r="471" ht="15.75" customHeight="1">
      <c r="C471" s="3"/>
      <c r="E471" s="5"/>
    </row>
    <row r="472" ht="15.75" customHeight="1">
      <c r="C472" s="3"/>
      <c r="E472" s="5"/>
    </row>
    <row r="473" ht="15.75" customHeight="1">
      <c r="C473" s="3"/>
      <c r="E473" s="5"/>
    </row>
    <row r="474" ht="15.75" customHeight="1">
      <c r="C474" s="3"/>
      <c r="E474" s="5"/>
    </row>
    <row r="475" ht="15.75" customHeight="1">
      <c r="C475" s="3"/>
      <c r="E475" s="5"/>
    </row>
    <row r="476" ht="15.75" customHeight="1">
      <c r="C476" s="3"/>
      <c r="E476" s="5"/>
    </row>
    <row r="477" ht="15.75" customHeight="1">
      <c r="C477" s="3"/>
      <c r="E477" s="5"/>
    </row>
    <row r="478" ht="15.75" customHeight="1">
      <c r="C478" s="3"/>
      <c r="E478" s="5"/>
    </row>
    <row r="479" ht="15.75" customHeight="1">
      <c r="C479" s="3"/>
      <c r="E479" s="5"/>
    </row>
    <row r="480" ht="15.75" customHeight="1">
      <c r="C480" s="3"/>
      <c r="E480" s="5"/>
    </row>
    <row r="481" ht="15.75" customHeight="1">
      <c r="C481" s="3"/>
      <c r="E481" s="5"/>
    </row>
    <row r="482" ht="15.75" customHeight="1">
      <c r="C482" s="3"/>
      <c r="E482" s="5"/>
    </row>
    <row r="483" ht="15.75" customHeight="1">
      <c r="C483" s="3"/>
      <c r="E483" s="5"/>
    </row>
    <row r="484" ht="15.75" customHeight="1">
      <c r="C484" s="3"/>
      <c r="E484" s="5"/>
    </row>
    <row r="485" ht="15.75" customHeight="1">
      <c r="C485" s="3"/>
      <c r="E485" s="5"/>
    </row>
    <row r="486" ht="15.75" customHeight="1">
      <c r="C486" s="3"/>
      <c r="E486" s="5"/>
    </row>
    <row r="487" ht="15.75" customHeight="1">
      <c r="C487" s="3"/>
      <c r="E487" s="5"/>
    </row>
    <row r="488" ht="15.75" customHeight="1">
      <c r="C488" s="3"/>
      <c r="E488" s="5"/>
    </row>
    <row r="489" ht="15.75" customHeight="1">
      <c r="C489" s="3"/>
      <c r="E489" s="5"/>
    </row>
    <row r="490" ht="15.75" customHeight="1">
      <c r="C490" s="3"/>
      <c r="E490" s="5"/>
    </row>
    <row r="491" ht="15.75" customHeight="1">
      <c r="C491" s="3"/>
      <c r="E491" s="5"/>
    </row>
    <row r="492" ht="15.75" customHeight="1">
      <c r="C492" s="3"/>
      <c r="E492" s="5"/>
    </row>
    <row r="493" ht="15.75" customHeight="1">
      <c r="C493" s="3"/>
      <c r="E493" s="5"/>
    </row>
    <row r="494" ht="15.75" customHeight="1">
      <c r="C494" s="3"/>
      <c r="E494" s="5"/>
    </row>
    <row r="495" ht="15.75" customHeight="1">
      <c r="C495" s="3"/>
      <c r="E495" s="5"/>
    </row>
    <row r="496" ht="15.75" customHeight="1">
      <c r="C496" s="3"/>
      <c r="E496" s="5"/>
    </row>
    <row r="497" ht="15.75" customHeight="1">
      <c r="C497" s="3"/>
      <c r="E497" s="5"/>
    </row>
    <row r="498" ht="15.75" customHeight="1">
      <c r="C498" s="3"/>
      <c r="E498" s="5"/>
    </row>
    <row r="499" ht="15.75" customHeight="1">
      <c r="C499" s="3"/>
      <c r="E499" s="5"/>
    </row>
    <row r="500" ht="15.75" customHeight="1">
      <c r="C500" s="3"/>
      <c r="E500" s="5"/>
    </row>
    <row r="501" ht="15.75" customHeight="1">
      <c r="C501" s="3"/>
      <c r="E501" s="5"/>
    </row>
    <row r="502" ht="15.75" customHeight="1">
      <c r="C502" s="3"/>
      <c r="E502" s="5"/>
    </row>
    <row r="503" ht="15.75" customHeight="1">
      <c r="C503" s="3"/>
      <c r="E503" s="5"/>
    </row>
    <row r="504" ht="15.75" customHeight="1">
      <c r="C504" s="3"/>
      <c r="E504" s="5"/>
    </row>
    <row r="505" ht="15.75" customHeight="1">
      <c r="C505" s="3"/>
      <c r="E505" s="5"/>
    </row>
    <row r="506" ht="15.75" customHeight="1">
      <c r="C506" s="3"/>
      <c r="E506" s="5"/>
    </row>
    <row r="507" ht="15.75" customHeight="1">
      <c r="C507" s="3"/>
      <c r="E507" s="5"/>
    </row>
    <row r="508" ht="15.75" customHeight="1">
      <c r="C508" s="3"/>
      <c r="E508" s="5"/>
    </row>
    <row r="509" ht="15.75" customHeight="1">
      <c r="C509" s="3"/>
      <c r="E509" s="5"/>
    </row>
    <row r="510" ht="15.75" customHeight="1">
      <c r="C510" s="3"/>
      <c r="E510" s="5"/>
    </row>
    <row r="511" ht="15.75" customHeight="1">
      <c r="C511" s="3"/>
      <c r="E511" s="5"/>
    </row>
    <row r="512" ht="15.75" customHeight="1">
      <c r="C512" s="3"/>
      <c r="E512" s="5"/>
    </row>
    <row r="513" ht="15.75" customHeight="1">
      <c r="C513" s="3"/>
      <c r="E513" s="5"/>
    </row>
    <row r="514" ht="15.75" customHeight="1">
      <c r="C514" s="3"/>
      <c r="E514" s="5"/>
    </row>
    <row r="515" ht="15.75" customHeight="1">
      <c r="C515" s="3"/>
      <c r="E515" s="5"/>
    </row>
    <row r="516" ht="15.75" customHeight="1">
      <c r="C516" s="3"/>
      <c r="E516" s="5"/>
    </row>
    <row r="517" ht="15.75" customHeight="1">
      <c r="C517" s="3"/>
      <c r="E517" s="5"/>
    </row>
    <row r="518" ht="15.75" customHeight="1">
      <c r="C518" s="3"/>
      <c r="E518" s="5"/>
    </row>
    <row r="519" ht="15.75" customHeight="1">
      <c r="C519" s="3"/>
      <c r="E519" s="5"/>
    </row>
    <row r="520" ht="15.75" customHeight="1">
      <c r="C520" s="3"/>
      <c r="E520" s="5"/>
    </row>
    <row r="521" ht="15.75" customHeight="1">
      <c r="C521" s="3"/>
      <c r="E521" s="5"/>
    </row>
    <row r="522" ht="15.75" customHeight="1">
      <c r="C522" s="3"/>
      <c r="E522" s="5"/>
    </row>
    <row r="523" ht="15.75" customHeight="1">
      <c r="C523" s="3"/>
      <c r="E523" s="5"/>
    </row>
    <row r="524" ht="15.75" customHeight="1">
      <c r="C524" s="3"/>
      <c r="E524" s="5"/>
    </row>
    <row r="525" ht="15.75" customHeight="1">
      <c r="C525" s="3"/>
      <c r="E525" s="5"/>
    </row>
    <row r="526" ht="15.75" customHeight="1">
      <c r="C526" s="3"/>
      <c r="E526" s="5"/>
    </row>
    <row r="527" ht="15.75" customHeight="1">
      <c r="C527" s="3"/>
      <c r="E527" s="5"/>
    </row>
    <row r="528" ht="15.75" customHeight="1">
      <c r="C528" s="3"/>
      <c r="E528" s="5"/>
    </row>
    <row r="529" ht="15.75" customHeight="1">
      <c r="C529" s="3"/>
      <c r="E529" s="5"/>
    </row>
    <row r="530" ht="15.75" customHeight="1">
      <c r="C530" s="3"/>
      <c r="E530" s="5"/>
    </row>
    <row r="531" ht="15.75" customHeight="1">
      <c r="C531" s="3"/>
      <c r="E531" s="5"/>
    </row>
    <row r="532" ht="15.75" customHeight="1">
      <c r="C532" s="3"/>
      <c r="E532" s="5"/>
    </row>
    <row r="533" ht="15.75" customHeight="1">
      <c r="C533" s="3"/>
      <c r="E533" s="5"/>
    </row>
    <row r="534" ht="15.75" customHeight="1">
      <c r="C534" s="3"/>
      <c r="E534" s="5"/>
    </row>
    <row r="535" ht="15.75" customHeight="1">
      <c r="C535" s="3"/>
      <c r="E535" s="5"/>
    </row>
    <row r="536" ht="15.75" customHeight="1">
      <c r="C536" s="3"/>
      <c r="E536" s="5"/>
    </row>
    <row r="537" ht="15.75" customHeight="1">
      <c r="C537" s="3"/>
      <c r="E537" s="5"/>
    </row>
    <row r="538" ht="15.75" customHeight="1">
      <c r="C538" s="3"/>
      <c r="E538" s="5"/>
    </row>
    <row r="539" ht="15.75" customHeight="1">
      <c r="C539" s="3"/>
      <c r="E539" s="5"/>
    </row>
    <row r="540" ht="15.75" customHeight="1">
      <c r="C540" s="3"/>
      <c r="E540" s="5"/>
    </row>
    <row r="541" ht="15.75" customHeight="1">
      <c r="C541" s="3"/>
      <c r="E541" s="5"/>
    </row>
    <row r="542" ht="15.75" customHeight="1">
      <c r="C542" s="3"/>
      <c r="E542" s="5"/>
    </row>
    <row r="543" ht="15.75" customHeight="1">
      <c r="C543" s="3"/>
      <c r="E543" s="5"/>
    </row>
    <row r="544" ht="15.75" customHeight="1">
      <c r="C544" s="3"/>
      <c r="E544" s="5"/>
    </row>
    <row r="545" ht="15.75" customHeight="1">
      <c r="C545" s="3"/>
      <c r="E545" s="5"/>
    </row>
    <row r="546" ht="15.75" customHeight="1">
      <c r="C546" s="3"/>
      <c r="E546" s="5"/>
    </row>
    <row r="547" ht="15.75" customHeight="1">
      <c r="C547" s="3"/>
      <c r="E547" s="5"/>
    </row>
    <row r="548" ht="15.75" customHeight="1">
      <c r="C548" s="3"/>
      <c r="E548" s="5"/>
    </row>
    <row r="549" ht="15.75" customHeight="1">
      <c r="C549" s="3"/>
      <c r="E549" s="5"/>
    </row>
    <row r="550" ht="15.75" customHeight="1">
      <c r="C550" s="3"/>
      <c r="E550" s="5"/>
    </row>
    <row r="551" ht="15.75" customHeight="1">
      <c r="C551" s="3"/>
      <c r="E551" s="5"/>
    </row>
    <row r="552" ht="15.75" customHeight="1">
      <c r="C552" s="3"/>
      <c r="E552" s="5"/>
    </row>
    <row r="553" ht="15.75" customHeight="1">
      <c r="C553" s="3"/>
      <c r="E553" s="5"/>
    </row>
    <row r="554" ht="15.75" customHeight="1">
      <c r="C554" s="3"/>
      <c r="E554" s="5"/>
    </row>
    <row r="555" ht="15.75" customHeight="1">
      <c r="C555" s="3"/>
      <c r="E555" s="5"/>
    </row>
    <row r="556" ht="15.75" customHeight="1">
      <c r="C556" s="3"/>
      <c r="E556" s="5"/>
    </row>
    <row r="557" ht="15.75" customHeight="1">
      <c r="C557" s="3"/>
      <c r="E557" s="5"/>
    </row>
    <row r="558" ht="15.75" customHeight="1">
      <c r="C558" s="3"/>
      <c r="E558" s="5"/>
    </row>
    <row r="559" ht="15.75" customHeight="1">
      <c r="C559" s="3"/>
      <c r="E559" s="5"/>
    </row>
    <row r="560" ht="15.75" customHeight="1">
      <c r="C560" s="3"/>
      <c r="E560" s="5"/>
    </row>
    <row r="561" ht="15.75" customHeight="1">
      <c r="C561" s="3"/>
      <c r="E561" s="5"/>
    </row>
    <row r="562" ht="15.75" customHeight="1">
      <c r="C562" s="3"/>
      <c r="E562" s="5"/>
    </row>
    <row r="563" ht="15.75" customHeight="1">
      <c r="C563" s="3"/>
      <c r="E563" s="5"/>
    </row>
    <row r="564" ht="15.75" customHeight="1">
      <c r="C564" s="3"/>
      <c r="E564" s="5"/>
    </row>
    <row r="565" ht="15.75" customHeight="1">
      <c r="C565" s="3"/>
      <c r="E565" s="5"/>
    </row>
    <row r="566" ht="15.75" customHeight="1">
      <c r="C566" s="3"/>
      <c r="E566" s="5"/>
    </row>
    <row r="567" ht="15.75" customHeight="1">
      <c r="C567" s="3"/>
      <c r="E567" s="5"/>
    </row>
    <row r="568" ht="15.75" customHeight="1">
      <c r="C568" s="3"/>
      <c r="E568" s="5"/>
    </row>
    <row r="569" ht="15.75" customHeight="1">
      <c r="C569" s="3"/>
      <c r="E569" s="5"/>
    </row>
    <row r="570" ht="15.75" customHeight="1">
      <c r="C570" s="3"/>
      <c r="E570" s="5"/>
    </row>
    <row r="571" ht="15.75" customHeight="1">
      <c r="C571" s="3"/>
      <c r="E571" s="5"/>
    </row>
    <row r="572" ht="15.75" customHeight="1">
      <c r="C572" s="3"/>
      <c r="E572" s="5"/>
    </row>
    <row r="573" ht="15.75" customHeight="1">
      <c r="C573" s="3"/>
      <c r="E573" s="5"/>
    </row>
    <row r="574" ht="15.75" customHeight="1">
      <c r="C574" s="3"/>
      <c r="E574" s="5"/>
    </row>
    <row r="575" ht="15.75" customHeight="1">
      <c r="C575" s="3"/>
      <c r="E575" s="5"/>
    </row>
    <row r="576" ht="15.75" customHeight="1">
      <c r="C576" s="3"/>
      <c r="E576" s="5"/>
    </row>
    <row r="577" ht="15.75" customHeight="1">
      <c r="C577" s="3"/>
      <c r="E577" s="5"/>
    </row>
    <row r="578" ht="15.75" customHeight="1">
      <c r="C578" s="3"/>
      <c r="E578" s="5"/>
    </row>
    <row r="579" ht="15.75" customHeight="1">
      <c r="C579" s="3"/>
      <c r="E579" s="5"/>
    </row>
    <row r="580" ht="15.75" customHeight="1">
      <c r="C580" s="3"/>
      <c r="E580" s="5"/>
    </row>
    <row r="581" ht="15.75" customHeight="1">
      <c r="C581" s="3"/>
      <c r="E581" s="5"/>
    </row>
    <row r="582" ht="15.75" customHeight="1">
      <c r="C582" s="3"/>
      <c r="E582" s="5"/>
    </row>
    <row r="583" ht="15.75" customHeight="1">
      <c r="C583" s="3"/>
      <c r="E583" s="5"/>
    </row>
    <row r="584" ht="15.75" customHeight="1">
      <c r="C584" s="3"/>
      <c r="E584" s="5"/>
    </row>
    <row r="585" ht="15.75" customHeight="1">
      <c r="C585" s="3"/>
      <c r="E585" s="5"/>
    </row>
    <row r="586" ht="15.75" customHeight="1">
      <c r="C586" s="3"/>
      <c r="E586" s="5"/>
    </row>
    <row r="587" ht="15.75" customHeight="1">
      <c r="C587" s="3"/>
      <c r="E587" s="5"/>
    </row>
    <row r="588" ht="15.75" customHeight="1">
      <c r="C588" s="3"/>
      <c r="E588" s="5"/>
    </row>
    <row r="589" ht="15.75" customHeight="1">
      <c r="C589" s="3"/>
      <c r="E589" s="5"/>
    </row>
    <row r="590" ht="15.75" customHeight="1">
      <c r="C590" s="3"/>
      <c r="E590" s="5"/>
    </row>
    <row r="591" ht="15.75" customHeight="1">
      <c r="C591" s="3"/>
      <c r="E591" s="5"/>
    </row>
    <row r="592" ht="15.75" customHeight="1">
      <c r="C592" s="3"/>
      <c r="E592" s="5"/>
    </row>
    <row r="593" ht="15.75" customHeight="1">
      <c r="C593" s="3"/>
      <c r="E593" s="5"/>
    </row>
    <row r="594" ht="15.75" customHeight="1">
      <c r="C594" s="3"/>
      <c r="E594" s="5"/>
    </row>
    <row r="595" ht="15.75" customHeight="1">
      <c r="C595" s="3"/>
      <c r="E595" s="5"/>
    </row>
    <row r="596" ht="15.75" customHeight="1">
      <c r="C596" s="3"/>
      <c r="E596" s="5"/>
    </row>
    <row r="597" ht="15.75" customHeight="1">
      <c r="C597" s="3"/>
      <c r="E597" s="5"/>
    </row>
    <row r="598" ht="15.75" customHeight="1">
      <c r="C598" s="3"/>
      <c r="E598" s="5"/>
    </row>
    <row r="599" ht="15.75" customHeight="1">
      <c r="C599" s="3"/>
      <c r="E599" s="5"/>
    </row>
    <row r="600" ht="15.75" customHeight="1">
      <c r="C600" s="3"/>
      <c r="E600" s="5"/>
    </row>
    <row r="601" ht="15.75" customHeight="1">
      <c r="C601" s="3"/>
      <c r="E601" s="5"/>
    </row>
    <row r="602" ht="15.75" customHeight="1">
      <c r="C602" s="3"/>
      <c r="E602" s="5"/>
    </row>
    <row r="603" ht="15.75" customHeight="1">
      <c r="C603" s="3"/>
      <c r="E603" s="5"/>
    </row>
    <row r="604" ht="15.75" customHeight="1">
      <c r="C604" s="3"/>
      <c r="E604" s="5"/>
    </row>
    <row r="605" ht="15.75" customHeight="1">
      <c r="C605" s="3"/>
      <c r="E605" s="5"/>
    </row>
    <row r="606" ht="15.75" customHeight="1">
      <c r="C606" s="3"/>
      <c r="E606" s="5"/>
    </row>
    <row r="607" ht="15.75" customHeight="1">
      <c r="C607" s="3"/>
      <c r="E607" s="5"/>
    </row>
    <row r="608" ht="15.75" customHeight="1">
      <c r="C608" s="3"/>
      <c r="E608" s="5"/>
    </row>
    <row r="609" ht="15.75" customHeight="1">
      <c r="C609" s="3"/>
      <c r="E609" s="5"/>
    </row>
    <row r="610" ht="15.75" customHeight="1">
      <c r="C610" s="3"/>
      <c r="E610" s="5"/>
    </row>
    <row r="611" ht="15.75" customHeight="1">
      <c r="C611" s="3"/>
      <c r="E611" s="5"/>
    </row>
    <row r="612" ht="15.75" customHeight="1">
      <c r="C612" s="3"/>
      <c r="E612" s="5"/>
    </row>
    <row r="613" ht="15.75" customHeight="1">
      <c r="C613" s="3"/>
      <c r="E613" s="5"/>
    </row>
    <row r="614" ht="15.75" customHeight="1">
      <c r="C614" s="3"/>
      <c r="E614" s="5"/>
    </row>
    <row r="615" ht="15.75" customHeight="1">
      <c r="C615" s="3"/>
      <c r="E615" s="5"/>
    </row>
    <row r="616" ht="15.75" customHeight="1">
      <c r="C616" s="3"/>
      <c r="E616" s="5"/>
    </row>
    <row r="617" ht="15.75" customHeight="1">
      <c r="C617" s="3"/>
      <c r="E617" s="5"/>
    </row>
    <row r="618" ht="15.75" customHeight="1">
      <c r="C618" s="3"/>
      <c r="E618" s="5"/>
    </row>
    <row r="619" ht="15.75" customHeight="1">
      <c r="C619" s="3"/>
      <c r="E619" s="5"/>
    </row>
    <row r="620" ht="15.75" customHeight="1">
      <c r="C620" s="3"/>
      <c r="E620" s="5"/>
    </row>
    <row r="621" ht="15.75" customHeight="1">
      <c r="C621" s="3"/>
      <c r="E621" s="5"/>
    </row>
    <row r="622" ht="15.75" customHeight="1">
      <c r="C622" s="3"/>
      <c r="E622" s="5"/>
    </row>
    <row r="623" ht="15.75" customHeight="1">
      <c r="C623" s="3"/>
      <c r="E623" s="5"/>
    </row>
    <row r="624" ht="15.75" customHeight="1">
      <c r="C624" s="3"/>
      <c r="E624" s="5"/>
    </row>
    <row r="625" ht="15.75" customHeight="1">
      <c r="C625" s="3"/>
      <c r="E625" s="5"/>
    </row>
    <row r="626" ht="15.75" customHeight="1">
      <c r="C626" s="3"/>
      <c r="E626" s="5"/>
    </row>
    <row r="627" ht="15.75" customHeight="1">
      <c r="C627" s="3"/>
      <c r="E627" s="5"/>
    </row>
    <row r="628" ht="15.75" customHeight="1">
      <c r="C628" s="3"/>
      <c r="E628" s="5"/>
    </row>
    <row r="629" ht="15.75" customHeight="1">
      <c r="C629" s="3"/>
      <c r="E629" s="5"/>
    </row>
    <row r="630" ht="15.75" customHeight="1">
      <c r="C630" s="3"/>
      <c r="E630" s="5"/>
    </row>
    <row r="631" ht="15.75" customHeight="1">
      <c r="C631" s="3"/>
      <c r="E631" s="5"/>
    </row>
    <row r="632" ht="15.75" customHeight="1">
      <c r="C632" s="3"/>
      <c r="E632" s="5"/>
    </row>
    <row r="633" ht="15.75" customHeight="1">
      <c r="C633" s="3"/>
      <c r="E633" s="5"/>
    </row>
    <row r="634" ht="15.75" customHeight="1">
      <c r="C634" s="3"/>
      <c r="E634" s="5"/>
    </row>
    <row r="635" ht="15.75" customHeight="1">
      <c r="C635" s="3"/>
      <c r="E635" s="5"/>
    </row>
    <row r="636" ht="15.75" customHeight="1">
      <c r="C636" s="3"/>
      <c r="E636" s="5"/>
    </row>
    <row r="637" ht="15.75" customHeight="1">
      <c r="C637" s="3"/>
      <c r="E637" s="5"/>
    </row>
    <row r="638" ht="15.75" customHeight="1">
      <c r="C638" s="3"/>
      <c r="E638" s="5"/>
    </row>
    <row r="639" ht="15.75" customHeight="1">
      <c r="C639" s="3"/>
      <c r="E639" s="5"/>
    </row>
    <row r="640" ht="15.75" customHeight="1">
      <c r="C640" s="3"/>
      <c r="E640" s="5"/>
    </row>
    <row r="641" ht="15.75" customHeight="1">
      <c r="C641" s="3"/>
      <c r="E641" s="5"/>
    </row>
    <row r="642" ht="15.75" customHeight="1">
      <c r="C642" s="3"/>
      <c r="E642" s="5"/>
    </row>
    <row r="643" ht="15.75" customHeight="1">
      <c r="C643" s="3"/>
      <c r="E643" s="5"/>
    </row>
    <row r="644" ht="15.75" customHeight="1">
      <c r="C644" s="3"/>
      <c r="E644" s="5"/>
    </row>
    <row r="645" ht="15.75" customHeight="1">
      <c r="C645" s="3"/>
      <c r="E645" s="5"/>
    </row>
    <row r="646" ht="15.75" customHeight="1">
      <c r="C646" s="3"/>
      <c r="E646" s="5"/>
    </row>
    <row r="647" ht="15.75" customHeight="1">
      <c r="C647" s="3"/>
      <c r="E647" s="5"/>
    </row>
    <row r="648" ht="15.75" customHeight="1">
      <c r="C648" s="3"/>
      <c r="E648" s="5"/>
    </row>
    <row r="649" ht="15.75" customHeight="1">
      <c r="C649" s="3"/>
      <c r="E649" s="5"/>
    </row>
    <row r="650" ht="15.75" customHeight="1">
      <c r="C650" s="3"/>
      <c r="E650" s="5"/>
    </row>
    <row r="651" ht="15.75" customHeight="1">
      <c r="C651" s="3"/>
      <c r="E651" s="5"/>
    </row>
    <row r="652" ht="15.75" customHeight="1">
      <c r="C652" s="3"/>
      <c r="E652" s="5"/>
    </row>
    <row r="653" ht="15.75" customHeight="1">
      <c r="C653" s="3"/>
      <c r="E653" s="5"/>
    </row>
    <row r="654" ht="15.75" customHeight="1">
      <c r="C654" s="3"/>
      <c r="E654" s="5"/>
    </row>
    <row r="655" ht="15.75" customHeight="1">
      <c r="C655" s="3"/>
      <c r="E655" s="5"/>
    </row>
    <row r="656" ht="15.75" customHeight="1">
      <c r="C656" s="3"/>
      <c r="E656" s="5"/>
    </row>
    <row r="657" ht="15.75" customHeight="1">
      <c r="C657" s="3"/>
      <c r="E657" s="5"/>
    </row>
    <row r="658" ht="15.75" customHeight="1">
      <c r="C658" s="3"/>
      <c r="E658" s="5"/>
    </row>
    <row r="659" ht="15.75" customHeight="1">
      <c r="C659" s="3"/>
      <c r="E659" s="5"/>
    </row>
    <row r="660" ht="15.75" customHeight="1">
      <c r="C660" s="3"/>
      <c r="E660" s="5"/>
    </row>
    <row r="661" ht="15.75" customHeight="1">
      <c r="C661" s="3"/>
      <c r="E661" s="5"/>
    </row>
    <row r="662" ht="15.75" customHeight="1">
      <c r="C662" s="3"/>
      <c r="E662" s="5"/>
    </row>
    <row r="663" ht="15.75" customHeight="1">
      <c r="C663" s="3"/>
      <c r="E663" s="5"/>
    </row>
    <row r="664" ht="15.75" customHeight="1">
      <c r="C664" s="3"/>
      <c r="E664" s="5"/>
    </row>
    <row r="665" ht="15.75" customHeight="1">
      <c r="C665" s="3"/>
      <c r="E665" s="5"/>
    </row>
    <row r="666" ht="15.75" customHeight="1">
      <c r="C666" s="3"/>
      <c r="E666" s="5"/>
    </row>
    <row r="667" ht="15.75" customHeight="1">
      <c r="C667" s="3"/>
      <c r="E667" s="5"/>
    </row>
    <row r="668" ht="15.75" customHeight="1">
      <c r="C668" s="3"/>
      <c r="E668" s="5"/>
    </row>
    <row r="669" ht="15.75" customHeight="1">
      <c r="C669" s="3"/>
      <c r="E669" s="5"/>
    </row>
    <row r="670" ht="15.75" customHeight="1">
      <c r="C670" s="3"/>
      <c r="E670" s="5"/>
    </row>
    <row r="671" ht="15.75" customHeight="1">
      <c r="C671" s="3"/>
      <c r="E671" s="5"/>
    </row>
    <row r="672" ht="15.75" customHeight="1">
      <c r="C672" s="3"/>
      <c r="E672" s="5"/>
    </row>
    <row r="673" ht="15.75" customHeight="1">
      <c r="C673" s="3"/>
      <c r="E673" s="5"/>
    </row>
    <row r="674" ht="15.75" customHeight="1">
      <c r="C674" s="3"/>
      <c r="E674" s="5"/>
    </row>
    <row r="675" ht="15.75" customHeight="1">
      <c r="C675" s="3"/>
      <c r="E675" s="5"/>
    </row>
    <row r="676" ht="15.75" customHeight="1">
      <c r="C676" s="3"/>
      <c r="E676" s="5"/>
    </row>
    <row r="677" ht="15.75" customHeight="1">
      <c r="C677" s="3"/>
      <c r="E677" s="5"/>
    </row>
    <row r="678" ht="15.75" customHeight="1">
      <c r="C678" s="3"/>
      <c r="E678" s="5"/>
    </row>
    <row r="679" ht="15.75" customHeight="1">
      <c r="C679" s="3"/>
      <c r="E679" s="5"/>
    </row>
    <row r="680" ht="15.75" customHeight="1">
      <c r="C680" s="3"/>
      <c r="E680" s="5"/>
    </row>
    <row r="681" ht="15.75" customHeight="1">
      <c r="C681" s="3"/>
      <c r="E681" s="5"/>
    </row>
    <row r="682" ht="15.75" customHeight="1">
      <c r="C682" s="3"/>
      <c r="E682" s="5"/>
    </row>
    <row r="683" ht="15.75" customHeight="1">
      <c r="C683" s="3"/>
      <c r="E683" s="5"/>
    </row>
    <row r="684" ht="15.75" customHeight="1">
      <c r="C684" s="3"/>
      <c r="E684" s="5"/>
    </row>
    <row r="685" ht="15.75" customHeight="1">
      <c r="C685" s="3"/>
      <c r="E685" s="5"/>
    </row>
    <row r="686" ht="15.75" customHeight="1">
      <c r="C686" s="3"/>
      <c r="E686" s="5"/>
    </row>
    <row r="687" ht="15.75" customHeight="1">
      <c r="C687" s="3"/>
      <c r="E687" s="5"/>
    </row>
    <row r="688" ht="15.75" customHeight="1">
      <c r="C688" s="3"/>
      <c r="E688" s="5"/>
    </row>
    <row r="689" ht="15.75" customHeight="1">
      <c r="C689" s="3"/>
      <c r="E689" s="5"/>
    </row>
    <row r="690" ht="15.75" customHeight="1">
      <c r="C690" s="3"/>
      <c r="E690" s="5"/>
    </row>
    <row r="691" ht="15.75" customHeight="1">
      <c r="C691" s="3"/>
      <c r="E691" s="5"/>
    </row>
    <row r="692" ht="15.75" customHeight="1">
      <c r="C692" s="3"/>
      <c r="E692" s="5"/>
    </row>
    <row r="693" ht="15.75" customHeight="1">
      <c r="C693" s="3"/>
      <c r="E693" s="5"/>
    </row>
    <row r="694" ht="15.75" customHeight="1">
      <c r="C694" s="3"/>
      <c r="E694" s="5"/>
    </row>
    <row r="695" ht="15.75" customHeight="1">
      <c r="C695" s="3"/>
      <c r="E695" s="5"/>
    </row>
    <row r="696" ht="15.75" customHeight="1">
      <c r="C696" s="3"/>
      <c r="E696" s="5"/>
    </row>
    <row r="697" ht="15.75" customHeight="1">
      <c r="C697" s="3"/>
      <c r="E697" s="5"/>
    </row>
    <row r="698" ht="15.75" customHeight="1">
      <c r="C698" s="3"/>
      <c r="E698" s="5"/>
    </row>
    <row r="699" ht="15.75" customHeight="1">
      <c r="C699" s="3"/>
      <c r="E699" s="5"/>
    </row>
    <row r="700" ht="15.75" customHeight="1">
      <c r="C700" s="3"/>
      <c r="E700" s="5"/>
    </row>
    <row r="701" ht="15.75" customHeight="1">
      <c r="C701" s="3"/>
      <c r="E701" s="5"/>
    </row>
    <row r="702" ht="15.75" customHeight="1">
      <c r="C702" s="3"/>
      <c r="E702" s="5"/>
    </row>
    <row r="703" ht="15.75" customHeight="1">
      <c r="C703" s="3"/>
      <c r="E703" s="5"/>
    </row>
    <row r="704" ht="15.75" customHeight="1">
      <c r="C704" s="3"/>
      <c r="E704" s="5"/>
    </row>
    <row r="705" ht="15.75" customHeight="1">
      <c r="C705" s="3"/>
      <c r="E705" s="5"/>
    </row>
    <row r="706" ht="15.75" customHeight="1">
      <c r="C706" s="3"/>
      <c r="E706" s="5"/>
    </row>
    <row r="707" ht="15.75" customHeight="1">
      <c r="C707" s="3"/>
      <c r="E707" s="5"/>
    </row>
    <row r="708" ht="15.75" customHeight="1">
      <c r="C708" s="3"/>
      <c r="E708" s="5"/>
    </row>
    <row r="709" ht="15.75" customHeight="1">
      <c r="C709" s="3"/>
      <c r="E709" s="5"/>
    </row>
    <row r="710" ht="15.75" customHeight="1">
      <c r="C710" s="3"/>
      <c r="E710" s="5"/>
    </row>
    <row r="711" ht="15.75" customHeight="1">
      <c r="C711" s="3"/>
      <c r="E711" s="5"/>
    </row>
    <row r="712" ht="15.75" customHeight="1">
      <c r="C712" s="3"/>
      <c r="E712" s="5"/>
    </row>
    <row r="713" ht="15.75" customHeight="1">
      <c r="C713" s="3"/>
      <c r="E713" s="5"/>
    </row>
    <row r="714" ht="15.75" customHeight="1">
      <c r="C714" s="3"/>
      <c r="E714" s="5"/>
    </row>
    <row r="715" ht="15.75" customHeight="1">
      <c r="C715" s="3"/>
      <c r="E715" s="5"/>
    </row>
    <row r="716" ht="15.75" customHeight="1">
      <c r="C716" s="3"/>
      <c r="E716" s="5"/>
    </row>
    <row r="717" ht="15.75" customHeight="1">
      <c r="C717" s="3"/>
      <c r="E717" s="5"/>
    </row>
    <row r="718" ht="15.75" customHeight="1">
      <c r="C718" s="3"/>
      <c r="E718" s="5"/>
    </row>
    <row r="719" ht="15.75" customHeight="1">
      <c r="C719" s="3"/>
      <c r="E719" s="5"/>
    </row>
    <row r="720" ht="15.75" customHeight="1">
      <c r="C720" s="3"/>
      <c r="E720" s="5"/>
    </row>
    <row r="721" ht="15.75" customHeight="1">
      <c r="C721" s="3"/>
      <c r="E721" s="5"/>
    </row>
    <row r="722" ht="15.75" customHeight="1">
      <c r="C722" s="3"/>
      <c r="E722" s="5"/>
    </row>
    <row r="723" ht="15.75" customHeight="1">
      <c r="C723" s="3"/>
      <c r="E723" s="5"/>
    </row>
    <row r="724" ht="15.75" customHeight="1">
      <c r="C724" s="3"/>
      <c r="E724" s="5"/>
    </row>
    <row r="725" ht="15.75" customHeight="1">
      <c r="C725" s="3"/>
      <c r="E725" s="5"/>
    </row>
    <row r="726" ht="15.75" customHeight="1">
      <c r="C726" s="3"/>
      <c r="E726" s="5"/>
    </row>
    <row r="727" ht="15.75" customHeight="1">
      <c r="C727" s="3"/>
      <c r="E727" s="5"/>
    </row>
    <row r="728" ht="15.75" customHeight="1">
      <c r="C728" s="3"/>
      <c r="E728" s="5"/>
    </row>
    <row r="729" ht="15.75" customHeight="1">
      <c r="C729" s="3"/>
      <c r="E729" s="5"/>
    </row>
    <row r="730" ht="15.75" customHeight="1">
      <c r="C730" s="3"/>
      <c r="E730" s="5"/>
    </row>
    <row r="731" ht="15.75" customHeight="1">
      <c r="C731" s="3"/>
      <c r="E731" s="5"/>
    </row>
    <row r="732" ht="15.75" customHeight="1">
      <c r="C732" s="3"/>
      <c r="E732" s="5"/>
    </row>
    <row r="733" ht="15.75" customHeight="1">
      <c r="C733" s="3"/>
      <c r="E733" s="5"/>
    </row>
    <row r="734" ht="15.75" customHeight="1">
      <c r="C734" s="3"/>
      <c r="E734" s="5"/>
    </row>
    <row r="735" ht="15.75" customHeight="1">
      <c r="C735" s="3"/>
      <c r="E735" s="5"/>
    </row>
    <row r="736" ht="15.75" customHeight="1">
      <c r="C736" s="3"/>
      <c r="E736" s="5"/>
    </row>
    <row r="737" ht="15.75" customHeight="1">
      <c r="C737" s="3"/>
      <c r="E737" s="5"/>
    </row>
    <row r="738" ht="15.75" customHeight="1">
      <c r="C738" s="3"/>
      <c r="E738" s="5"/>
    </row>
    <row r="739" ht="15.75" customHeight="1">
      <c r="C739" s="3"/>
      <c r="E739" s="5"/>
    </row>
    <row r="740" ht="15.75" customHeight="1">
      <c r="C740" s="3"/>
      <c r="E740" s="5"/>
    </row>
    <row r="741" ht="15.75" customHeight="1">
      <c r="C741" s="3"/>
      <c r="E741" s="5"/>
    </row>
    <row r="742" ht="15.75" customHeight="1">
      <c r="C742" s="3"/>
      <c r="E742" s="5"/>
    </row>
    <row r="743" ht="15.75" customHeight="1">
      <c r="C743" s="3"/>
      <c r="E743" s="5"/>
    </row>
    <row r="744" ht="15.75" customHeight="1">
      <c r="C744" s="3"/>
      <c r="E744" s="5"/>
    </row>
    <row r="745" ht="15.75" customHeight="1">
      <c r="C745" s="3"/>
      <c r="E745" s="5"/>
    </row>
    <row r="746" ht="15.75" customHeight="1">
      <c r="C746" s="3"/>
      <c r="E746" s="5"/>
    </row>
    <row r="747" ht="15.75" customHeight="1">
      <c r="C747" s="3"/>
      <c r="E747" s="5"/>
    </row>
    <row r="748" ht="15.75" customHeight="1">
      <c r="C748" s="3"/>
      <c r="E748" s="5"/>
    </row>
    <row r="749" ht="15.75" customHeight="1">
      <c r="C749" s="3"/>
      <c r="E749" s="5"/>
    </row>
    <row r="750" ht="15.75" customHeight="1">
      <c r="C750" s="3"/>
      <c r="E750" s="5"/>
    </row>
    <row r="751" ht="15.75" customHeight="1">
      <c r="C751" s="3"/>
      <c r="E751" s="5"/>
    </row>
    <row r="752" ht="15.75" customHeight="1">
      <c r="C752" s="3"/>
      <c r="E752" s="5"/>
    </row>
    <row r="753" ht="15.75" customHeight="1">
      <c r="C753" s="3"/>
      <c r="E753" s="5"/>
    </row>
    <row r="754" ht="15.75" customHeight="1">
      <c r="C754" s="3"/>
      <c r="E754" s="5"/>
    </row>
    <row r="755" ht="15.75" customHeight="1">
      <c r="C755" s="3"/>
      <c r="E755" s="5"/>
    </row>
    <row r="756" ht="15.75" customHeight="1">
      <c r="C756" s="3"/>
      <c r="E756" s="5"/>
    </row>
    <row r="757" ht="15.75" customHeight="1">
      <c r="C757" s="3"/>
      <c r="E757" s="5"/>
    </row>
    <row r="758" ht="15.75" customHeight="1">
      <c r="C758" s="3"/>
      <c r="E758" s="5"/>
    </row>
    <row r="759" ht="15.75" customHeight="1">
      <c r="C759" s="3"/>
      <c r="E759" s="5"/>
    </row>
    <row r="760" ht="15.75" customHeight="1">
      <c r="C760" s="3"/>
      <c r="E760" s="5"/>
    </row>
    <row r="761" ht="15.75" customHeight="1">
      <c r="C761" s="3"/>
      <c r="E761" s="5"/>
    </row>
    <row r="762" ht="15.75" customHeight="1">
      <c r="C762" s="3"/>
      <c r="E762" s="5"/>
    </row>
    <row r="763" ht="15.75" customHeight="1">
      <c r="C763" s="3"/>
      <c r="E763" s="5"/>
    </row>
    <row r="764" ht="15.75" customHeight="1">
      <c r="C764" s="3"/>
      <c r="E764" s="5"/>
    </row>
    <row r="765" ht="15.75" customHeight="1">
      <c r="C765" s="3"/>
      <c r="E765" s="5"/>
    </row>
    <row r="766" ht="15.75" customHeight="1">
      <c r="C766" s="3"/>
      <c r="E766" s="5"/>
    </row>
    <row r="767" ht="15.75" customHeight="1">
      <c r="C767" s="3"/>
      <c r="E767" s="5"/>
    </row>
    <row r="768" ht="15.75" customHeight="1">
      <c r="C768" s="3"/>
      <c r="E768" s="5"/>
    </row>
    <row r="769" ht="15.75" customHeight="1">
      <c r="C769" s="3"/>
      <c r="E769" s="5"/>
    </row>
    <row r="770" ht="15.75" customHeight="1">
      <c r="C770" s="3"/>
      <c r="E770" s="5"/>
    </row>
    <row r="771" ht="15.75" customHeight="1">
      <c r="C771" s="3"/>
      <c r="E771" s="5"/>
    </row>
    <row r="772" ht="15.75" customHeight="1">
      <c r="C772" s="3"/>
      <c r="E772" s="5"/>
    </row>
    <row r="773" ht="15.75" customHeight="1">
      <c r="C773" s="3"/>
      <c r="E773" s="5"/>
    </row>
    <row r="774" ht="15.75" customHeight="1">
      <c r="C774" s="3"/>
      <c r="E774" s="5"/>
    </row>
    <row r="775" ht="15.75" customHeight="1">
      <c r="C775" s="3"/>
      <c r="E775" s="5"/>
    </row>
    <row r="776" ht="15.75" customHeight="1">
      <c r="C776" s="3"/>
      <c r="E776" s="5"/>
    </row>
    <row r="777" ht="15.75" customHeight="1">
      <c r="C777" s="3"/>
      <c r="E777" s="5"/>
    </row>
    <row r="778" ht="15.75" customHeight="1">
      <c r="C778" s="3"/>
      <c r="E778" s="5"/>
    </row>
    <row r="779" ht="15.75" customHeight="1">
      <c r="C779" s="3"/>
      <c r="E779" s="5"/>
    </row>
    <row r="780" ht="15.75" customHeight="1">
      <c r="C780" s="3"/>
      <c r="E780" s="5"/>
    </row>
    <row r="781" ht="15.75" customHeight="1">
      <c r="C781" s="3"/>
      <c r="E781" s="5"/>
    </row>
    <row r="782" ht="15.75" customHeight="1">
      <c r="C782" s="3"/>
      <c r="E782" s="5"/>
    </row>
    <row r="783" ht="15.75" customHeight="1">
      <c r="C783" s="3"/>
      <c r="E783" s="5"/>
    </row>
    <row r="784" ht="15.75" customHeight="1">
      <c r="C784" s="3"/>
      <c r="E784" s="5"/>
    </row>
    <row r="785" ht="15.75" customHeight="1">
      <c r="C785" s="3"/>
      <c r="E785" s="5"/>
    </row>
    <row r="786" ht="15.75" customHeight="1">
      <c r="C786" s="3"/>
      <c r="E786" s="5"/>
    </row>
    <row r="787" ht="15.75" customHeight="1">
      <c r="C787" s="3"/>
      <c r="E787" s="5"/>
    </row>
    <row r="788" ht="15.75" customHeight="1">
      <c r="C788" s="3"/>
      <c r="E788" s="5"/>
    </row>
    <row r="789" ht="15.75" customHeight="1">
      <c r="C789" s="3"/>
      <c r="E789" s="5"/>
    </row>
    <row r="790" ht="15.75" customHeight="1">
      <c r="C790" s="3"/>
      <c r="E790" s="5"/>
    </row>
    <row r="791" ht="15.75" customHeight="1">
      <c r="C791" s="3"/>
      <c r="E791" s="5"/>
    </row>
    <row r="792" ht="15.75" customHeight="1">
      <c r="C792" s="3"/>
      <c r="E792" s="5"/>
    </row>
    <row r="793" ht="15.75" customHeight="1">
      <c r="C793" s="3"/>
      <c r="E793" s="5"/>
    </row>
    <row r="794" ht="15.75" customHeight="1">
      <c r="C794" s="3"/>
      <c r="E794" s="5"/>
    </row>
    <row r="795" ht="15.75" customHeight="1">
      <c r="C795" s="3"/>
      <c r="E795" s="5"/>
    </row>
    <row r="796" ht="15.75" customHeight="1">
      <c r="C796" s="3"/>
      <c r="E796" s="5"/>
    </row>
    <row r="797" ht="15.75" customHeight="1">
      <c r="C797" s="3"/>
      <c r="E797" s="5"/>
    </row>
    <row r="798" ht="15.75" customHeight="1">
      <c r="C798" s="3"/>
      <c r="E798" s="5"/>
    </row>
    <row r="799" ht="15.75" customHeight="1">
      <c r="C799" s="3"/>
      <c r="E799" s="5"/>
    </row>
    <row r="800" ht="15.75" customHeight="1">
      <c r="C800" s="3"/>
      <c r="E800" s="5"/>
    </row>
    <row r="801" ht="15.75" customHeight="1">
      <c r="C801" s="3"/>
      <c r="E801" s="5"/>
    </row>
    <row r="802" ht="15.75" customHeight="1">
      <c r="C802" s="3"/>
      <c r="E802" s="5"/>
    </row>
    <row r="803" ht="15.75" customHeight="1">
      <c r="C803" s="3"/>
      <c r="E803" s="5"/>
    </row>
    <row r="804" ht="15.75" customHeight="1">
      <c r="C804" s="3"/>
      <c r="E804" s="5"/>
    </row>
    <row r="805" ht="15.75" customHeight="1">
      <c r="C805" s="3"/>
      <c r="E805" s="5"/>
    </row>
    <row r="806" ht="15.75" customHeight="1">
      <c r="C806" s="3"/>
      <c r="E806" s="5"/>
    </row>
    <row r="807" ht="15.75" customHeight="1">
      <c r="C807" s="3"/>
      <c r="E807" s="5"/>
    </row>
    <row r="808" ht="15.75" customHeight="1">
      <c r="C808" s="3"/>
      <c r="E808" s="5"/>
    </row>
    <row r="809" ht="15.75" customHeight="1">
      <c r="C809" s="3"/>
      <c r="E809" s="5"/>
    </row>
    <row r="810" ht="15.75" customHeight="1">
      <c r="C810" s="3"/>
      <c r="E810" s="5"/>
    </row>
    <row r="811" ht="15.75" customHeight="1">
      <c r="C811" s="3"/>
      <c r="E811" s="5"/>
    </row>
    <row r="812" ht="15.75" customHeight="1">
      <c r="C812" s="3"/>
      <c r="E812" s="5"/>
    </row>
    <row r="813" ht="15.75" customHeight="1">
      <c r="C813" s="3"/>
      <c r="E813" s="5"/>
    </row>
    <row r="814" ht="15.75" customHeight="1">
      <c r="C814" s="3"/>
      <c r="E814" s="5"/>
    </row>
    <row r="815" ht="15.75" customHeight="1">
      <c r="C815" s="3"/>
      <c r="E815" s="5"/>
    </row>
    <row r="816" ht="15.75" customHeight="1">
      <c r="C816" s="3"/>
      <c r="E816" s="5"/>
    </row>
    <row r="817" ht="15.75" customHeight="1">
      <c r="C817" s="3"/>
      <c r="E817" s="5"/>
    </row>
    <row r="818" ht="15.75" customHeight="1">
      <c r="C818" s="3"/>
      <c r="E818" s="5"/>
    </row>
    <row r="819" ht="15.75" customHeight="1">
      <c r="C819" s="3"/>
      <c r="E819" s="5"/>
    </row>
    <row r="820" ht="15.75" customHeight="1">
      <c r="C820" s="3"/>
      <c r="E820" s="5"/>
    </row>
    <row r="821" ht="15.75" customHeight="1">
      <c r="C821" s="3"/>
      <c r="E821" s="5"/>
    </row>
    <row r="822" ht="15.75" customHeight="1">
      <c r="C822" s="3"/>
      <c r="E822" s="5"/>
    </row>
    <row r="823" ht="15.75" customHeight="1">
      <c r="C823" s="3"/>
      <c r="E823" s="5"/>
    </row>
    <row r="824" ht="15.75" customHeight="1">
      <c r="C824" s="3"/>
      <c r="E824" s="5"/>
    </row>
    <row r="825" ht="15.75" customHeight="1">
      <c r="C825" s="3"/>
      <c r="E825" s="5"/>
    </row>
    <row r="826" ht="15.75" customHeight="1">
      <c r="C826" s="3"/>
      <c r="E826" s="5"/>
    </row>
    <row r="827" ht="15.75" customHeight="1">
      <c r="C827" s="3"/>
      <c r="E827" s="5"/>
    </row>
    <row r="828" ht="15.75" customHeight="1">
      <c r="C828" s="3"/>
      <c r="E828" s="5"/>
    </row>
    <row r="829" ht="15.75" customHeight="1">
      <c r="C829" s="3"/>
      <c r="E829" s="5"/>
    </row>
    <row r="830" ht="15.75" customHeight="1">
      <c r="C830" s="3"/>
      <c r="E830" s="5"/>
    </row>
    <row r="831" ht="15.75" customHeight="1">
      <c r="C831" s="3"/>
      <c r="E831" s="5"/>
    </row>
    <row r="832" ht="15.75" customHeight="1">
      <c r="C832" s="3"/>
      <c r="E832" s="5"/>
    </row>
    <row r="833" ht="15.75" customHeight="1">
      <c r="C833" s="3"/>
      <c r="E833" s="5"/>
    </row>
    <row r="834" ht="15.75" customHeight="1">
      <c r="C834" s="3"/>
      <c r="E834" s="5"/>
    </row>
    <row r="835" ht="15.75" customHeight="1">
      <c r="C835" s="3"/>
      <c r="E835" s="5"/>
    </row>
    <row r="836" ht="15.75" customHeight="1">
      <c r="C836" s="3"/>
      <c r="E836" s="5"/>
    </row>
    <row r="837" ht="15.75" customHeight="1">
      <c r="C837" s="3"/>
      <c r="E837" s="5"/>
    </row>
    <row r="838" ht="15.75" customHeight="1">
      <c r="C838" s="3"/>
      <c r="E838" s="5"/>
    </row>
    <row r="839" ht="15.75" customHeight="1">
      <c r="C839" s="3"/>
      <c r="E839" s="5"/>
    </row>
    <row r="840" ht="15.75" customHeight="1">
      <c r="C840" s="3"/>
      <c r="E840" s="5"/>
    </row>
    <row r="841" ht="15.75" customHeight="1">
      <c r="C841" s="3"/>
      <c r="E841" s="5"/>
    </row>
    <row r="842" ht="15.75" customHeight="1">
      <c r="C842" s="3"/>
      <c r="E842" s="5"/>
    </row>
    <row r="843" ht="15.75" customHeight="1">
      <c r="C843" s="3"/>
      <c r="E843" s="5"/>
    </row>
    <row r="844" ht="15.75" customHeight="1">
      <c r="C844" s="3"/>
      <c r="E844" s="5"/>
    </row>
    <row r="845" ht="15.75" customHeight="1">
      <c r="C845" s="3"/>
      <c r="E845" s="5"/>
    </row>
    <row r="846" ht="15.75" customHeight="1">
      <c r="C846" s="3"/>
      <c r="E846" s="5"/>
    </row>
    <row r="847" ht="15.75" customHeight="1">
      <c r="C847" s="3"/>
      <c r="E847" s="5"/>
    </row>
    <row r="848" ht="15.75" customHeight="1">
      <c r="C848" s="3"/>
      <c r="E848" s="5"/>
    </row>
    <row r="849" ht="15.75" customHeight="1">
      <c r="C849" s="3"/>
      <c r="E849" s="5"/>
    </row>
    <row r="850" ht="15.75" customHeight="1">
      <c r="C850" s="3"/>
      <c r="E850" s="5"/>
    </row>
    <row r="851" ht="15.75" customHeight="1">
      <c r="C851" s="3"/>
      <c r="E851" s="5"/>
    </row>
    <row r="852" ht="15.75" customHeight="1">
      <c r="C852" s="3"/>
      <c r="E852" s="5"/>
    </row>
    <row r="853" ht="15.75" customHeight="1">
      <c r="C853" s="3"/>
      <c r="E853" s="5"/>
    </row>
    <row r="854" ht="15.75" customHeight="1">
      <c r="C854" s="3"/>
      <c r="E854" s="5"/>
    </row>
    <row r="855" ht="15.75" customHeight="1">
      <c r="C855" s="3"/>
      <c r="E855" s="5"/>
    </row>
    <row r="856" ht="15.75" customHeight="1">
      <c r="C856" s="3"/>
      <c r="E856" s="5"/>
    </row>
    <row r="857" ht="15.75" customHeight="1">
      <c r="C857" s="3"/>
      <c r="E857" s="5"/>
    </row>
    <row r="858" ht="15.75" customHeight="1">
      <c r="C858" s="3"/>
      <c r="E858" s="5"/>
    </row>
    <row r="859" ht="15.75" customHeight="1">
      <c r="C859" s="3"/>
      <c r="E859" s="5"/>
    </row>
    <row r="860" ht="15.75" customHeight="1">
      <c r="C860" s="3"/>
      <c r="E860" s="5"/>
    </row>
    <row r="861" ht="15.75" customHeight="1">
      <c r="C861" s="3"/>
      <c r="E861" s="5"/>
    </row>
    <row r="862" ht="15.75" customHeight="1">
      <c r="C862" s="3"/>
      <c r="E862" s="5"/>
    </row>
    <row r="863" ht="15.75" customHeight="1">
      <c r="C863" s="3"/>
      <c r="E863" s="5"/>
    </row>
    <row r="864" ht="15.75" customHeight="1">
      <c r="C864" s="3"/>
      <c r="E864" s="5"/>
    </row>
    <row r="865" ht="15.75" customHeight="1">
      <c r="C865" s="3"/>
      <c r="E865" s="5"/>
    </row>
    <row r="866" ht="15.75" customHeight="1">
      <c r="C866" s="3"/>
      <c r="E866" s="5"/>
    </row>
    <row r="867" ht="15.75" customHeight="1">
      <c r="C867" s="3"/>
      <c r="E867" s="5"/>
    </row>
    <row r="868" ht="15.75" customHeight="1">
      <c r="C868" s="3"/>
      <c r="E868" s="5"/>
    </row>
    <row r="869" ht="15.75" customHeight="1">
      <c r="C869" s="3"/>
      <c r="E869" s="5"/>
    </row>
    <row r="870" ht="15.75" customHeight="1">
      <c r="C870" s="3"/>
      <c r="E870" s="5"/>
    </row>
    <row r="871" ht="15.75" customHeight="1">
      <c r="C871" s="3"/>
      <c r="E871" s="5"/>
    </row>
    <row r="872" ht="15.75" customHeight="1">
      <c r="C872" s="3"/>
      <c r="E872" s="5"/>
    </row>
    <row r="873" ht="15.75" customHeight="1">
      <c r="C873" s="3"/>
      <c r="E873" s="5"/>
    </row>
    <row r="874" ht="15.75" customHeight="1">
      <c r="C874" s="3"/>
      <c r="E874" s="5"/>
    </row>
    <row r="875" ht="15.75" customHeight="1">
      <c r="C875" s="3"/>
      <c r="E875" s="5"/>
    </row>
    <row r="876" ht="15.75" customHeight="1">
      <c r="C876" s="3"/>
      <c r="E876" s="5"/>
    </row>
    <row r="877" ht="15.75" customHeight="1">
      <c r="C877" s="3"/>
      <c r="E877" s="5"/>
    </row>
    <row r="878" ht="15.75" customHeight="1">
      <c r="C878" s="3"/>
      <c r="E878" s="5"/>
    </row>
    <row r="879" ht="15.75" customHeight="1">
      <c r="C879" s="3"/>
      <c r="E879" s="5"/>
    </row>
    <row r="880" ht="15.75" customHeight="1">
      <c r="C880" s="3"/>
      <c r="E880" s="5"/>
    </row>
    <row r="881" ht="15.75" customHeight="1">
      <c r="C881" s="3"/>
      <c r="E881" s="5"/>
    </row>
    <row r="882" ht="15.75" customHeight="1">
      <c r="C882" s="3"/>
      <c r="E882" s="5"/>
    </row>
    <row r="883" ht="15.75" customHeight="1">
      <c r="C883" s="3"/>
      <c r="E883" s="5"/>
    </row>
    <row r="884" ht="15.75" customHeight="1">
      <c r="C884" s="3"/>
      <c r="E884" s="5"/>
    </row>
    <row r="885" ht="15.75" customHeight="1">
      <c r="C885" s="3"/>
      <c r="E885" s="5"/>
    </row>
    <row r="886" ht="15.75" customHeight="1">
      <c r="C886" s="3"/>
      <c r="E886" s="5"/>
    </row>
    <row r="887" ht="15.75" customHeight="1">
      <c r="C887" s="3"/>
      <c r="E887" s="5"/>
    </row>
    <row r="888" ht="15.75" customHeight="1">
      <c r="C888" s="3"/>
      <c r="E888" s="5"/>
    </row>
    <row r="889" ht="15.75" customHeight="1">
      <c r="C889" s="3"/>
      <c r="E889" s="5"/>
    </row>
    <row r="890" ht="15.75" customHeight="1">
      <c r="C890" s="3"/>
      <c r="E890" s="5"/>
    </row>
    <row r="891" ht="15.75" customHeight="1">
      <c r="C891" s="3"/>
      <c r="E891" s="5"/>
    </row>
    <row r="892" ht="15.75" customHeight="1">
      <c r="C892" s="3"/>
      <c r="E892" s="5"/>
    </row>
    <row r="893" ht="15.75" customHeight="1">
      <c r="C893" s="3"/>
      <c r="E893" s="5"/>
    </row>
    <row r="894" ht="15.75" customHeight="1">
      <c r="C894" s="3"/>
      <c r="E894" s="5"/>
    </row>
    <row r="895" ht="15.75" customHeight="1">
      <c r="C895" s="3"/>
      <c r="E895" s="5"/>
    </row>
    <row r="896" ht="15.75" customHeight="1">
      <c r="C896" s="3"/>
      <c r="E896" s="5"/>
    </row>
    <row r="897" ht="15.75" customHeight="1">
      <c r="C897" s="3"/>
      <c r="E897" s="5"/>
    </row>
    <row r="898" ht="15.75" customHeight="1">
      <c r="C898" s="3"/>
      <c r="E898" s="5"/>
    </row>
    <row r="899" ht="15.75" customHeight="1">
      <c r="C899" s="3"/>
      <c r="E899" s="5"/>
    </row>
    <row r="900" ht="15.75" customHeight="1">
      <c r="C900" s="3"/>
      <c r="E900" s="5"/>
    </row>
    <row r="901" ht="15.75" customHeight="1">
      <c r="C901" s="3"/>
      <c r="E901" s="5"/>
    </row>
    <row r="902" ht="15.75" customHeight="1">
      <c r="C902" s="3"/>
      <c r="E902" s="5"/>
    </row>
    <row r="903" ht="15.75" customHeight="1">
      <c r="C903" s="3"/>
      <c r="E903" s="5"/>
    </row>
    <row r="904" ht="15.75" customHeight="1">
      <c r="C904" s="3"/>
      <c r="E904" s="5"/>
    </row>
    <row r="905" ht="15.75" customHeight="1">
      <c r="C905" s="3"/>
      <c r="E905" s="5"/>
    </row>
    <row r="906" ht="15.75" customHeight="1">
      <c r="C906" s="3"/>
      <c r="E906" s="5"/>
    </row>
    <row r="907" ht="15.75" customHeight="1">
      <c r="C907" s="3"/>
      <c r="E907" s="5"/>
    </row>
    <row r="908" ht="15.75" customHeight="1">
      <c r="C908" s="3"/>
      <c r="E908" s="5"/>
    </row>
    <row r="909" ht="15.75" customHeight="1">
      <c r="C909" s="3"/>
      <c r="E909" s="5"/>
    </row>
    <row r="910" ht="15.75" customHeight="1">
      <c r="C910" s="3"/>
      <c r="E910" s="5"/>
    </row>
    <row r="911" ht="15.75" customHeight="1">
      <c r="C911" s="3"/>
      <c r="E911" s="5"/>
    </row>
    <row r="912" ht="15.75" customHeight="1">
      <c r="C912" s="3"/>
      <c r="E912" s="5"/>
    </row>
    <row r="913" ht="15.75" customHeight="1">
      <c r="C913" s="3"/>
      <c r="E913" s="5"/>
    </row>
    <row r="914" ht="15.75" customHeight="1">
      <c r="C914" s="3"/>
      <c r="E914" s="5"/>
    </row>
    <row r="915" ht="15.75" customHeight="1">
      <c r="C915" s="3"/>
      <c r="E915" s="5"/>
    </row>
    <row r="916" ht="15.75" customHeight="1">
      <c r="C916" s="3"/>
      <c r="E916" s="5"/>
    </row>
    <row r="917" ht="15.75" customHeight="1">
      <c r="C917" s="3"/>
      <c r="E917" s="5"/>
    </row>
    <row r="918" ht="15.75" customHeight="1">
      <c r="C918" s="3"/>
      <c r="E918" s="5"/>
    </row>
    <row r="919" ht="15.75" customHeight="1">
      <c r="C919" s="3"/>
      <c r="E919" s="5"/>
    </row>
    <row r="920" ht="15.75" customHeight="1">
      <c r="C920" s="3"/>
      <c r="E920" s="5"/>
    </row>
    <row r="921" ht="15.75" customHeight="1">
      <c r="C921" s="3"/>
      <c r="E921" s="5"/>
    </row>
    <row r="922" ht="15.75" customHeight="1">
      <c r="C922" s="3"/>
      <c r="E922" s="5"/>
    </row>
    <row r="923" ht="15.75" customHeight="1">
      <c r="C923" s="3"/>
      <c r="E923" s="5"/>
    </row>
    <row r="924" ht="15.75" customHeight="1">
      <c r="C924" s="3"/>
      <c r="E924" s="5"/>
    </row>
    <row r="925" ht="15.75" customHeight="1">
      <c r="C925" s="3"/>
      <c r="E925" s="5"/>
    </row>
    <row r="926" ht="15.75" customHeight="1">
      <c r="C926" s="3"/>
      <c r="E926" s="5"/>
    </row>
    <row r="927" ht="15.75" customHeight="1">
      <c r="C927" s="3"/>
      <c r="E927" s="5"/>
    </row>
    <row r="928" ht="15.75" customHeight="1">
      <c r="C928" s="3"/>
      <c r="E928" s="5"/>
    </row>
    <row r="929" ht="15.75" customHeight="1">
      <c r="C929" s="3"/>
      <c r="E929" s="5"/>
    </row>
    <row r="930" ht="15.75" customHeight="1">
      <c r="C930" s="3"/>
      <c r="E930" s="5"/>
    </row>
    <row r="931" ht="15.75" customHeight="1">
      <c r="C931" s="3"/>
      <c r="E931" s="5"/>
    </row>
    <row r="932" ht="15.75" customHeight="1">
      <c r="C932" s="3"/>
      <c r="E932" s="5"/>
    </row>
    <row r="933" ht="15.75" customHeight="1">
      <c r="C933" s="3"/>
      <c r="E933" s="5"/>
    </row>
    <row r="934" ht="15.75" customHeight="1">
      <c r="C934" s="3"/>
      <c r="E934" s="5"/>
    </row>
    <row r="935" ht="15.75" customHeight="1">
      <c r="C935" s="3"/>
      <c r="E935" s="5"/>
    </row>
    <row r="936" ht="15.75" customHeight="1">
      <c r="C936" s="3"/>
      <c r="E936" s="5"/>
    </row>
    <row r="937" ht="15.75" customHeight="1">
      <c r="C937" s="3"/>
      <c r="E937" s="5"/>
    </row>
    <row r="938" ht="15.75" customHeight="1">
      <c r="C938" s="3"/>
      <c r="E938" s="5"/>
    </row>
    <row r="939" ht="15.75" customHeight="1">
      <c r="C939" s="3"/>
      <c r="E939" s="5"/>
    </row>
    <row r="940" ht="15.75" customHeight="1">
      <c r="C940" s="3"/>
      <c r="E940" s="5"/>
    </row>
    <row r="941" ht="15.75" customHeight="1">
      <c r="C941" s="3"/>
      <c r="E941" s="5"/>
    </row>
    <row r="942" ht="15.75" customHeight="1">
      <c r="C942" s="3"/>
      <c r="E942" s="5"/>
    </row>
    <row r="943" ht="15.75" customHeight="1">
      <c r="C943" s="3"/>
      <c r="E943" s="5"/>
    </row>
    <row r="944" ht="15.75" customHeight="1">
      <c r="C944" s="3"/>
      <c r="E944" s="5"/>
    </row>
    <row r="945" ht="15.75" customHeight="1">
      <c r="C945" s="3"/>
      <c r="E945" s="5"/>
    </row>
    <row r="946" ht="15.75" customHeight="1">
      <c r="C946" s="3"/>
      <c r="E946" s="5"/>
    </row>
    <row r="947" ht="15.75" customHeight="1">
      <c r="C947" s="3"/>
      <c r="E947" s="5"/>
    </row>
    <row r="948" ht="15.75" customHeight="1">
      <c r="C948" s="3"/>
      <c r="E948" s="5"/>
    </row>
    <row r="949" ht="15.75" customHeight="1">
      <c r="C949" s="3"/>
      <c r="E949" s="5"/>
    </row>
    <row r="950" ht="15.75" customHeight="1">
      <c r="C950" s="3"/>
      <c r="E950" s="5"/>
    </row>
    <row r="951" ht="15.75" customHeight="1">
      <c r="C951" s="3"/>
      <c r="E951" s="5"/>
    </row>
    <row r="952" ht="15.75" customHeight="1">
      <c r="C952" s="3"/>
      <c r="E952" s="5"/>
    </row>
    <row r="953" ht="15.75" customHeight="1">
      <c r="C953" s="3"/>
      <c r="E953" s="5"/>
    </row>
    <row r="954" ht="15.75" customHeight="1">
      <c r="C954" s="3"/>
      <c r="E954" s="5"/>
    </row>
    <row r="955" ht="15.75" customHeight="1">
      <c r="C955" s="3"/>
      <c r="E955" s="5"/>
    </row>
    <row r="956" ht="15.75" customHeight="1">
      <c r="C956" s="3"/>
      <c r="E956" s="5"/>
    </row>
    <row r="957" ht="15.75" customHeight="1">
      <c r="C957" s="3"/>
      <c r="E957" s="5"/>
    </row>
    <row r="958" ht="15.75" customHeight="1">
      <c r="C958" s="3"/>
      <c r="E958" s="5"/>
    </row>
    <row r="959" ht="15.75" customHeight="1">
      <c r="C959" s="3"/>
      <c r="E959" s="5"/>
    </row>
    <row r="960" ht="15.75" customHeight="1">
      <c r="C960" s="3"/>
      <c r="E960" s="5"/>
    </row>
    <row r="961" ht="15.75" customHeight="1">
      <c r="C961" s="3"/>
      <c r="E961" s="5"/>
    </row>
    <row r="962" ht="15.75" customHeight="1">
      <c r="C962" s="3"/>
      <c r="E962" s="5"/>
    </row>
    <row r="963" ht="15.75" customHeight="1">
      <c r="C963" s="3"/>
      <c r="E963" s="5"/>
    </row>
    <row r="964" ht="15.75" customHeight="1">
      <c r="C964" s="3"/>
      <c r="E964" s="5"/>
    </row>
    <row r="965" ht="15.75" customHeight="1">
      <c r="C965" s="3"/>
      <c r="E965" s="5"/>
    </row>
    <row r="966" ht="15.75" customHeight="1">
      <c r="C966" s="3"/>
      <c r="E966" s="5"/>
    </row>
    <row r="967" ht="15.75" customHeight="1">
      <c r="C967" s="3"/>
      <c r="E967" s="5"/>
    </row>
    <row r="968" ht="15.75" customHeight="1">
      <c r="C968" s="3"/>
      <c r="E968" s="5"/>
    </row>
    <row r="969" ht="15.75" customHeight="1">
      <c r="C969" s="3"/>
      <c r="E969" s="5"/>
    </row>
    <row r="970" ht="15.75" customHeight="1">
      <c r="C970" s="3"/>
      <c r="E970" s="5"/>
    </row>
    <row r="971" ht="15.75" customHeight="1">
      <c r="C971" s="3"/>
      <c r="E971" s="5"/>
    </row>
    <row r="972" ht="15.75" customHeight="1">
      <c r="C972" s="3"/>
      <c r="E972" s="5"/>
    </row>
    <row r="973" ht="15.75" customHeight="1">
      <c r="C973" s="3"/>
      <c r="E973" s="5"/>
    </row>
    <row r="974" ht="15.75" customHeight="1">
      <c r="C974" s="3"/>
      <c r="E974" s="5"/>
    </row>
    <row r="975" ht="15.75" customHeight="1">
      <c r="C975" s="3"/>
      <c r="E975" s="5"/>
    </row>
    <row r="976" ht="15.75" customHeight="1">
      <c r="C976" s="3"/>
      <c r="E976" s="5"/>
    </row>
    <row r="977" ht="15.75" customHeight="1">
      <c r="C977" s="3"/>
      <c r="E977" s="5"/>
    </row>
    <row r="978" ht="15.75" customHeight="1">
      <c r="C978" s="3"/>
      <c r="E978" s="5"/>
    </row>
    <row r="979" ht="15.75" customHeight="1">
      <c r="C979" s="3"/>
      <c r="E979" s="5"/>
    </row>
    <row r="980" ht="15.75" customHeight="1">
      <c r="C980" s="3"/>
      <c r="E980" s="5"/>
    </row>
    <row r="981" ht="15.75" customHeight="1">
      <c r="C981" s="3"/>
      <c r="E981" s="5"/>
    </row>
    <row r="982" ht="15.75" customHeight="1">
      <c r="C982" s="3"/>
      <c r="E982" s="5"/>
    </row>
    <row r="983" ht="15.75" customHeight="1">
      <c r="C983" s="3"/>
      <c r="E983" s="5"/>
    </row>
    <row r="984" ht="15.75" customHeight="1">
      <c r="C984" s="3"/>
      <c r="E984" s="5"/>
    </row>
    <row r="985" ht="15.75" customHeight="1">
      <c r="C985" s="3"/>
      <c r="E985" s="5"/>
    </row>
    <row r="986" ht="15.75" customHeight="1">
      <c r="C986" s="3"/>
      <c r="E986" s="5"/>
    </row>
    <row r="987" ht="15.75" customHeight="1">
      <c r="C987" s="3"/>
      <c r="E987" s="5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8.67"/>
    <col customWidth="1" min="2" max="2" width="25.67"/>
    <col customWidth="1" min="3" max="4" width="28.67"/>
    <col customWidth="1" min="5" max="5" width="25.67"/>
    <col customWidth="1" min="6" max="7" width="28.67"/>
    <col customWidth="1" min="8" max="8" width="25.67"/>
    <col customWidth="1" min="9" max="9" width="28.67"/>
    <col customWidth="1" min="10" max="26" width="9.0"/>
  </cols>
  <sheetData>
    <row r="1" ht="15.75" customHeight="1">
      <c r="A1" s="20">
        <v>1.0</v>
      </c>
      <c r="B1" s="20"/>
      <c r="C1" s="20"/>
      <c r="D1" s="20"/>
      <c r="E1" s="20"/>
      <c r="F1" s="20"/>
      <c r="G1" s="20"/>
      <c r="H1" s="20"/>
      <c r="I1" s="20"/>
    </row>
    <row r="2" ht="18.0" customHeight="1">
      <c r="A2" s="26" t="s">
        <v>14</v>
      </c>
      <c r="B2" s="29" t="s">
        <v>17</v>
      </c>
      <c r="C2" s="32"/>
      <c r="D2" s="26" t="s">
        <v>14</v>
      </c>
      <c r="E2" s="29" t="s">
        <v>17</v>
      </c>
      <c r="F2" s="32"/>
      <c r="G2" s="26" t="s">
        <v>14</v>
      </c>
      <c r="H2" s="29" t="s">
        <v>17</v>
      </c>
      <c r="I2" s="32"/>
    </row>
    <row r="3" ht="52.5" customHeight="1">
      <c r="A3" s="38" t="str">
        <f>'Calculo Gas'!D6</f>
        <v>HUGO LUCIO ADUVIRE PATACA</v>
      </c>
      <c r="B3" s="40" t="s">
        <v>29</v>
      </c>
      <c r="C3" s="41" t="s">
        <v>31</v>
      </c>
      <c r="D3" s="38" t="str">
        <f>'Calculo Gas'!D7</f>
        <v>ELISABETH POTERICO HUAMAYALLI</v>
      </c>
      <c r="E3" s="40" t="s">
        <v>29</v>
      </c>
      <c r="F3" s="41" t="str">
        <f>$C$3</f>
        <v>02 JUNIO 2025 al 30 JUN 2025                                                          (28 dias)</v>
      </c>
      <c r="G3" s="38" t="str">
        <f>'Calculo Gas'!D8</f>
        <v>SANTIAGO MORAN VASQUEZ</v>
      </c>
      <c r="H3" s="40" t="s">
        <v>29</v>
      </c>
      <c r="I3" s="41" t="str">
        <f>$C$3</f>
        <v>02 JUNIO 2025 al 30 JUN 2025                                                          (28 dias)</v>
      </c>
    </row>
    <row r="4" ht="15.75" customHeight="1">
      <c r="A4" s="47"/>
      <c r="B4" s="48"/>
      <c r="C4" s="50"/>
      <c r="D4" s="47"/>
      <c r="E4" s="48"/>
      <c r="F4" s="50"/>
      <c r="G4" s="47"/>
      <c r="H4" s="48"/>
      <c r="I4" s="50"/>
    </row>
    <row r="5" ht="15.75" customHeight="1">
      <c r="A5" s="47" t="s">
        <v>57</v>
      </c>
      <c r="B5" s="51">
        <f>'Calculo Gas'!C6</f>
        <v>201</v>
      </c>
      <c r="C5" s="52"/>
      <c r="D5" s="47" t="s">
        <v>57</v>
      </c>
      <c r="E5" s="51">
        <f>'Calculo Gas'!C7</f>
        <v>202</v>
      </c>
      <c r="F5" s="52"/>
      <c r="G5" s="47" t="s">
        <v>57</v>
      </c>
      <c r="H5" s="51">
        <f>'Calculo Gas'!C8</f>
        <v>203</v>
      </c>
      <c r="I5" s="52"/>
    </row>
    <row r="6" ht="15.75" customHeight="1">
      <c r="A6" s="47" t="s">
        <v>67</v>
      </c>
      <c r="B6" s="51">
        <f>'Calculo Gas'!E6</f>
        <v>2034049</v>
      </c>
      <c r="C6" s="52"/>
      <c r="D6" s="47" t="s">
        <v>67</v>
      </c>
      <c r="E6" s="51">
        <f>'Calculo Gas'!E7</f>
        <v>2034056</v>
      </c>
      <c r="F6" s="52"/>
      <c r="G6" s="47" t="s">
        <v>67</v>
      </c>
      <c r="H6" s="51">
        <f>'Calculo Gas'!E8</f>
        <v>2034020</v>
      </c>
      <c r="I6" s="52"/>
    </row>
    <row r="7" ht="15.75" customHeight="1">
      <c r="A7" s="60" t="s">
        <v>73</v>
      </c>
      <c r="B7" s="62" t="s">
        <v>75</v>
      </c>
      <c r="C7" s="64">
        <f>'Calculo Gas'!A6</f>
        <v>12.5</v>
      </c>
      <c r="D7" s="60" t="s">
        <v>73</v>
      </c>
      <c r="E7" s="23" t="s">
        <v>75</v>
      </c>
      <c r="F7" s="64">
        <f>'Calculo Gas'!A7</f>
        <v>22.3</v>
      </c>
      <c r="G7" s="60" t="s">
        <v>73</v>
      </c>
      <c r="H7" s="23" t="s">
        <v>75</v>
      </c>
      <c r="I7" s="64">
        <f>'Calculo Gas'!A8</f>
        <v>0</v>
      </c>
    </row>
    <row r="8" ht="15.75" customHeight="1">
      <c r="A8" s="69"/>
      <c r="B8" s="70"/>
      <c r="C8" s="71"/>
      <c r="D8" s="69"/>
      <c r="E8" s="70"/>
      <c r="F8" s="71"/>
      <c r="G8" s="69"/>
      <c r="H8" s="70"/>
      <c r="I8" s="71"/>
    </row>
    <row r="9" ht="15.75" customHeight="1">
      <c r="A9" s="72" t="s">
        <v>84</v>
      </c>
      <c r="B9" s="70">
        <f>'Calculo Gas'!B6</f>
        <v>0.876</v>
      </c>
      <c r="C9" s="71"/>
      <c r="D9" s="72" t="s">
        <v>84</v>
      </c>
      <c r="E9" s="70">
        <f>'Calculo Gas'!B7</f>
        <v>1.564</v>
      </c>
      <c r="F9" s="71"/>
      <c r="G9" s="72" t="s">
        <v>84</v>
      </c>
      <c r="H9" s="70">
        <f>'Calculo Gas'!B8</f>
        <v>0</v>
      </c>
      <c r="I9" s="71"/>
    </row>
    <row r="10" ht="15.75" customHeight="1">
      <c r="A10" s="72" t="s">
        <v>93</v>
      </c>
      <c r="B10" s="70"/>
      <c r="C10" s="71"/>
      <c r="D10" s="72" t="s">
        <v>93</v>
      </c>
      <c r="E10" s="70"/>
      <c r="F10" s="71"/>
      <c r="G10" s="72" t="s">
        <v>93</v>
      </c>
      <c r="H10" s="70"/>
      <c r="I10" s="71"/>
    </row>
    <row r="11" ht="15.75" customHeight="1">
      <c r="A11" s="77"/>
      <c r="B11" s="70"/>
      <c r="C11" s="71"/>
      <c r="D11" s="77"/>
      <c r="E11" s="70"/>
      <c r="F11" s="71"/>
      <c r="G11" s="77"/>
      <c r="H11" s="70"/>
      <c r="I11" s="71"/>
    </row>
    <row r="12" ht="15.75" customHeight="1">
      <c r="A12" s="83" t="s">
        <v>101</v>
      </c>
      <c r="C12" s="84"/>
      <c r="D12" s="83" t="s">
        <v>101</v>
      </c>
      <c r="F12" s="84"/>
      <c r="G12" s="83" t="s">
        <v>101</v>
      </c>
      <c r="I12" s="84"/>
    </row>
    <row r="13" ht="15.75" customHeight="1">
      <c r="A13" s="85" t="s">
        <v>103</v>
      </c>
      <c r="B13" s="87"/>
      <c r="C13" s="88"/>
      <c r="D13" s="85" t="s">
        <v>103</v>
      </c>
      <c r="E13" s="87"/>
      <c r="F13" s="88"/>
      <c r="G13" s="85" t="s">
        <v>103</v>
      </c>
      <c r="H13" s="87"/>
      <c r="I13" s="88"/>
    </row>
    <row r="14" ht="15.75" customHeight="1">
      <c r="A14" s="26" t="s">
        <v>14</v>
      </c>
      <c r="B14" s="29" t="s">
        <v>17</v>
      </c>
      <c r="C14" s="32"/>
      <c r="D14" s="26" t="s">
        <v>14</v>
      </c>
      <c r="E14" s="29" t="s">
        <v>17</v>
      </c>
      <c r="F14" s="32"/>
      <c r="G14" s="26" t="s">
        <v>14</v>
      </c>
      <c r="H14" s="29" t="s">
        <v>17</v>
      </c>
      <c r="I14" s="32"/>
    </row>
    <row r="15" ht="52.5" customHeight="1">
      <c r="A15" s="38" t="str">
        <f>'Calculo Gas'!D9</f>
        <v>LILIA ISABEL GIL ARAUJO</v>
      </c>
      <c r="B15" s="40" t="s">
        <v>29</v>
      </c>
      <c r="C15" s="41" t="str">
        <f>$C$3</f>
        <v>02 JUNIO 2025 al 30 JUN 2025                                                          (28 dias)</v>
      </c>
      <c r="D15" s="38" t="str">
        <f>'Calculo Gas'!D10</f>
        <v>HILDA LUZ VELEZ GHERSI</v>
      </c>
      <c r="E15" s="40" t="s">
        <v>29</v>
      </c>
      <c r="F15" s="41" t="str">
        <f>$C$3</f>
        <v>02 JUNIO 2025 al 30 JUN 2025                                                          (28 dias)</v>
      </c>
      <c r="G15" s="38" t="str">
        <f>'Calculo Gas'!D11</f>
        <v>GUSTAVO ENRIQUE LOPEZ CORDERO</v>
      </c>
      <c r="H15" s="40" t="s">
        <v>29</v>
      </c>
      <c r="I15" s="41" t="str">
        <f>$C$3</f>
        <v>02 JUNIO 2025 al 30 JUN 2025                                                          (28 dias)</v>
      </c>
    </row>
    <row r="16" ht="15.75" customHeight="1">
      <c r="A16" s="47"/>
      <c r="B16" s="48"/>
      <c r="C16" s="50"/>
      <c r="D16" s="47"/>
      <c r="E16" s="48"/>
      <c r="F16" s="50"/>
      <c r="G16" s="47"/>
      <c r="H16" s="48"/>
      <c r="I16" s="50"/>
    </row>
    <row r="17" ht="15.75" customHeight="1">
      <c r="A17" s="47" t="s">
        <v>57</v>
      </c>
      <c r="B17" s="51">
        <f>'Calculo Gas'!C9</f>
        <v>204</v>
      </c>
      <c r="C17" s="52"/>
      <c r="D17" s="47" t="s">
        <v>57</v>
      </c>
      <c r="E17" s="51">
        <f>'Calculo Gas'!C10</f>
        <v>205</v>
      </c>
      <c r="F17" s="52"/>
      <c r="G17" s="47" t="s">
        <v>57</v>
      </c>
      <c r="H17" s="51">
        <f>'Calculo Gas'!C11</f>
        <v>206</v>
      </c>
      <c r="I17" s="52"/>
    </row>
    <row r="18" ht="15.75" customHeight="1">
      <c r="A18" s="47" t="s">
        <v>67</v>
      </c>
      <c r="B18" s="51">
        <f>'Calculo Gas'!E9</f>
        <v>2034040</v>
      </c>
      <c r="C18" s="52"/>
      <c r="D18" s="47" t="s">
        <v>67</v>
      </c>
      <c r="E18" s="51">
        <f>'Calculo Gas'!E10</f>
        <v>2034039</v>
      </c>
      <c r="F18" s="52"/>
      <c r="G18" s="47" t="s">
        <v>67</v>
      </c>
      <c r="H18" s="51">
        <f>'Calculo Gas'!E11</f>
        <v>2034052</v>
      </c>
      <c r="I18" s="52"/>
    </row>
    <row r="19" ht="15.75" customHeight="1">
      <c r="A19" s="60" t="s">
        <v>73</v>
      </c>
      <c r="B19" s="23" t="s">
        <v>75</v>
      </c>
      <c r="C19" s="64">
        <f>'Calculo Gas'!A9</f>
        <v>12.3</v>
      </c>
      <c r="D19" s="60" t="s">
        <v>73</v>
      </c>
      <c r="E19" s="23" t="s">
        <v>75</v>
      </c>
      <c r="F19" s="64">
        <f>'Calculo Gas'!A10</f>
        <v>47.3</v>
      </c>
      <c r="G19" s="60" t="s">
        <v>73</v>
      </c>
      <c r="H19" s="23" t="s">
        <v>75</v>
      </c>
      <c r="I19" s="64">
        <f>'Calculo Gas'!A11</f>
        <v>192.8</v>
      </c>
    </row>
    <row r="20" ht="15.75" customHeight="1">
      <c r="A20" s="69"/>
      <c r="B20" s="70"/>
      <c r="C20" s="71"/>
      <c r="D20" s="69"/>
      <c r="E20" s="70"/>
      <c r="F20" s="71"/>
      <c r="G20" s="69"/>
      <c r="H20" s="70"/>
      <c r="I20" s="71"/>
    </row>
    <row r="21" ht="15.75" customHeight="1">
      <c r="A21" s="72" t="s">
        <v>84</v>
      </c>
      <c r="B21" s="70">
        <f>'Calculo Gas'!B9</f>
        <v>0.86</v>
      </c>
      <c r="C21" s="71"/>
      <c r="D21" s="72" t="s">
        <v>84</v>
      </c>
      <c r="E21" s="70">
        <f>'Calculo Gas'!B10</f>
        <v>3.319</v>
      </c>
      <c r="F21" s="71"/>
      <c r="G21" s="72" t="s">
        <v>84</v>
      </c>
      <c r="H21" s="70">
        <f>'Calculo Gas'!B11</f>
        <v>13.533</v>
      </c>
      <c r="I21" s="71"/>
    </row>
    <row r="22" ht="15.75" customHeight="1">
      <c r="A22" s="72" t="s">
        <v>93</v>
      </c>
      <c r="B22" s="70"/>
      <c r="C22" s="71"/>
      <c r="D22" s="72" t="s">
        <v>93</v>
      </c>
      <c r="E22" s="70"/>
      <c r="F22" s="71"/>
      <c r="G22" s="72" t="s">
        <v>93</v>
      </c>
      <c r="H22" s="70"/>
      <c r="I22" s="71"/>
    </row>
    <row r="23" ht="15.75" customHeight="1">
      <c r="A23" s="77"/>
      <c r="B23" s="70"/>
      <c r="C23" s="71"/>
      <c r="D23" s="77"/>
      <c r="E23" s="70"/>
      <c r="F23" s="71"/>
      <c r="G23" s="77"/>
      <c r="H23" s="70"/>
      <c r="I23" s="71"/>
    </row>
    <row r="24" ht="15.75" customHeight="1">
      <c r="A24" s="83" t="s">
        <v>101</v>
      </c>
      <c r="C24" s="84"/>
      <c r="D24" s="83" t="s">
        <v>101</v>
      </c>
      <c r="F24" s="84"/>
      <c r="G24" s="83" t="s">
        <v>101</v>
      </c>
      <c r="I24" s="84"/>
    </row>
    <row r="25" ht="15.75" customHeight="1">
      <c r="A25" s="85" t="s">
        <v>103</v>
      </c>
      <c r="B25" s="87"/>
      <c r="C25" s="88"/>
      <c r="D25" s="85" t="s">
        <v>103</v>
      </c>
      <c r="E25" s="87"/>
      <c r="F25" s="88"/>
      <c r="G25" s="85" t="s">
        <v>103</v>
      </c>
      <c r="H25" s="87"/>
      <c r="I25" s="88"/>
    </row>
    <row r="26" ht="15.75" customHeight="1">
      <c r="A26" s="26" t="s">
        <v>14</v>
      </c>
      <c r="B26" s="29" t="s">
        <v>17</v>
      </c>
      <c r="C26" s="32"/>
      <c r="D26" s="26" t="s">
        <v>14</v>
      </c>
      <c r="E26" s="29" t="s">
        <v>17</v>
      </c>
      <c r="F26" s="32"/>
      <c r="G26" s="26" t="s">
        <v>14</v>
      </c>
      <c r="H26" s="29" t="s">
        <v>17</v>
      </c>
      <c r="I26" s="32"/>
    </row>
    <row r="27" ht="52.5" customHeight="1">
      <c r="A27" s="38" t="str">
        <f>'Calculo Gas'!D14</f>
        <v>MARGOT MEDINA CARDENAS</v>
      </c>
      <c r="B27" s="40" t="s">
        <v>29</v>
      </c>
      <c r="C27" s="41" t="str">
        <f>$C$3</f>
        <v>02 JUNIO 2025 al 30 JUN 2025                                                          (28 dias)</v>
      </c>
      <c r="D27" s="38" t="str">
        <f>'Calculo Gas'!D15</f>
        <v>OSCAR MARIMON PACHECO</v>
      </c>
      <c r="E27" s="40" t="s">
        <v>29</v>
      </c>
      <c r="F27" s="41" t="str">
        <f>$C$3</f>
        <v>02 JUNIO 2025 al 30 JUN 2025                                                          (28 dias)</v>
      </c>
      <c r="G27" s="38" t="str">
        <f>'Calculo Gas'!D16</f>
        <v>VICTORIA CARLOTA FEBRES ORE</v>
      </c>
      <c r="H27" s="40" t="s">
        <v>29</v>
      </c>
      <c r="I27" s="41" t="str">
        <f>$C$3</f>
        <v>02 JUNIO 2025 al 30 JUN 2025                                                          (28 dias)</v>
      </c>
    </row>
    <row r="28" ht="15.75" customHeight="1">
      <c r="A28" s="47"/>
      <c r="B28" s="48"/>
      <c r="C28" s="50"/>
      <c r="D28" s="47"/>
      <c r="E28" s="48"/>
      <c r="F28" s="50"/>
      <c r="G28" s="47"/>
      <c r="H28" s="48"/>
      <c r="I28" s="50"/>
    </row>
    <row r="29" ht="15.75" customHeight="1">
      <c r="A29" s="47" t="s">
        <v>57</v>
      </c>
      <c r="B29" s="51">
        <f>'Calculo Gas'!C14</f>
        <v>302</v>
      </c>
      <c r="C29" s="52"/>
      <c r="D29" s="47" t="s">
        <v>57</v>
      </c>
      <c r="E29" s="51">
        <f>'Calculo Gas'!C15</f>
        <v>303</v>
      </c>
      <c r="F29" s="52"/>
      <c r="G29" s="47" t="s">
        <v>57</v>
      </c>
      <c r="H29" s="51">
        <f>'Calculo Gas'!C16</f>
        <v>304</v>
      </c>
      <c r="I29" s="52"/>
    </row>
    <row r="30" ht="15.75" customHeight="1">
      <c r="A30" s="47" t="s">
        <v>67</v>
      </c>
      <c r="B30" s="51">
        <f>'Calculo Gas'!E14</f>
        <v>2034062</v>
      </c>
      <c r="C30" s="52"/>
      <c r="D30" s="47" t="s">
        <v>67</v>
      </c>
      <c r="E30" s="51">
        <f>'Calculo Gas'!E15</f>
        <v>2034065</v>
      </c>
      <c r="F30" s="52"/>
      <c r="G30" s="47" t="s">
        <v>67</v>
      </c>
      <c r="H30" s="51">
        <f>'Calculo Gas'!E16</f>
        <v>2034043</v>
      </c>
      <c r="I30" s="52"/>
    </row>
    <row r="31" ht="15.75" customHeight="1">
      <c r="A31" s="60" t="s">
        <v>73</v>
      </c>
      <c r="B31" s="23" t="s">
        <v>75</v>
      </c>
      <c r="C31" s="64">
        <f>'Calculo Gas'!A14</f>
        <v>11.6</v>
      </c>
      <c r="D31" s="60" t="s">
        <v>73</v>
      </c>
      <c r="E31" s="23" t="s">
        <v>75</v>
      </c>
      <c r="F31" s="64">
        <f>'Calculo Gas'!A15</f>
        <v>26.2</v>
      </c>
      <c r="G31" s="60" t="s">
        <v>73</v>
      </c>
      <c r="H31" s="23" t="s">
        <v>75</v>
      </c>
      <c r="I31" s="64">
        <f>'Calculo Gas'!A16</f>
        <v>29.8</v>
      </c>
    </row>
    <row r="32" ht="15.75" customHeight="1">
      <c r="A32" s="69"/>
      <c r="B32" s="70"/>
      <c r="C32" s="71"/>
      <c r="D32" s="69"/>
      <c r="E32" s="70"/>
      <c r="F32" s="71"/>
      <c r="G32" s="69"/>
      <c r="H32" s="70"/>
      <c r="I32" s="71"/>
    </row>
    <row r="33" ht="15.75" customHeight="1">
      <c r="A33" s="72" t="s">
        <v>84</v>
      </c>
      <c r="B33" s="70">
        <f>'Calculo Gas'!B14</f>
        <v>0.817</v>
      </c>
      <c r="C33" s="71"/>
      <c r="D33" s="72" t="s">
        <v>84</v>
      </c>
      <c r="E33" s="70">
        <f>'Calculo Gas'!B15</f>
        <v>1.84</v>
      </c>
      <c r="F33" s="71"/>
      <c r="G33" s="72" t="s">
        <v>84</v>
      </c>
      <c r="H33" s="70">
        <f>'Calculo Gas'!B16</f>
        <v>2.09</v>
      </c>
      <c r="I33" s="71"/>
    </row>
    <row r="34" ht="15.75" customHeight="1">
      <c r="A34" s="72" t="s">
        <v>93</v>
      </c>
      <c r="B34" s="70"/>
      <c r="C34" s="71"/>
      <c r="D34" s="72" t="s">
        <v>93</v>
      </c>
      <c r="E34" s="70"/>
      <c r="F34" s="71"/>
      <c r="G34" s="72" t="s">
        <v>93</v>
      </c>
      <c r="H34" s="70"/>
      <c r="I34" s="71"/>
    </row>
    <row r="35" ht="15.75" customHeight="1">
      <c r="A35" s="77"/>
      <c r="B35" s="70"/>
      <c r="C35" s="71"/>
      <c r="D35" s="77"/>
      <c r="E35" s="70"/>
      <c r="F35" s="71"/>
      <c r="G35" s="77"/>
      <c r="H35" s="70"/>
      <c r="I35" s="71"/>
    </row>
    <row r="36" ht="15.75" customHeight="1">
      <c r="A36" s="83" t="s">
        <v>101</v>
      </c>
      <c r="C36" s="84"/>
      <c r="D36" s="83" t="s">
        <v>101</v>
      </c>
      <c r="F36" s="84"/>
      <c r="G36" s="83" t="s">
        <v>101</v>
      </c>
      <c r="I36" s="84"/>
    </row>
    <row r="37" ht="15.75" customHeight="1">
      <c r="A37" s="85" t="s">
        <v>103</v>
      </c>
      <c r="B37" s="87"/>
      <c r="C37" s="88"/>
      <c r="D37" s="85" t="s">
        <v>103</v>
      </c>
      <c r="E37" s="87"/>
      <c r="F37" s="88"/>
      <c r="G37" s="85" t="s">
        <v>103</v>
      </c>
      <c r="H37" s="87"/>
      <c r="I37" s="88"/>
    </row>
    <row r="38" ht="15.75" customHeight="1">
      <c r="A38" s="20">
        <v>2.0</v>
      </c>
      <c r="B38" s="20"/>
      <c r="C38" s="20"/>
      <c r="D38" s="20"/>
      <c r="E38" s="20"/>
      <c r="F38" s="20"/>
      <c r="G38" s="20"/>
      <c r="H38" s="20"/>
      <c r="I38" s="20"/>
    </row>
    <row r="39" ht="15.75" customHeight="1">
      <c r="A39" s="26" t="s">
        <v>14</v>
      </c>
      <c r="B39" s="29" t="s">
        <v>17</v>
      </c>
      <c r="C39" s="32"/>
      <c r="D39" s="26" t="s">
        <v>14</v>
      </c>
      <c r="E39" s="29" t="s">
        <v>17</v>
      </c>
      <c r="F39" s="32"/>
      <c r="G39" s="26" t="s">
        <v>14</v>
      </c>
      <c r="H39" s="29" t="s">
        <v>17</v>
      </c>
      <c r="I39" s="32"/>
    </row>
    <row r="40" ht="52.5" customHeight="1">
      <c r="A40" s="38" t="str">
        <f>'Calculo Gas'!D17</f>
        <v>ROSA MARIA MONTENEGRO TORIBIO</v>
      </c>
      <c r="B40" s="40" t="s">
        <v>29</v>
      </c>
      <c r="C40" s="41" t="str">
        <f>$C$3</f>
        <v>02 JUNIO 2025 al 30 JUN 2025                                                          (28 dias)</v>
      </c>
      <c r="D40" s="38" t="str">
        <f>'Calculo Gas'!D19</f>
        <v>GARREAUD INDACOCHEA MARIA ELENA</v>
      </c>
      <c r="E40" s="40" t="s">
        <v>29</v>
      </c>
      <c r="F40" s="41" t="str">
        <f>$C$3</f>
        <v>02 JUNIO 2025 al 30 JUN 2025                                                          (28 dias)</v>
      </c>
      <c r="G40" s="38" t="str">
        <f>'Calculo Gas'!D20</f>
        <v>CARMEN TERESA GANDARILLAS CARDENAS</v>
      </c>
      <c r="H40" s="40" t="s">
        <v>29</v>
      </c>
      <c r="I40" s="41" t="str">
        <f>$C$3</f>
        <v>02 JUNIO 2025 al 30 JUN 2025                                                          (28 dias)</v>
      </c>
    </row>
    <row r="41" ht="15.75" customHeight="1">
      <c r="A41" s="47"/>
      <c r="B41" s="48"/>
      <c r="C41" s="50"/>
      <c r="D41" s="47"/>
      <c r="E41" s="48"/>
      <c r="F41" s="50"/>
      <c r="G41" s="47"/>
      <c r="H41" s="48"/>
      <c r="I41" s="50"/>
    </row>
    <row r="42" ht="15.75" customHeight="1">
      <c r="A42" s="47" t="s">
        <v>57</v>
      </c>
      <c r="B42" s="51">
        <f>'Calculo Gas'!C17</f>
        <v>305</v>
      </c>
      <c r="C42" s="52"/>
      <c r="D42" s="47" t="s">
        <v>57</v>
      </c>
      <c r="E42" s="51">
        <f>'Calculo Gas'!C19</f>
        <v>402</v>
      </c>
      <c r="F42" s="52"/>
      <c r="G42" s="47" t="s">
        <v>57</v>
      </c>
      <c r="H42" s="51">
        <f>'Calculo Gas'!C20</f>
        <v>403</v>
      </c>
      <c r="I42" s="52"/>
    </row>
    <row r="43" ht="15.75" customHeight="1">
      <c r="A43" s="47" t="s">
        <v>67</v>
      </c>
      <c r="B43" s="51">
        <f>'Calculo Gas'!E17</f>
        <v>2034044</v>
      </c>
      <c r="C43" s="52"/>
      <c r="D43" s="47" t="s">
        <v>67</v>
      </c>
      <c r="E43" s="51">
        <f>'Calculo Gas'!E19</f>
        <v>2034057</v>
      </c>
      <c r="F43" s="52"/>
      <c r="G43" s="47" t="s">
        <v>67</v>
      </c>
      <c r="H43" s="51" t="str">
        <f>'Calculo Gas'!E20</f>
        <v>GA202101900335</v>
      </c>
      <c r="I43" s="52"/>
    </row>
    <row r="44" ht="15.75" customHeight="1">
      <c r="A44" s="60" t="s">
        <v>73</v>
      </c>
      <c r="B44" s="23" t="s">
        <v>75</v>
      </c>
      <c r="C44" s="64">
        <f>'Calculo Gas'!A17</f>
        <v>0</v>
      </c>
      <c r="D44" s="60" t="s">
        <v>73</v>
      </c>
      <c r="E44" s="23" t="s">
        <v>75</v>
      </c>
      <c r="F44" s="64">
        <f>'Calculo Gas'!A19</f>
        <v>9.5</v>
      </c>
      <c r="G44" s="60" t="s">
        <v>73</v>
      </c>
      <c r="H44" s="23" t="s">
        <v>75</v>
      </c>
      <c r="I44" s="64">
        <f>'Calculo Gas'!A20</f>
        <v>26.1</v>
      </c>
    </row>
    <row r="45" ht="15.75" customHeight="1">
      <c r="A45" s="69"/>
      <c r="B45" s="70"/>
      <c r="C45" s="71"/>
      <c r="D45" s="69"/>
      <c r="E45" s="70"/>
      <c r="F45" s="71"/>
      <c r="G45" s="69"/>
      <c r="H45" s="70"/>
      <c r="I45" s="71"/>
    </row>
    <row r="46" ht="15.75" customHeight="1">
      <c r="A46" s="72" t="s">
        <v>84</v>
      </c>
      <c r="B46" s="70">
        <f>'Calculo Gas'!B17</f>
        <v>0</v>
      </c>
      <c r="C46" s="71"/>
      <c r="D46" s="72" t="s">
        <v>84</v>
      </c>
      <c r="E46" s="70">
        <f>'Calculo Gas'!B19</f>
        <v>0.666</v>
      </c>
      <c r="F46" s="71"/>
      <c r="G46" s="72" t="s">
        <v>84</v>
      </c>
      <c r="H46" s="70">
        <f>'Calculo Gas'!B20</f>
        <v>1.829</v>
      </c>
      <c r="I46" s="71"/>
    </row>
    <row r="47" ht="15.75" customHeight="1">
      <c r="A47" s="72" t="s">
        <v>93</v>
      </c>
      <c r="B47" s="70"/>
      <c r="C47" s="71"/>
      <c r="D47" s="72" t="s">
        <v>93</v>
      </c>
      <c r="E47" s="70"/>
      <c r="F47" s="71"/>
      <c r="G47" s="72" t="s">
        <v>93</v>
      </c>
      <c r="H47" s="70"/>
      <c r="I47" s="71"/>
    </row>
    <row r="48" ht="15.75" customHeight="1">
      <c r="A48" s="77"/>
      <c r="B48" s="70"/>
      <c r="C48" s="71"/>
      <c r="D48" s="77"/>
      <c r="E48" s="70"/>
      <c r="F48" s="71"/>
      <c r="G48" s="77"/>
      <c r="H48" s="70"/>
      <c r="I48" s="71"/>
    </row>
    <row r="49" ht="15.75" customHeight="1">
      <c r="A49" s="83" t="s">
        <v>101</v>
      </c>
      <c r="C49" s="84"/>
      <c r="D49" s="83" t="s">
        <v>101</v>
      </c>
      <c r="F49" s="84"/>
      <c r="G49" s="83" t="s">
        <v>101</v>
      </c>
      <c r="I49" s="84"/>
    </row>
    <row r="50" ht="15.75" customHeight="1">
      <c r="A50" s="85" t="s">
        <v>103</v>
      </c>
      <c r="B50" s="87"/>
      <c r="C50" s="88"/>
      <c r="D50" s="85" t="s">
        <v>103</v>
      </c>
      <c r="E50" s="87"/>
      <c r="F50" s="88"/>
      <c r="G50" s="85" t="s">
        <v>103</v>
      </c>
      <c r="H50" s="87"/>
      <c r="I50" s="88"/>
    </row>
    <row r="51" ht="15.75" customHeight="1">
      <c r="A51" s="26" t="s">
        <v>14</v>
      </c>
      <c r="B51" s="29" t="s">
        <v>17</v>
      </c>
      <c r="C51" s="32"/>
      <c r="D51" s="26" t="s">
        <v>14</v>
      </c>
      <c r="E51" s="29" t="s">
        <v>17</v>
      </c>
      <c r="F51" s="32"/>
      <c r="G51" s="26" t="s">
        <v>14</v>
      </c>
      <c r="H51" s="29" t="s">
        <v>17</v>
      </c>
      <c r="I51" s="32"/>
    </row>
    <row r="52" ht="52.5" customHeight="1">
      <c r="A52" s="38" t="str">
        <f>'Calculo Gas'!D21</f>
        <v>MARIA VIVANCO FIGALLO</v>
      </c>
      <c r="B52" s="40" t="s">
        <v>29</v>
      </c>
      <c r="C52" s="41" t="str">
        <f>$C$3</f>
        <v>02 JUNIO 2025 al 30 JUN 2025                                                          (28 dias)</v>
      </c>
      <c r="D52" s="38" t="str">
        <f>'Calculo Gas'!D22</f>
        <v>ARMANDO CUETO DUTHURBURU</v>
      </c>
      <c r="E52" s="40" t="s">
        <v>29</v>
      </c>
      <c r="F52" s="41" t="str">
        <f>$C$3</f>
        <v>02 JUNIO 2025 al 30 JUN 2025                                                          (28 dias)</v>
      </c>
      <c r="G52" s="38" t="str">
        <f>'Calculo Gas'!D23</f>
        <v>WALTER PEREZ RENGIFO</v>
      </c>
      <c r="H52" s="40" t="s">
        <v>29</v>
      </c>
      <c r="I52" s="41" t="str">
        <f>$C$3</f>
        <v>02 JUNIO 2025 al 30 JUN 2025                                                          (28 dias)</v>
      </c>
    </row>
    <row r="53" ht="15.75" customHeight="1">
      <c r="A53" s="47"/>
      <c r="B53" s="48"/>
      <c r="C53" s="50"/>
      <c r="D53" s="47"/>
      <c r="E53" s="48"/>
      <c r="F53" s="50"/>
      <c r="G53" s="47"/>
      <c r="H53" s="48"/>
      <c r="I53" s="50"/>
    </row>
    <row r="54" ht="15.75" customHeight="1">
      <c r="A54" s="47" t="s">
        <v>57</v>
      </c>
      <c r="B54" s="51">
        <f>'Calculo Gas'!C21</f>
        <v>404</v>
      </c>
      <c r="C54" s="52"/>
      <c r="D54" s="47" t="s">
        <v>57</v>
      </c>
      <c r="E54" s="51">
        <f>'Calculo Gas'!C22</f>
        <v>405</v>
      </c>
      <c r="F54" s="52"/>
      <c r="G54" s="47" t="s">
        <v>57</v>
      </c>
      <c r="H54" s="51">
        <f>'Calculo Gas'!C23</f>
        <v>406</v>
      </c>
      <c r="I54" s="52"/>
    </row>
    <row r="55" ht="15.75" customHeight="1">
      <c r="A55" s="47" t="s">
        <v>67</v>
      </c>
      <c r="B55" s="51">
        <f>'Calculo Gas'!E21</f>
        <v>2034042</v>
      </c>
      <c r="C55" s="52"/>
      <c r="D55" s="47" t="s">
        <v>67</v>
      </c>
      <c r="E55" s="51">
        <f>'Calculo Gas'!E22</f>
        <v>2034046</v>
      </c>
      <c r="F55" s="52"/>
      <c r="G55" s="47" t="s">
        <v>67</v>
      </c>
      <c r="H55" s="51">
        <f>'Calculo Gas'!E23</f>
        <v>2034035</v>
      </c>
      <c r="I55" s="52"/>
    </row>
    <row r="56" ht="15.75" customHeight="1">
      <c r="A56" s="60" t="s">
        <v>73</v>
      </c>
      <c r="B56" s="23" t="s">
        <v>75</v>
      </c>
      <c r="C56" s="64">
        <f>'Calculo Gas'!A21</f>
        <v>40</v>
      </c>
      <c r="D56" s="60" t="s">
        <v>73</v>
      </c>
      <c r="E56" s="23" t="s">
        <v>75</v>
      </c>
      <c r="F56" s="64">
        <f>'Calculo Gas'!A22</f>
        <v>0</v>
      </c>
      <c r="G56" s="60" t="s">
        <v>73</v>
      </c>
      <c r="H56" s="23" t="s">
        <v>75</v>
      </c>
      <c r="I56" s="64">
        <f>'Calculo Gas'!A23</f>
        <v>0</v>
      </c>
    </row>
    <row r="57" ht="15.75" customHeight="1">
      <c r="A57" s="69"/>
      <c r="B57" s="70"/>
      <c r="C57" s="71"/>
      <c r="D57" s="69"/>
      <c r="E57" s="70"/>
      <c r="F57" s="71"/>
      <c r="G57" s="69"/>
      <c r="H57" s="70"/>
      <c r="I57" s="71"/>
    </row>
    <row r="58" ht="15.75" customHeight="1">
      <c r="A58" s="72" t="s">
        <v>84</v>
      </c>
      <c r="B58" s="70">
        <f>'Calculo Gas'!B21</f>
        <v>2.808</v>
      </c>
      <c r="C58" s="71"/>
      <c r="D58" s="72" t="s">
        <v>84</v>
      </c>
      <c r="E58" s="70">
        <f>'Calculo Gas'!B22</f>
        <v>0</v>
      </c>
      <c r="F58" s="71"/>
      <c r="G58" s="72" t="s">
        <v>84</v>
      </c>
      <c r="H58" s="70">
        <f>'Calculo Gas'!B23</f>
        <v>0</v>
      </c>
      <c r="I58" s="71"/>
    </row>
    <row r="59" ht="15.75" customHeight="1">
      <c r="A59" s="72" t="s">
        <v>93</v>
      </c>
      <c r="B59" s="70"/>
      <c r="C59" s="71"/>
      <c r="D59" s="72" t="s">
        <v>93</v>
      </c>
      <c r="E59" s="70"/>
      <c r="F59" s="71"/>
      <c r="G59" s="72" t="s">
        <v>93</v>
      </c>
      <c r="H59" s="70"/>
      <c r="I59" s="71"/>
    </row>
    <row r="60" ht="15.75" customHeight="1">
      <c r="A60" s="77"/>
      <c r="B60" s="70"/>
      <c r="C60" s="71"/>
      <c r="D60" s="77"/>
      <c r="E60" s="70"/>
      <c r="F60" s="71"/>
      <c r="G60" s="77"/>
      <c r="H60" s="70"/>
      <c r="I60" s="71"/>
    </row>
    <row r="61" ht="15.75" customHeight="1">
      <c r="A61" s="83" t="s">
        <v>101</v>
      </c>
      <c r="C61" s="84"/>
      <c r="D61" s="83" t="s">
        <v>101</v>
      </c>
      <c r="F61" s="84"/>
      <c r="G61" s="83" t="s">
        <v>101</v>
      </c>
      <c r="I61" s="84"/>
    </row>
    <row r="62" ht="15.75" customHeight="1">
      <c r="A62" s="85" t="s">
        <v>103</v>
      </c>
      <c r="B62" s="87"/>
      <c r="C62" s="88"/>
      <c r="D62" s="85" t="s">
        <v>103</v>
      </c>
      <c r="E62" s="87"/>
      <c r="F62" s="88"/>
      <c r="G62" s="85" t="s">
        <v>103</v>
      </c>
      <c r="H62" s="87"/>
      <c r="I62" s="88"/>
    </row>
    <row r="63" ht="15.75" customHeight="1">
      <c r="A63" s="26" t="s">
        <v>14</v>
      </c>
      <c r="B63" s="29" t="s">
        <v>17</v>
      </c>
      <c r="C63" s="32"/>
      <c r="D63" s="26" t="s">
        <v>14</v>
      </c>
      <c r="E63" s="29" t="s">
        <v>17</v>
      </c>
      <c r="F63" s="32"/>
      <c r="G63" s="26" t="s">
        <v>14</v>
      </c>
      <c r="H63" s="29" t="s">
        <v>17</v>
      </c>
      <c r="I63" s="32"/>
    </row>
    <row r="64" ht="52.5" customHeight="1">
      <c r="A64" s="38" t="str">
        <f>'Calculo Gas'!D24</f>
        <v>GEHNI DELGADO VDA. DE MARINI</v>
      </c>
      <c r="B64" s="40" t="s">
        <v>29</v>
      </c>
      <c r="C64" s="41" t="str">
        <f>$C$3</f>
        <v>02 JUNIO 2025 al 30 JUN 2025                                                          (28 dias)</v>
      </c>
      <c r="D64" s="38" t="str">
        <f>'Calculo Gas'!D25</f>
        <v>CAROLINA JONSSON</v>
      </c>
      <c r="E64" s="40" t="s">
        <v>29</v>
      </c>
      <c r="F64" s="41" t="str">
        <f>$C$3</f>
        <v>02 JUNIO 2025 al 30 JUN 2025                                                          (28 dias)</v>
      </c>
      <c r="G64" s="38" t="str">
        <f>'Calculo Gas'!D26</f>
        <v>CARLOS AVILA BOCANEGRA</v>
      </c>
      <c r="H64" s="40" t="s">
        <v>29</v>
      </c>
      <c r="I64" s="41" t="str">
        <f>$C$3</f>
        <v>02 JUNIO 2025 al 30 JUN 2025                                                          (28 dias)</v>
      </c>
    </row>
    <row r="65" ht="15.75" customHeight="1">
      <c r="A65" s="47"/>
      <c r="B65" s="48"/>
      <c r="C65" s="50"/>
      <c r="D65" s="47"/>
      <c r="E65" s="48"/>
      <c r="F65" s="50"/>
      <c r="G65" s="47"/>
      <c r="H65" s="48"/>
      <c r="I65" s="50"/>
    </row>
    <row r="66" ht="15.75" customHeight="1">
      <c r="A66" s="47" t="s">
        <v>57</v>
      </c>
      <c r="B66" s="51">
        <f>'Calculo Gas'!C24</f>
        <v>501</v>
      </c>
      <c r="C66" s="52"/>
      <c r="D66" s="47" t="s">
        <v>57</v>
      </c>
      <c r="E66" s="51">
        <f>'Calculo Gas'!C25</f>
        <v>502</v>
      </c>
      <c r="F66" s="52"/>
      <c r="G66" s="47" t="s">
        <v>57</v>
      </c>
      <c r="H66" s="51">
        <f>'Calculo Gas'!C26</f>
        <v>503</v>
      </c>
      <c r="I66" s="52"/>
    </row>
    <row r="67" ht="15.75" customHeight="1">
      <c r="A67" s="47" t="s">
        <v>67</v>
      </c>
      <c r="B67" s="51" t="str">
        <f>'Calculo Gas'!E24</f>
        <v>GA2003002006</v>
      </c>
      <c r="C67" s="52"/>
      <c r="D67" s="47" t="s">
        <v>67</v>
      </c>
      <c r="E67" s="51">
        <f>'Calculo Gas'!E25</f>
        <v>2034055</v>
      </c>
      <c r="F67" s="52"/>
      <c r="G67" s="47" t="s">
        <v>67</v>
      </c>
      <c r="H67" s="51">
        <f>'Calculo Gas'!E26</f>
        <v>2034083</v>
      </c>
      <c r="I67" s="52"/>
    </row>
    <row r="68" ht="15.75" customHeight="1">
      <c r="A68" s="60" t="s">
        <v>73</v>
      </c>
      <c r="B68" s="23" t="s">
        <v>75</v>
      </c>
      <c r="C68" s="64">
        <f>'Calculo Gas'!A24</f>
        <v>0</v>
      </c>
      <c r="D68" s="60" t="s">
        <v>73</v>
      </c>
      <c r="E68" s="23" t="s">
        <v>75</v>
      </c>
      <c r="F68" s="64">
        <f>'Calculo Gas'!A25</f>
        <v>26.7</v>
      </c>
      <c r="G68" s="60" t="s">
        <v>73</v>
      </c>
      <c r="H68" s="23" t="s">
        <v>75</v>
      </c>
      <c r="I68" s="64">
        <f>'Calculo Gas'!A26</f>
        <v>45.1</v>
      </c>
    </row>
    <row r="69" ht="15.75" customHeight="1">
      <c r="A69" s="69"/>
      <c r="B69" s="70"/>
      <c r="C69" s="71"/>
      <c r="D69" s="69"/>
      <c r="E69" s="70"/>
      <c r="F69" s="71"/>
      <c r="G69" s="69"/>
      <c r="H69" s="70"/>
      <c r="I69" s="71"/>
    </row>
    <row r="70" ht="15.75" customHeight="1">
      <c r="A70" s="72" t="s">
        <v>84</v>
      </c>
      <c r="B70" s="70">
        <f>'Calculo Gas'!B24</f>
        <v>0.001</v>
      </c>
      <c r="C70" s="71"/>
      <c r="D70" s="72" t="s">
        <v>84</v>
      </c>
      <c r="E70" s="70">
        <f>'Calculo Gas'!B25</f>
        <v>1.876</v>
      </c>
      <c r="F70" s="71"/>
      <c r="G70" s="72" t="s">
        <v>84</v>
      </c>
      <c r="H70" s="70">
        <f>'Calculo Gas'!B26</f>
        <v>3.164</v>
      </c>
      <c r="I70" s="71"/>
    </row>
    <row r="71" ht="15.75" customHeight="1">
      <c r="A71" s="72" t="s">
        <v>93</v>
      </c>
      <c r="B71" s="70"/>
      <c r="C71" s="71"/>
      <c r="D71" s="72" t="s">
        <v>93</v>
      </c>
      <c r="E71" s="70"/>
      <c r="F71" s="71"/>
      <c r="G71" s="72" t="s">
        <v>93</v>
      </c>
      <c r="H71" s="70"/>
      <c r="I71" s="71"/>
    </row>
    <row r="72" ht="15.75" customHeight="1">
      <c r="A72" s="77"/>
      <c r="B72" s="70"/>
      <c r="C72" s="71"/>
      <c r="D72" s="77"/>
      <c r="E72" s="70"/>
      <c r="F72" s="71"/>
      <c r="G72" s="77"/>
      <c r="H72" s="70"/>
      <c r="I72" s="71"/>
    </row>
    <row r="73" ht="15.75" customHeight="1">
      <c r="A73" s="83" t="s">
        <v>101</v>
      </c>
      <c r="C73" s="84"/>
      <c r="D73" s="83" t="s">
        <v>101</v>
      </c>
      <c r="F73" s="84"/>
      <c r="G73" s="83" t="s">
        <v>101</v>
      </c>
      <c r="I73" s="84"/>
    </row>
    <row r="74" ht="15.75" customHeight="1">
      <c r="A74" s="85" t="s">
        <v>103</v>
      </c>
      <c r="B74" s="87"/>
      <c r="C74" s="88"/>
      <c r="D74" s="85" t="s">
        <v>103</v>
      </c>
      <c r="E74" s="87"/>
      <c r="F74" s="88"/>
      <c r="G74" s="85" t="s">
        <v>103</v>
      </c>
      <c r="H74" s="87"/>
      <c r="I74" s="88"/>
    </row>
    <row r="75" ht="15.75" customHeight="1">
      <c r="A75" s="20">
        <v>3.0</v>
      </c>
      <c r="B75" s="20"/>
      <c r="C75" s="20"/>
      <c r="D75" s="20"/>
      <c r="E75" s="20"/>
      <c r="F75" s="20"/>
      <c r="G75" s="20"/>
      <c r="H75" s="20"/>
      <c r="I75" s="20"/>
    </row>
    <row r="76" ht="15.75" customHeight="1">
      <c r="A76" s="26" t="s">
        <v>14</v>
      </c>
      <c r="B76" s="29" t="s">
        <v>17</v>
      </c>
      <c r="C76" s="32"/>
      <c r="D76" s="26" t="s">
        <v>14</v>
      </c>
      <c r="E76" s="29" t="s">
        <v>17</v>
      </c>
      <c r="F76" s="32"/>
      <c r="G76" s="26" t="s">
        <v>14</v>
      </c>
      <c r="H76" s="29" t="s">
        <v>17</v>
      </c>
      <c r="I76" s="32"/>
    </row>
    <row r="77" ht="52.5" customHeight="1">
      <c r="A77" s="38" t="str">
        <f>'Calculo Gas'!D27</f>
        <v>VALEGA BAELLA ALICIA</v>
      </c>
      <c r="B77" s="40" t="s">
        <v>29</v>
      </c>
      <c r="C77" s="41" t="str">
        <f>$C$3</f>
        <v>02 JUNIO 2025 al 30 JUN 2025                                                          (28 dias)</v>
      </c>
      <c r="D77" s="38" t="str">
        <f>'Calculo Gas'!D28</f>
        <v>MONICA LIGARDA CASTRO</v>
      </c>
      <c r="E77" s="40" t="s">
        <v>29</v>
      </c>
      <c r="F77" s="41" t="str">
        <f>$C$3</f>
        <v>02 JUNIO 2025 al 30 JUN 2025                                                          (28 dias)</v>
      </c>
      <c r="G77" s="38" t="str">
        <f>'Calculo Gas'!D29</f>
        <v>TELMO SALAZAR GONZALES</v>
      </c>
      <c r="H77" s="40" t="s">
        <v>29</v>
      </c>
      <c r="I77" s="41" t="str">
        <f>$C$3</f>
        <v>02 JUNIO 2025 al 30 JUN 2025                                                          (28 dias)</v>
      </c>
    </row>
    <row r="78" ht="15.75" customHeight="1">
      <c r="A78" s="47"/>
      <c r="B78" s="48"/>
      <c r="C78" s="50"/>
      <c r="D78" s="47"/>
      <c r="E78" s="48"/>
      <c r="F78" s="50"/>
      <c r="G78" s="47"/>
      <c r="H78" s="48"/>
      <c r="I78" s="50"/>
    </row>
    <row r="79" ht="15.75" customHeight="1">
      <c r="A79" s="47" t="s">
        <v>57</v>
      </c>
      <c r="B79" s="51">
        <f>'Calculo Gas'!C27</f>
        <v>504</v>
      </c>
      <c r="C79" s="52"/>
      <c r="D79" s="47" t="s">
        <v>57</v>
      </c>
      <c r="E79" s="51">
        <f>'Calculo Gas'!C28</f>
        <v>505</v>
      </c>
      <c r="F79" s="52"/>
      <c r="G79" s="47" t="s">
        <v>57</v>
      </c>
      <c r="H79" s="51">
        <f>'Calculo Gas'!C29</f>
        <v>506</v>
      </c>
      <c r="I79" s="52"/>
    </row>
    <row r="80" ht="15.75" customHeight="1">
      <c r="A80" s="47" t="s">
        <v>67</v>
      </c>
      <c r="B80" s="51">
        <f>'Calculo Gas'!E27</f>
        <v>2034037</v>
      </c>
      <c r="C80" s="52"/>
      <c r="D80" s="47" t="s">
        <v>67</v>
      </c>
      <c r="E80" s="51">
        <f>'Calculo Gas'!E28</f>
        <v>2034047</v>
      </c>
      <c r="F80" s="52"/>
      <c r="G80" s="47" t="s">
        <v>67</v>
      </c>
      <c r="H80" s="51">
        <f>'Calculo Gas'!E29</f>
        <v>2034045</v>
      </c>
      <c r="I80" s="52"/>
    </row>
    <row r="81" ht="15.75" customHeight="1">
      <c r="A81" s="60" t="s">
        <v>73</v>
      </c>
      <c r="B81" s="23" t="s">
        <v>75</v>
      </c>
      <c r="C81" s="64">
        <f>'Calculo Gas'!A27</f>
        <v>22.4</v>
      </c>
      <c r="D81" s="60" t="s">
        <v>73</v>
      </c>
      <c r="E81" s="23" t="s">
        <v>75</v>
      </c>
      <c r="F81" s="64">
        <f>'Calculo Gas'!A28</f>
        <v>99.4</v>
      </c>
      <c r="G81" s="60" t="s">
        <v>73</v>
      </c>
      <c r="H81" s="23" t="s">
        <v>75</v>
      </c>
      <c r="I81" s="64">
        <f>'Calculo Gas'!A29</f>
        <v>14.7</v>
      </c>
    </row>
    <row r="82" ht="15.75" customHeight="1">
      <c r="A82" s="69"/>
      <c r="B82" s="70"/>
      <c r="C82" s="71"/>
      <c r="D82" s="69"/>
      <c r="E82" s="70"/>
      <c r="F82" s="71"/>
      <c r="G82" s="69"/>
      <c r="H82" s="70"/>
      <c r="I82" s="71"/>
    </row>
    <row r="83" ht="15.75" customHeight="1">
      <c r="A83" s="72" t="s">
        <v>84</v>
      </c>
      <c r="B83" s="70">
        <f>'Calculo Gas'!B27</f>
        <v>1.569</v>
      </c>
      <c r="C83" s="71"/>
      <c r="D83" s="72" t="s">
        <v>84</v>
      </c>
      <c r="E83" s="70">
        <f>'Calculo Gas'!B28</f>
        <v>6.976</v>
      </c>
      <c r="F83" s="71"/>
      <c r="G83" s="72" t="s">
        <v>84</v>
      </c>
      <c r="H83" s="70">
        <f>'Calculo Gas'!B29</f>
        <v>1.035</v>
      </c>
      <c r="I83" s="71"/>
    </row>
    <row r="84" ht="15.75" customHeight="1">
      <c r="A84" s="72" t="s">
        <v>93</v>
      </c>
      <c r="B84" s="70"/>
      <c r="C84" s="71"/>
      <c r="D84" s="72" t="s">
        <v>93</v>
      </c>
      <c r="E84" s="70"/>
      <c r="F84" s="71"/>
      <c r="G84" s="72" t="s">
        <v>93</v>
      </c>
      <c r="H84" s="70"/>
      <c r="I84" s="71"/>
    </row>
    <row r="85" ht="15.75" customHeight="1">
      <c r="A85" s="77"/>
      <c r="B85" s="70"/>
      <c r="C85" s="71"/>
      <c r="D85" s="77"/>
      <c r="E85" s="70"/>
      <c r="F85" s="71"/>
      <c r="G85" s="77"/>
      <c r="H85" s="70"/>
      <c r="I85" s="71"/>
    </row>
    <row r="86" ht="15.75" customHeight="1">
      <c r="A86" s="83" t="s">
        <v>101</v>
      </c>
      <c r="C86" s="84"/>
      <c r="D86" s="83" t="s">
        <v>101</v>
      </c>
      <c r="F86" s="84"/>
      <c r="G86" s="83" t="s">
        <v>101</v>
      </c>
      <c r="I86" s="84"/>
    </row>
    <row r="87" ht="15.75" customHeight="1">
      <c r="A87" s="85" t="s">
        <v>103</v>
      </c>
      <c r="B87" s="87"/>
      <c r="C87" s="88"/>
      <c r="D87" s="85" t="s">
        <v>103</v>
      </c>
      <c r="E87" s="87"/>
      <c r="F87" s="88"/>
      <c r="G87" s="85" t="s">
        <v>103</v>
      </c>
      <c r="H87" s="87"/>
      <c r="I87" s="88"/>
    </row>
    <row r="88" ht="15.75" customHeight="1">
      <c r="A88" s="26" t="s">
        <v>14</v>
      </c>
      <c r="B88" s="29" t="s">
        <v>17</v>
      </c>
      <c r="C88" s="32"/>
      <c r="D88" s="26" t="s">
        <v>14</v>
      </c>
      <c r="E88" s="29" t="s">
        <v>17</v>
      </c>
      <c r="F88" s="32"/>
      <c r="G88" s="26" t="s">
        <v>14</v>
      </c>
      <c r="H88" s="29" t="s">
        <v>17</v>
      </c>
      <c r="I88" s="32"/>
    </row>
    <row r="89" ht="52.5" customHeight="1">
      <c r="A89" s="38" t="str">
        <f>'Calculo Gas'!D30</f>
        <v>LUIGI FERNANDO RONCAGLIOLO</v>
      </c>
      <c r="B89" s="40" t="s">
        <v>29</v>
      </c>
      <c r="C89" s="41" t="str">
        <f>$C$3</f>
        <v>02 JUNIO 2025 al 30 JUN 2025                                                          (28 dias)</v>
      </c>
      <c r="D89" s="38" t="str">
        <f>'Calculo Gas'!D31</f>
        <v>POTERICO ROJAS JULIO ANTONIO</v>
      </c>
      <c r="E89" s="40" t="s">
        <v>29</v>
      </c>
      <c r="F89" s="41" t="str">
        <f>$C$3</f>
        <v>02 JUNIO 2025 al 30 JUN 2025                                                          (28 dias)</v>
      </c>
      <c r="G89" s="38" t="str">
        <f>'Calculo Gas'!D32</f>
        <v>GRACIELA ORTIZ</v>
      </c>
      <c r="H89" s="40" t="s">
        <v>29</v>
      </c>
      <c r="I89" s="41" t="str">
        <f>$C$3</f>
        <v>02 JUNIO 2025 al 30 JUN 2025                                                          (28 dias)</v>
      </c>
    </row>
    <row r="90" ht="15.75" customHeight="1">
      <c r="A90" s="47"/>
      <c r="B90" s="48"/>
      <c r="C90" s="50"/>
      <c r="D90" s="47"/>
      <c r="E90" s="48"/>
      <c r="F90" s="50"/>
      <c r="G90" s="47"/>
      <c r="H90" s="48"/>
      <c r="I90" s="50"/>
    </row>
    <row r="91" ht="15.75" customHeight="1">
      <c r="A91" s="47" t="s">
        <v>57</v>
      </c>
      <c r="B91" s="51">
        <f>'Calculo Gas'!C30</f>
        <v>601</v>
      </c>
      <c r="C91" s="52"/>
      <c r="D91" s="47" t="s">
        <v>57</v>
      </c>
      <c r="E91" s="51">
        <f>'Calculo Gas'!C31</f>
        <v>602</v>
      </c>
      <c r="F91" s="52"/>
      <c r="G91" s="47" t="s">
        <v>57</v>
      </c>
      <c r="H91" s="51">
        <f>'Calculo Gas'!C32</f>
        <v>603</v>
      </c>
      <c r="I91" s="52"/>
    </row>
    <row r="92" ht="15.75" customHeight="1">
      <c r="A92" s="47" t="s">
        <v>67</v>
      </c>
      <c r="B92" s="51">
        <f>'Calculo Gas'!E30</f>
        <v>2034053</v>
      </c>
      <c r="C92" s="52"/>
      <c r="D92" s="47" t="s">
        <v>67</v>
      </c>
      <c r="E92" s="51" t="str">
        <f>'Calculo Gas'!E31</f>
        <v>GA202101900062</v>
      </c>
      <c r="F92" s="52"/>
      <c r="G92" s="47" t="s">
        <v>67</v>
      </c>
      <c r="H92" s="51">
        <f>'Calculo Gas'!E32</f>
        <v>2034072</v>
      </c>
      <c r="I92" s="52"/>
    </row>
    <row r="93" ht="15.75" customHeight="1">
      <c r="A93" s="60" t="s">
        <v>73</v>
      </c>
      <c r="B93" s="23" t="s">
        <v>75</v>
      </c>
      <c r="C93" s="64">
        <f>'Calculo Gas'!A30</f>
        <v>19.1</v>
      </c>
      <c r="D93" s="60" t="s">
        <v>73</v>
      </c>
      <c r="E93" s="23" t="s">
        <v>75</v>
      </c>
      <c r="F93" s="64">
        <f>'Calculo Gas'!A31</f>
        <v>114.8</v>
      </c>
      <c r="G93" s="60" t="s">
        <v>73</v>
      </c>
      <c r="H93" s="23" t="s">
        <v>75</v>
      </c>
      <c r="I93" s="64">
        <f>'Calculo Gas'!A32</f>
        <v>141.8</v>
      </c>
    </row>
    <row r="94" ht="15.75" customHeight="1">
      <c r="A94" s="69"/>
      <c r="B94" s="70"/>
      <c r="C94" s="71"/>
      <c r="D94" s="69"/>
      <c r="E94" s="70"/>
      <c r="F94" s="71"/>
      <c r="G94" s="69"/>
      <c r="H94" s="70"/>
      <c r="I94" s="71"/>
    </row>
    <row r="95" ht="15.75" customHeight="1">
      <c r="A95" s="72" t="s">
        <v>84</v>
      </c>
      <c r="B95" s="70">
        <f>'Calculo Gas'!B30</f>
        <v>1.343</v>
      </c>
      <c r="C95" s="71"/>
      <c r="D95" s="72" t="s">
        <v>84</v>
      </c>
      <c r="E95" s="70">
        <f>'Calculo Gas'!B31</f>
        <v>8.059</v>
      </c>
      <c r="F95" s="71"/>
      <c r="G95" s="72" t="s">
        <v>84</v>
      </c>
      <c r="H95" s="70">
        <f>'Calculo Gas'!B32</f>
        <v>9.955</v>
      </c>
      <c r="I95" s="71"/>
    </row>
    <row r="96" ht="15.75" customHeight="1">
      <c r="A96" s="72" t="s">
        <v>93</v>
      </c>
      <c r="B96" s="70"/>
      <c r="C96" s="71"/>
      <c r="D96" s="72" t="s">
        <v>93</v>
      </c>
      <c r="E96" s="70"/>
      <c r="F96" s="71"/>
      <c r="G96" s="72" t="s">
        <v>93</v>
      </c>
      <c r="H96" s="70"/>
      <c r="I96" s="71"/>
    </row>
    <row r="97" ht="15.75" customHeight="1">
      <c r="A97" s="77"/>
      <c r="B97" s="70"/>
      <c r="C97" s="71"/>
      <c r="D97" s="77"/>
      <c r="E97" s="70"/>
      <c r="F97" s="71"/>
      <c r="G97" s="77"/>
      <c r="H97" s="70"/>
      <c r="I97" s="71"/>
    </row>
    <row r="98" ht="15.75" customHeight="1">
      <c r="A98" s="83" t="s">
        <v>101</v>
      </c>
      <c r="C98" s="84"/>
      <c r="D98" s="83" t="s">
        <v>101</v>
      </c>
      <c r="F98" s="84"/>
      <c r="G98" s="83" t="s">
        <v>101</v>
      </c>
      <c r="I98" s="84"/>
    </row>
    <row r="99" ht="15.75" customHeight="1">
      <c r="A99" s="85" t="s">
        <v>103</v>
      </c>
      <c r="B99" s="87"/>
      <c r="C99" s="88"/>
      <c r="D99" s="85" t="s">
        <v>103</v>
      </c>
      <c r="E99" s="87"/>
      <c r="F99" s="88"/>
      <c r="G99" s="85" t="s">
        <v>103</v>
      </c>
      <c r="H99" s="87"/>
      <c r="I99" s="88"/>
    </row>
    <row r="100" ht="15.75" customHeight="1">
      <c r="A100" s="26" t="s">
        <v>14</v>
      </c>
      <c r="B100" s="29" t="s">
        <v>17</v>
      </c>
      <c r="C100" s="32"/>
      <c r="D100" s="26" t="s">
        <v>14</v>
      </c>
      <c r="E100" s="29" t="s">
        <v>17</v>
      </c>
      <c r="F100" s="32"/>
      <c r="G100" s="26" t="s">
        <v>14</v>
      </c>
      <c r="H100" s="29" t="s">
        <v>17</v>
      </c>
      <c r="I100" s="32"/>
    </row>
    <row r="101" ht="52.5" customHeight="1">
      <c r="A101" s="38" t="str">
        <f>'Calculo Gas'!D33</f>
        <v>RAFAEL BRISSOLESE D ANGELO</v>
      </c>
      <c r="B101" s="40" t="s">
        <v>29</v>
      </c>
      <c r="C101" s="41" t="str">
        <f>$C$3</f>
        <v>02 JUNIO 2025 al 30 JUN 2025                                                          (28 dias)</v>
      </c>
      <c r="D101" s="38" t="str">
        <f>'Calculo Gas'!D34</f>
        <v>JOHN MARTIN LLERENA SALAS</v>
      </c>
      <c r="E101" s="40" t="s">
        <v>29</v>
      </c>
      <c r="F101" s="41" t="str">
        <f>$C$3</f>
        <v>02 JUNIO 2025 al 30 JUN 2025                                                          (28 dias)</v>
      </c>
      <c r="G101" s="38" t="str">
        <f>'Calculo Gas'!D35</f>
        <v>LUIGI SCARIN</v>
      </c>
      <c r="H101" s="40" t="s">
        <v>29</v>
      </c>
      <c r="I101" s="41" t="str">
        <f>$C$3</f>
        <v>02 JUNIO 2025 al 30 JUN 2025                                                          (28 dias)</v>
      </c>
    </row>
    <row r="102" ht="15.75" customHeight="1">
      <c r="A102" s="47"/>
      <c r="B102" s="48"/>
      <c r="C102" s="50"/>
      <c r="D102" s="47"/>
      <c r="E102" s="48"/>
      <c r="F102" s="50"/>
      <c r="G102" s="47"/>
      <c r="H102" s="48"/>
      <c r="I102" s="50"/>
    </row>
    <row r="103" ht="15.75" customHeight="1">
      <c r="A103" s="47" t="s">
        <v>57</v>
      </c>
      <c r="B103" s="51">
        <f>'Calculo Gas'!C33</f>
        <v>604</v>
      </c>
      <c r="C103" s="52"/>
      <c r="D103" s="47" t="s">
        <v>57</v>
      </c>
      <c r="E103" s="51">
        <f>'Calculo Gas'!C34</f>
        <v>605</v>
      </c>
      <c r="F103" s="52"/>
      <c r="G103" s="47" t="s">
        <v>57</v>
      </c>
      <c r="H103" s="51">
        <f>'Calculo Gas'!C35</f>
        <v>702</v>
      </c>
      <c r="I103" s="52"/>
    </row>
    <row r="104" ht="15.75" customHeight="1">
      <c r="A104" s="47" t="s">
        <v>67</v>
      </c>
      <c r="B104" s="51">
        <f>'Calculo Gas'!E33</f>
        <v>2034041</v>
      </c>
      <c r="C104" s="52"/>
      <c r="D104" s="47" t="s">
        <v>67</v>
      </c>
      <c r="E104" s="51">
        <f>'Calculo Gas'!E34</f>
        <v>2034051</v>
      </c>
      <c r="F104" s="52"/>
      <c r="G104" s="47" t="s">
        <v>67</v>
      </c>
      <c r="H104" s="51">
        <f>'Calculo Gas'!E35</f>
        <v>2034075</v>
      </c>
      <c r="I104" s="64"/>
    </row>
    <row r="105" ht="15.75" customHeight="1">
      <c r="A105" s="60" t="s">
        <v>73</v>
      </c>
      <c r="B105" s="23" t="s">
        <v>75</v>
      </c>
      <c r="C105" s="64">
        <f>'Calculo Gas'!A33</f>
        <v>35.7</v>
      </c>
      <c r="D105" s="60" t="s">
        <v>73</v>
      </c>
      <c r="E105" s="23" t="s">
        <v>75</v>
      </c>
      <c r="F105" s="64">
        <f>'Calculo Gas'!A34</f>
        <v>0</v>
      </c>
      <c r="G105" s="60" t="s">
        <v>73</v>
      </c>
      <c r="H105" s="23" t="s">
        <v>75</v>
      </c>
      <c r="I105" s="64">
        <f>'Calculo Gas'!A35</f>
        <v>21.1</v>
      </c>
    </row>
    <row r="106" ht="15.75" customHeight="1">
      <c r="A106" s="69"/>
      <c r="B106" s="70"/>
      <c r="C106" s="71"/>
      <c r="D106" s="69"/>
      <c r="E106" s="70"/>
      <c r="F106" s="71"/>
      <c r="G106" s="69"/>
      <c r="H106" s="70"/>
      <c r="I106" s="71"/>
    </row>
    <row r="107" ht="15.75" customHeight="1">
      <c r="A107" s="72" t="s">
        <v>84</v>
      </c>
      <c r="B107" s="70">
        <f>'Calculo Gas'!B33</f>
        <v>2.504</v>
      </c>
      <c r="C107" s="71"/>
      <c r="D107" s="72" t="s">
        <v>84</v>
      </c>
      <c r="E107" s="70">
        <f>'Calculo Gas'!B34</f>
        <v>0</v>
      </c>
      <c r="F107" s="71"/>
      <c r="G107" s="72" t="s">
        <v>84</v>
      </c>
      <c r="H107" s="70">
        <f>'Calculo Gas'!B35</f>
        <v>1.482</v>
      </c>
      <c r="I107" s="71"/>
    </row>
    <row r="108" ht="15.75" customHeight="1">
      <c r="A108" s="72" t="s">
        <v>93</v>
      </c>
      <c r="B108" s="70"/>
      <c r="C108" s="71"/>
      <c r="D108" s="72" t="s">
        <v>93</v>
      </c>
      <c r="E108" s="70"/>
      <c r="F108" s="71"/>
      <c r="G108" s="72" t="s">
        <v>93</v>
      </c>
      <c r="H108" s="155"/>
      <c r="I108" s="71"/>
    </row>
    <row r="109" ht="15.75" customHeight="1">
      <c r="A109" s="77"/>
      <c r="B109" s="70"/>
      <c r="C109" s="71"/>
      <c r="D109" s="77"/>
      <c r="E109" s="70"/>
      <c r="F109" s="71"/>
      <c r="G109" s="77"/>
      <c r="H109" s="70"/>
      <c r="I109" s="71"/>
    </row>
    <row r="110" ht="15.75" customHeight="1">
      <c r="A110" s="83" t="s">
        <v>101</v>
      </c>
      <c r="C110" s="84"/>
      <c r="D110" s="83" t="s">
        <v>101</v>
      </c>
      <c r="F110" s="84"/>
      <c r="G110" s="83" t="s">
        <v>101</v>
      </c>
      <c r="I110" s="84"/>
    </row>
    <row r="111" ht="15.75" customHeight="1">
      <c r="A111" s="85" t="s">
        <v>103</v>
      </c>
      <c r="B111" s="87"/>
      <c r="C111" s="88"/>
      <c r="D111" s="85" t="s">
        <v>103</v>
      </c>
      <c r="E111" s="87"/>
      <c r="F111" s="88"/>
      <c r="G111" s="85" t="s">
        <v>103</v>
      </c>
      <c r="H111" s="87"/>
      <c r="I111" s="88"/>
    </row>
    <row r="112" ht="15.75" customHeight="1">
      <c r="A112" s="20">
        <v>4.0</v>
      </c>
      <c r="B112" s="20"/>
      <c r="C112" s="20"/>
      <c r="D112" s="20"/>
      <c r="E112" s="20"/>
      <c r="F112" s="20"/>
      <c r="G112" s="20"/>
      <c r="H112" s="20"/>
      <c r="I112" s="20"/>
    </row>
    <row r="113" ht="15.75" customHeight="1">
      <c r="A113" s="26" t="s">
        <v>14</v>
      </c>
      <c r="B113" s="29" t="s">
        <v>17</v>
      </c>
      <c r="C113" s="32"/>
      <c r="D113" s="26" t="s">
        <v>14</v>
      </c>
      <c r="E113" s="29" t="s">
        <v>17</v>
      </c>
      <c r="F113" s="32"/>
      <c r="G113" s="26" t="s">
        <v>14</v>
      </c>
      <c r="H113" s="29" t="s">
        <v>17</v>
      </c>
      <c r="I113" s="32"/>
    </row>
    <row r="114" ht="52.5" customHeight="1">
      <c r="A114" s="38" t="str">
        <f>'Calculo Gas'!D36</f>
        <v>RAMON FRANCISCO LABRIN FARIAS</v>
      </c>
      <c r="B114" s="40" t="s">
        <v>29</v>
      </c>
      <c r="C114" s="41" t="str">
        <f>$C$3</f>
        <v>02 JUNIO 2025 al 30 JUN 2025                                                          (28 dias)</v>
      </c>
      <c r="D114" s="38" t="str">
        <f>'Calculo Gas'!D37</f>
        <v>NOE VELA CORRALES</v>
      </c>
      <c r="E114" s="40" t="s">
        <v>29</v>
      </c>
      <c r="F114" s="41" t="str">
        <f>$C$3</f>
        <v>02 JUNIO 2025 al 30 JUN 2025                                                          (28 dias)</v>
      </c>
      <c r="G114" s="38" t="str">
        <f>'Calculo Gas'!D38</f>
        <v>MERINO PEÑAFIEL KARINA MIA</v>
      </c>
      <c r="H114" s="40" t="s">
        <v>29</v>
      </c>
      <c r="I114" s="41" t="str">
        <f>$C$3</f>
        <v>02 JUNIO 2025 al 30 JUN 2025                                                          (28 dias)</v>
      </c>
    </row>
    <row r="115" ht="15.75" customHeight="1">
      <c r="A115" s="47"/>
      <c r="B115" s="48"/>
      <c r="C115" s="50"/>
      <c r="D115" s="47"/>
      <c r="E115" s="48"/>
      <c r="F115" s="50"/>
      <c r="G115" s="47"/>
      <c r="H115" s="48"/>
      <c r="I115" s="50"/>
    </row>
    <row r="116" ht="15.75" customHeight="1">
      <c r="A116" s="47" t="s">
        <v>57</v>
      </c>
      <c r="B116" s="51">
        <f>'Calculo Gas'!C36</f>
        <v>703</v>
      </c>
      <c r="C116" s="52"/>
      <c r="D116" s="47" t="s">
        <v>57</v>
      </c>
      <c r="E116" s="51">
        <f>'Calculo Gas'!C37</f>
        <v>704</v>
      </c>
      <c r="F116" s="52"/>
      <c r="G116" s="47" t="s">
        <v>57</v>
      </c>
      <c r="H116" s="51">
        <f>'Calculo Gas'!C38</f>
        <v>801</v>
      </c>
      <c r="I116" s="52"/>
    </row>
    <row r="117" ht="15.75" customHeight="1">
      <c r="A117" s="47" t="s">
        <v>67</v>
      </c>
      <c r="B117" s="51">
        <f>'Calculo Gas'!E36</f>
        <v>2034079</v>
      </c>
      <c r="C117" s="52"/>
      <c r="D117" s="47" t="s">
        <v>67</v>
      </c>
      <c r="E117" s="51">
        <f>'Calculo Gas'!E37</f>
        <v>2034036</v>
      </c>
      <c r="F117" s="52"/>
      <c r="G117" s="47" t="s">
        <v>67</v>
      </c>
      <c r="H117" s="51">
        <f>'Calculo Gas'!E38</f>
        <v>2034023</v>
      </c>
      <c r="I117" s="52"/>
    </row>
    <row r="118" ht="15.75" customHeight="1">
      <c r="A118" s="60" t="s">
        <v>73</v>
      </c>
      <c r="B118" s="23" t="s">
        <v>75</v>
      </c>
      <c r="C118" s="64">
        <f>'Calculo Gas'!A36</f>
        <v>3.9</v>
      </c>
      <c r="D118" s="60" t="s">
        <v>73</v>
      </c>
      <c r="E118" s="23" t="s">
        <v>75</v>
      </c>
      <c r="F118" s="64">
        <f>'Calculo Gas'!A37</f>
        <v>8.8</v>
      </c>
      <c r="G118" s="60" t="s">
        <v>73</v>
      </c>
      <c r="H118" s="23" t="s">
        <v>75</v>
      </c>
      <c r="I118" s="64">
        <f>'Calculo Gas'!A38</f>
        <v>114.1</v>
      </c>
    </row>
    <row r="119" ht="15.75" customHeight="1">
      <c r="A119" s="69"/>
      <c r="B119" s="70"/>
      <c r="C119" s="71"/>
      <c r="D119" s="69"/>
      <c r="E119" s="70"/>
      <c r="F119" s="71"/>
      <c r="G119" s="69"/>
      <c r="H119" s="70"/>
      <c r="I119" s="71"/>
    </row>
    <row r="120" ht="15.75" customHeight="1">
      <c r="A120" s="72" t="s">
        <v>84</v>
      </c>
      <c r="B120" s="70">
        <f>'Calculo Gas'!B36</f>
        <v>0.272</v>
      </c>
      <c r="C120" s="71"/>
      <c r="D120" s="72" t="s">
        <v>84</v>
      </c>
      <c r="E120" s="70">
        <f>'Calculo Gas'!B37</f>
        <v>0.618</v>
      </c>
      <c r="F120" s="71"/>
      <c r="G120" s="72" t="s">
        <v>84</v>
      </c>
      <c r="H120" s="70">
        <f>'Calculo Gas'!B38</f>
        <v>8.009</v>
      </c>
      <c r="I120" s="71"/>
    </row>
    <row r="121" ht="15.75" customHeight="1">
      <c r="A121" s="72" t="s">
        <v>93</v>
      </c>
      <c r="B121" s="70"/>
      <c r="C121" s="71"/>
      <c r="D121" s="72" t="s">
        <v>93</v>
      </c>
      <c r="E121" s="70"/>
      <c r="F121" s="71"/>
      <c r="G121" s="72" t="s">
        <v>93</v>
      </c>
      <c r="H121" s="70"/>
      <c r="I121" s="71"/>
    </row>
    <row r="122" ht="15.75" customHeight="1">
      <c r="A122" s="77"/>
      <c r="B122" s="70"/>
      <c r="C122" s="71"/>
      <c r="D122" s="77"/>
      <c r="E122" s="70"/>
      <c r="F122" s="71"/>
      <c r="G122" s="77"/>
      <c r="H122" s="70"/>
      <c r="I122" s="71"/>
    </row>
    <row r="123" ht="15.75" customHeight="1">
      <c r="A123" s="83" t="s">
        <v>101</v>
      </c>
      <c r="C123" s="84"/>
      <c r="D123" s="83" t="s">
        <v>101</v>
      </c>
      <c r="F123" s="84"/>
      <c r="G123" s="83" t="s">
        <v>101</v>
      </c>
      <c r="I123" s="84"/>
    </row>
    <row r="124" ht="15.75" customHeight="1">
      <c r="A124" s="85" t="s">
        <v>103</v>
      </c>
      <c r="B124" s="87"/>
      <c r="C124" s="88"/>
      <c r="D124" s="85" t="s">
        <v>103</v>
      </c>
      <c r="E124" s="87"/>
      <c r="F124" s="88"/>
      <c r="G124" s="85" t="s">
        <v>103</v>
      </c>
      <c r="H124" s="87"/>
      <c r="I124" s="88"/>
    </row>
    <row r="125" ht="15.75" customHeight="1">
      <c r="A125" s="26" t="s">
        <v>14</v>
      </c>
      <c r="B125" s="29" t="s">
        <v>17</v>
      </c>
      <c r="C125" s="32"/>
      <c r="D125" s="26" t="s">
        <v>14</v>
      </c>
      <c r="E125" s="29" t="s">
        <v>17</v>
      </c>
      <c r="F125" s="32"/>
      <c r="G125" s="26" t="s">
        <v>14</v>
      </c>
      <c r="H125" s="29" t="s">
        <v>17</v>
      </c>
      <c r="I125" s="32"/>
    </row>
    <row r="126" ht="52.5" customHeight="1">
      <c r="A126" s="38" t="str">
        <f>'Calculo Gas'!D39</f>
        <v>CONDOR ARATA MARIA TERESA</v>
      </c>
      <c r="B126" s="40" t="s">
        <v>29</v>
      </c>
      <c r="C126" s="41" t="str">
        <f>$C$3</f>
        <v>02 JUNIO 2025 al 30 JUN 2025                                                          (28 dias)</v>
      </c>
      <c r="D126" s="38" t="str">
        <f>'Calculo Gas'!D41</f>
        <v>MARIO CORNEJO VASQUEZ</v>
      </c>
      <c r="E126" s="40" t="s">
        <v>29</v>
      </c>
      <c r="F126" s="41" t="str">
        <f>$C$3</f>
        <v>02 JUNIO 2025 al 30 JUN 2025                                                          (28 dias)</v>
      </c>
      <c r="G126" s="38" t="str">
        <f>'Calculo Gas'!D42</f>
        <v>PENAGOS CUADROS NORA BEATRIZ</v>
      </c>
      <c r="H126" s="40" t="s">
        <v>29</v>
      </c>
      <c r="I126" s="41" t="str">
        <f>$C$3</f>
        <v>02 JUNIO 2025 al 30 JUN 2025                                                          (28 dias)</v>
      </c>
    </row>
    <row r="127" ht="15.75" customHeight="1">
      <c r="A127" s="47"/>
      <c r="B127" s="48"/>
      <c r="C127" s="50"/>
      <c r="D127" s="47"/>
      <c r="E127" s="48"/>
      <c r="F127" s="50"/>
      <c r="G127" s="47"/>
      <c r="H127" s="48"/>
      <c r="I127" s="50"/>
    </row>
    <row r="128" ht="15.75" customHeight="1">
      <c r="A128" s="47" t="s">
        <v>57</v>
      </c>
      <c r="B128" s="51">
        <f>'Calculo Gas'!C39</f>
        <v>802</v>
      </c>
      <c r="C128" s="52"/>
      <c r="D128" s="47" t="s">
        <v>57</v>
      </c>
      <c r="E128" s="51">
        <f>'Calculo Gas'!C41</f>
        <v>901</v>
      </c>
      <c r="F128" s="52"/>
      <c r="G128" s="47" t="s">
        <v>57</v>
      </c>
      <c r="H128" s="51">
        <f>'Calculo Gas'!C42</f>
        <v>902</v>
      </c>
      <c r="I128" s="52"/>
    </row>
    <row r="129" ht="15.75" customHeight="1">
      <c r="A129" s="47" t="s">
        <v>67</v>
      </c>
      <c r="B129" s="51">
        <f>'Calculo Gas'!E39</f>
        <v>2034084</v>
      </c>
      <c r="C129" s="52"/>
      <c r="D129" s="47" t="s">
        <v>67</v>
      </c>
      <c r="E129" s="51">
        <f>'Calculo Gas'!E41</f>
        <v>2033963</v>
      </c>
      <c r="F129" s="52"/>
      <c r="G129" s="47" t="s">
        <v>67</v>
      </c>
      <c r="H129" s="51" t="str">
        <f>'Calculo Gas'!E42</f>
        <v>GA2108000738</v>
      </c>
      <c r="I129" s="52"/>
    </row>
    <row r="130" ht="15.75" customHeight="1">
      <c r="A130" s="60" t="s">
        <v>73</v>
      </c>
      <c r="B130" s="23" t="s">
        <v>75</v>
      </c>
      <c r="C130" s="64">
        <f>'Calculo Gas'!A39</f>
        <v>17.1</v>
      </c>
      <c r="D130" s="60" t="s">
        <v>73</v>
      </c>
      <c r="E130" s="23" t="s">
        <v>75</v>
      </c>
      <c r="F130" s="64">
        <f>'Calculo Gas'!A41</f>
        <v>153.7</v>
      </c>
      <c r="G130" s="60" t="s">
        <v>73</v>
      </c>
      <c r="H130" s="23" t="s">
        <v>75</v>
      </c>
      <c r="I130" s="64">
        <f>'Calculo Gas'!A42</f>
        <v>0</v>
      </c>
    </row>
    <row r="131" ht="15.75" customHeight="1">
      <c r="A131" s="69"/>
      <c r="B131" s="70"/>
      <c r="C131" s="71"/>
      <c r="D131" s="69"/>
      <c r="E131" s="70"/>
      <c r="F131" s="71"/>
      <c r="G131" s="69"/>
      <c r="H131" s="70"/>
      <c r="I131" s="71"/>
    </row>
    <row r="132" ht="15.75" customHeight="1">
      <c r="A132" s="72" t="s">
        <v>84</v>
      </c>
      <c r="B132" s="70">
        <f>'Calculo Gas'!B39</f>
        <v>1.201</v>
      </c>
      <c r="C132" s="71"/>
      <c r="D132" s="72" t="s">
        <v>84</v>
      </c>
      <c r="E132" s="70">
        <f>'Calculo Gas'!B41</f>
        <v>10.788</v>
      </c>
      <c r="F132" s="71"/>
      <c r="G132" s="72" t="s">
        <v>84</v>
      </c>
      <c r="H132" s="70">
        <f>'Calculo Gas'!B42</f>
        <v>0</v>
      </c>
      <c r="I132" s="71"/>
    </row>
    <row r="133" ht="15.75" customHeight="1">
      <c r="A133" s="72" t="s">
        <v>93</v>
      </c>
      <c r="B133" s="70"/>
      <c r="C133" s="71"/>
      <c r="D133" s="72" t="s">
        <v>93</v>
      </c>
      <c r="E133" s="70"/>
      <c r="F133" s="71"/>
      <c r="G133" s="72" t="s">
        <v>93</v>
      </c>
      <c r="H133" s="70"/>
      <c r="I133" s="71"/>
    </row>
    <row r="134" ht="15.75" customHeight="1">
      <c r="A134" s="77"/>
      <c r="B134" s="70"/>
      <c r="C134" s="71"/>
      <c r="D134" s="77"/>
      <c r="E134" s="70"/>
      <c r="F134" s="71"/>
      <c r="G134" s="77"/>
      <c r="H134" s="70"/>
      <c r="I134" s="71"/>
    </row>
    <row r="135" ht="15.75" customHeight="1">
      <c r="A135" s="83" t="s">
        <v>101</v>
      </c>
      <c r="C135" s="84"/>
      <c r="D135" s="83" t="s">
        <v>101</v>
      </c>
      <c r="F135" s="84"/>
      <c r="G135" s="83" t="s">
        <v>101</v>
      </c>
      <c r="I135" s="84"/>
    </row>
    <row r="136" ht="15.75" customHeight="1">
      <c r="A136" s="85" t="s">
        <v>103</v>
      </c>
      <c r="B136" s="87"/>
      <c r="C136" s="88"/>
      <c r="D136" s="85" t="s">
        <v>103</v>
      </c>
      <c r="E136" s="87"/>
      <c r="F136" s="88"/>
      <c r="G136" s="85" t="s">
        <v>103</v>
      </c>
      <c r="H136" s="87"/>
      <c r="I136" s="88"/>
    </row>
    <row r="137" ht="15.75" customHeight="1">
      <c r="A137" s="26" t="s">
        <v>14</v>
      </c>
      <c r="B137" s="29" t="s">
        <v>17</v>
      </c>
      <c r="C137" s="32"/>
      <c r="D137" s="26" t="s">
        <v>14</v>
      </c>
      <c r="E137" s="29" t="s">
        <v>17</v>
      </c>
      <c r="F137" s="32"/>
      <c r="G137" s="26" t="s">
        <v>14</v>
      </c>
      <c r="H137" s="29" t="s">
        <v>17</v>
      </c>
      <c r="I137" s="32"/>
    </row>
    <row r="138" ht="52.5" customHeight="1">
      <c r="A138" s="38" t="str">
        <f>'Calculo Gas'!D43</f>
        <v>VALENCIA BALAZAR BRENDA</v>
      </c>
      <c r="B138" s="40" t="s">
        <v>29</v>
      </c>
      <c r="C138" s="41" t="str">
        <f>$C$3</f>
        <v>02 JUNIO 2025 al 30 JUN 2025                                                          (28 dias)</v>
      </c>
      <c r="D138" s="38" t="str">
        <f>'Calculo Gas'!D44</f>
        <v>SERGIO RIOS CUELLAR - FELIPE</v>
      </c>
      <c r="E138" s="40" t="s">
        <v>29</v>
      </c>
      <c r="F138" s="41" t="str">
        <f>$C$3</f>
        <v>02 JUNIO 2025 al 30 JUN 2025                                                          (28 dias)</v>
      </c>
      <c r="G138" s="38" t="str">
        <f>'Calculo Gas'!D45</f>
        <v>SERGIO RIOS CUELLAR - MARIA FERNANDA</v>
      </c>
      <c r="H138" s="40" t="s">
        <v>29</v>
      </c>
      <c r="I138" s="41" t="str">
        <f>$C$3</f>
        <v>02 JUNIO 2025 al 30 JUN 2025                                                          (28 dias)</v>
      </c>
    </row>
    <row r="139" ht="15.75" customHeight="1">
      <c r="A139" s="47"/>
      <c r="B139" s="48"/>
      <c r="C139" s="50"/>
      <c r="D139" s="47"/>
      <c r="E139" s="48"/>
      <c r="F139" s="50"/>
      <c r="G139" s="47"/>
      <c r="H139" s="48"/>
      <c r="I139" s="50"/>
    </row>
    <row r="140" ht="15.75" customHeight="1">
      <c r="A140" s="47" t="s">
        <v>57</v>
      </c>
      <c r="B140" s="51">
        <f>'Calculo Gas'!C43</f>
        <v>903</v>
      </c>
      <c r="C140" s="52"/>
      <c r="D140" s="47" t="s">
        <v>57</v>
      </c>
      <c r="E140" s="51">
        <f>'Calculo Gas'!C44</f>
        <v>1002</v>
      </c>
      <c r="F140" s="52"/>
      <c r="G140" s="47" t="s">
        <v>57</v>
      </c>
      <c r="H140" s="51">
        <f>'Calculo Gas'!C45</f>
        <v>1001</v>
      </c>
      <c r="I140" s="52"/>
    </row>
    <row r="141" ht="15.75" customHeight="1">
      <c r="A141" s="47" t="s">
        <v>67</v>
      </c>
      <c r="B141" s="51">
        <f>'Calculo Gas'!E43</f>
        <v>2034024</v>
      </c>
      <c r="C141" s="52"/>
      <c r="D141" s="47" t="s">
        <v>67</v>
      </c>
      <c r="E141" s="51">
        <f>'Calculo Gas'!E44</f>
        <v>2034091</v>
      </c>
      <c r="F141" s="52"/>
      <c r="G141" s="47" t="s">
        <v>67</v>
      </c>
      <c r="H141" s="51">
        <f>'Calculo Gas'!E45</f>
        <v>2034086</v>
      </c>
      <c r="I141" s="52"/>
    </row>
    <row r="142" ht="15.75" customHeight="1">
      <c r="A142" s="60" t="s">
        <v>73</v>
      </c>
      <c r="B142" s="23" t="s">
        <v>75</v>
      </c>
      <c r="C142" s="64">
        <f>'Calculo Gas'!A43</f>
        <v>20.3</v>
      </c>
      <c r="D142" s="60" t="s">
        <v>73</v>
      </c>
      <c r="E142" s="23" t="s">
        <v>75</v>
      </c>
      <c r="F142" s="64">
        <f>'Calculo Gas'!A44</f>
        <v>48.7</v>
      </c>
      <c r="G142" s="60" t="s">
        <v>73</v>
      </c>
      <c r="H142" s="23" t="s">
        <v>75</v>
      </c>
      <c r="I142" s="64">
        <f>'Calculo Gas'!A45</f>
        <v>185.3</v>
      </c>
    </row>
    <row r="143" ht="15.75" customHeight="1">
      <c r="A143" s="69"/>
      <c r="B143" s="70"/>
      <c r="C143" s="71"/>
      <c r="D143" s="69"/>
      <c r="E143" s="70"/>
      <c r="F143" s="71"/>
      <c r="G143" s="69"/>
      <c r="H143" s="70"/>
      <c r="I143" s="71"/>
    </row>
    <row r="144" ht="15.75" customHeight="1">
      <c r="A144" s="72" t="s">
        <v>84</v>
      </c>
      <c r="B144" s="70">
        <f>'Calculo Gas'!B43</f>
        <v>1.426</v>
      </c>
      <c r="C144" s="71"/>
      <c r="D144" s="72" t="s">
        <v>84</v>
      </c>
      <c r="E144" s="70">
        <f>'Calculo Gas'!B44</f>
        <v>3.417</v>
      </c>
      <c r="F144" s="71"/>
      <c r="G144" s="72" t="s">
        <v>84</v>
      </c>
      <c r="H144" s="70">
        <f>'Calculo Gas'!B45</f>
        <v>13.002</v>
      </c>
      <c r="I144" s="71"/>
    </row>
    <row r="145" ht="15.75" customHeight="1">
      <c r="A145" s="72" t="s">
        <v>93</v>
      </c>
      <c r="B145" s="70"/>
      <c r="C145" s="71"/>
      <c r="D145" s="72" t="s">
        <v>93</v>
      </c>
      <c r="E145" s="70"/>
      <c r="F145" s="71"/>
      <c r="G145" s="72" t="s">
        <v>93</v>
      </c>
      <c r="H145" s="70"/>
      <c r="I145" s="71"/>
    </row>
    <row r="146" ht="15.75" customHeight="1">
      <c r="A146" s="77"/>
      <c r="B146" s="70"/>
      <c r="C146" s="71"/>
      <c r="D146" s="77"/>
      <c r="E146" s="70"/>
      <c r="F146" s="71"/>
      <c r="G146" s="77"/>
      <c r="H146" s="70"/>
      <c r="I146" s="71"/>
    </row>
    <row r="147" ht="15.75" customHeight="1">
      <c r="A147" s="83" t="s">
        <v>101</v>
      </c>
      <c r="C147" s="84"/>
      <c r="D147" s="83" t="s">
        <v>101</v>
      </c>
      <c r="F147" s="84"/>
      <c r="G147" s="83" t="s">
        <v>101</v>
      </c>
      <c r="I147" s="84"/>
    </row>
    <row r="148" ht="15.75" customHeight="1">
      <c r="A148" s="85" t="s">
        <v>103</v>
      </c>
      <c r="B148" s="87"/>
      <c r="C148" s="88"/>
      <c r="D148" s="85" t="s">
        <v>103</v>
      </c>
      <c r="E148" s="87"/>
      <c r="F148" s="88"/>
      <c r="G148" s="85" t="s">
        <v>103</v>
      </c>
      <c r="H148" s="87"/>
      <c r="I148" s="88"/>
    </row>
    <row r="149" ht="15.75" customHeight="1">
      <c r="A149" s="20">
        <v>5.0</v>
      </c>
      <c r="B149" s="20"/>
      <c r="C149" s="20"/>
      <c r="D149" s="20"/>
      <c r="E149" s="20"/>
      <c r="F149" s="20"/>
      <c r="G149" s="20"/>
      <c r="H149" s="20"/>
      <c r="I149" s="20"/>
    </row>
    <row r="150" ht="15.75" customHeight="1">
      <c r="A150" s="26" t="s">
        <v>14</v>
      </c>
      <c r="B150" s="29" t="s">
        <v>17</v>
      </c>
      <c r="C150" s="32"/>
      <c r="D150" s="26" t="s">
        <v>14</v>
      </c>
      <c r="E150" s="29" t="s">
        <v>17</v>
      </c>
      <c r="F150" s="32"/>
      <c r="G150" s="26" t="s">
        <v>14</v>
      </c>
      <c r="H150" s="29" t="s">
        <v>17</v>
      </c>
      <c r="I150" s="32"/>
    </row>
    <row r="151" ht="52.5" customHeight="1">
      <c r="A151" s="38" t="str">
        <f>'Calculo Gas'!D46</f>
        <v>JAVIER ENRIQUE ESPINOZA PAZ</v>
      </c>
      <c r="B151" s="40" t="s">
        <v>29</v>
      </c>
      <c r="C151" s="41" t="str">
        <f>$C$3</f>
        <v>02 JUNIO 2025 al 30 JUN 2025                                                          (28 dias)</v>
      </c>
      <c r="D151" s="38" t="str">
        <f>'Calculo Gas'!D47</f>
        <v>AMPARO AMALIA MEJIA BREÑA</v>
      </c>
      <c r="E151" s="40" t="s">
        <v>29</v>
      </c>
      <c r="F151" s="41" t="str">
        <f>$C$3</f>
        <v>02 JUNIO 2025 al 30 JUN 2025                                                          (28 dias)</v>
      </c>
      <c r="G151" s="38" t="str">
        <f>'Calculo Gas'!D48</f>
        <v>JULIO POTERICO</v>
      </c>
      <c r="H151" s="40" t="s">
        <v>29</v>
      </c>
      <c r="I151" s="41" t="str">
        <f>$C$3</f>
        <v>02 JUNIO 2025 al 30 JUN 2025                                                          (28 dias)</v>
      </c>
    </row>
    <row r="152" ht="15.75" customHeight="1">
      <c r="A152" s="47"/>
      <c r="B152" s="48"/>
      <c r="C152" s="50"/>
      <c r="D152" s="47"/>
      <c r="E152" s="48"/>
      <c r="F152" s="50"/>
      <c r="G152" s="47"/>
      <c r="H152" s="48"/>
      <c r="I152" s="50"/>
    </row>
    <row r="153" ht="15.75" customHeight="1">
      <c r="A153" s="47" t="s">
        <v>57</v>
      </c>
      <c r="B153" s="51">
        <f>'Calculo Gas'!C46</f>
        <v>1003</v>
      </c>
      <c r="C153" s="52"/>
      <c r="D153" s="47" t="s">
        <v>57</v>
      </c>
      <c r="E153" s="51">
        <f>'Calculo Gas'!C47</f>
        <v>1101</v>
      </c>
      <c r="F153" s="52"/>
      <c r="G153" s="47" t="s">
        <v>57</v>
      </c>
      <c r="H153" s="51">
        <f>'Calculo Gas'!C48</f>
        <v>1102</v>
      </c>
      <c r="I153" s="52"/>
    </row>
    <row r="154" ht="15.75" customHeight="1">
      <c r="A154" s="47" t="s">
        <v>67</v>
      </c>
      <c r="B154" s="51">
        <f>'Calculo Gas'!E46</f>
        <v>2034021</v>
      </c>
      <c r="C154" s="52"/>
      <c r="D154" s="47" t="s">
        <v>67</v>
      </c>
      <c r="E154" s="51">
        <f>'Calculo Gas'!E47</f>
        <v>2034054</v>
      </c>
      <c r="F154" s="52"/>
      <c r="G154" s="47" t="s">
        <v>67</v>
      </c>
      <c r="H154" s="51">
        <f>'Calculo Gas'!E48</f>
        <v>2034060</v>
      </c>
      <c r="I154" s="52"/>
    </row>
    <row r="155" ht="15.75" customHeight="1">
      <c r="A155" s="60" t="s">
        <v>73</v>
      </c>
      <c r="B155" s="23" t="s">
        <v>75</v>
      </c>
      <c r="C155" s="64">
        <f>'Calculo Gas'!A46</f>
        <v>0</v>
      </c>
      <c r="D155" s="60" t="s">
        <v>73</v>
      </c>
      <c r="E155" s="23" t="s">
        <v>75</v>
      </c>
      <c r="F155" s="64">
        <f>'Calculo Gas'!A47</f>
        <v>30.6</v>
      </c>
      <c r="G155" s="60" t="s">
        <v>73</v>
      </c>
      <c r="H155" s="23" t="s">
        <v>75</v>
      </c>
      <c r="I155" s="64">
        <f>'Calculo Gas'!A48</f>
        <v>60.5</v>
      </c>
    </row>
    <row r="156" ht="15.75" customHeight="1">
      <c r="A156" s="69"/>
      <c r="B156" s="70"/>
      <c r="C156" s="71"/>
      <c r="D156" s="69"/>
      <c r="E156" s="70"/>
      <c r="F156" s="71"/>
      <c r="G156" s="69"/>
      <c r="H156" s="70"/>
      <c r="I156" s="71"/>
    </row>
    <row r="157" ht="15.75" customHeight="1">
      <c r="A157" s="72" t="s">
        <v>84</v>
      </c>
      <c r="B157" s="70">
        <f>'Calculo Gas'!B46</f>
        <v>0</v>
      </c>
      <c r="C157" s="71"/>
      <c r="D157" s="72" t="s">
        <v>84</v>
      </c>
      <c r="E157" s="70">
        <f>'Calculo Gas'!B47</f>
        <v>2.151</v>
      </c>
      <c r="F157" s="71"/>
      <c r="G157" s="72" t="s">
        <v>84</v>
      </c>
      <c r="H157" s="70">
        <f>'Calculo Gas'!B48</f>
        <v>4.246</v>
      </c>
      <c r="I157" s="71"/>
    </row>
    <row r="158" ht="15.75" customHeight="1">
      <c r="A158" s="72" t="s">
        <v>93</v>
      </c>
      <c r="B158" s="70"/>
      <c r="C158" s="71"/>
      <c r="D158" s="72" t="s">
        <v>93</v>
      </c>
      <c r="E158" s="70"/>
      <c r="F158" s="71"/>
      <c r="G158" s="72" t="s">
        <v>93</v>
      </c>
      <c r="H158" s="70"/>
      <c r="I158" s="71"/>
    </row>
    <row r="159" ht="15.75" customHeight="1">
      <c r="A159" s="77"/>
      <c r="B159" s="70"/>
      <c r="C159" s="71"/>
      <c r="D159" s="77"/>
      <c r="E159" s="70"/>
      <c r="F159" s="71"/>
      <c r="G159" s="77"/>
      <c r="H159" s="70"/>
      <c r="I159" s="71"/>
    </row>
    <row r="160" ht="15.75" customHeight="1">
      <c r="A160" s="83" t="s">
        <v>101</v>
      </c>
      <c r="C160" s="84"/>
      <c r="D160" s="83" t="s">
        <v>101</v>
      </c>
      <c r="F160" s="84"/>
      <c r="G160" s="83" t="s">
        <v>101</v>
      </c>
      <c r="I160" s="84"/>
    </row>
    <row r="161" ht="15.75" customHeight="1">
      <c r="A161" s="85" t="s">
        <v>103</v>
      </c>
      <c r="B161" s="87"/>
      <c r="C161" s="88"/>
      <c r="D161" s="85" t="s">
        <v>103</v>
      </c>
      <c r="E161" s="87"/>
      <c r="F161" s="88"/>
      <c r="G161" s="85" t="s">
        <v>103</v>
      </c>
      <c r="H161" s="87"/>
      <c r="I161" s="88"/>
    </row>
    <row r="162" ht="15.75" customHeight="1">
      <c r="A162" s="26" t="s">
        <v>14</v>
      </c>
      <c r="B162" s="29" t="s">
        <v>17</v>
      </c>
      <c r="C162" s="32"/>
      <c r="D162" s="26" t="s">
        <v>14</v>
      </c>
      <c r="E162" s="29" t="s">
        <v>17</v>
      </c>
      <c r="F162" s="32"/>
      <c r="G162" s="26" t="s">
        <v>14</v>
      </c>
      <c r="H162" s="29" t="s">
        <v>17</v>
      </c>
      <c r="I162" s="32"/>
    </row>
    <row r="163" ht="52.5" customHeight="1">
      <c r="A163" s="38" t="str">
        <f>'Calculo Gas'!D49</f>
        <v>JESUS MARGARITA ANTAYHUA</v>
      </c>
      <c r="B163" s="40" t="s">
        <v>29</v>
      </c>
      <c r="C163" s="41" t="str">
        <f>$C$3</f>
        <v>02 JUNIO 2025 al 30 JUN 2025                                                          (28 dias)</v>
      </c>
      <c r="D163" s="38" t="str">
        <f>'Calculo Gas'!D50</f>
        <v>CARMEN DE LA TORRE MAYORGA</v>
      </c>
      <c r="E163" s="40" t="s">
        <v>29</v>
      </c>
      <c r="F163" s="41" t="str">
        <f>$C$3</f>
        <v>02 JUNIO 2025 al 30 JUN 2025                                                          (28 dias)</v>
      </c>
      <c r="G163" s="38" t="str">
        <f>'Calculo Gas'!D51</f>
        <v>MARIA INDACOCHEA PALACIOS VDA DE</v>
      </c>
      <c r="H163" s="40" t="s">
        <v>29</v>
      </c>
      <c r="I163" s="41" t="str">
        <f>$C$3</f>
        <v>02 JUNIO 2025 al 30 JUN 2025                                                          (28 dias)</v>
      </c>
    </row>
    <row r="164" ht="15.75" customHeight="1">
      <c r="A164" s="47"/>
      <c r="B164" s="48"/>
      <c r="C164" s="50"/>
      <c r="D164" s="47"/>
      <c r="E164" s="48"/>
      <c r="F164" s="50"/>
      <c r="G164" s="47"/>
      <c r="H164" s="48"/>
      <c r="I164" s="50"/>
    </row>
    <row r="165" ht="15.75" customHeight="1">
      <c r="A165" s="47" t="s">
        <v>57</v>
      </c>
      <c r="B165" s="51">
        <f>'Calculo Gas'!C49</f>
        <v>1103</v>
      </c>
      <c r="C165" s="52"/>
      <c r="D165" s="47" t="s">
        <v>57</v>
      </c>
      <c r="E165" s="51">
        <f>'Calculo Gas'!C50</f>
        <v>1201</v>
      </c>
      <c r="F165" s="52"/>
      <c r="G165" s="47" t="s">
        <v>57</v>
      </c>
      <c r="H165" s="51">
        <f>'Calculo Gas'!C51</f>
        <v>1202</v>
      </c>
      <c r="I165" s="52"/>
    </row>
    <row r="166" ht="15.75" customHeight="1">
      <c r="A166" s="47" t="s">
        <v>67</v>
      </c>
      <c r="B166" s="51" t="str">
        <f>'Calculo Gas'!E49</f>
        <v>GA202101900060</v>
      </c>
      <c r="C166" s="52"/>
      <c r="D166" s="47" t="s">
        <v>67</v>
      </c>
      <c r="E166" s="51">
        <f>'Calculo Gas'!E50</f>
        <v>2034058</v>
      </c>
      <c r="F166" s="52"/>
      <c r="G166" s="47" t="s">
        <v>67</v>
      </c>
      <c r="H166" s="51">
        <f>'Calculo Gas'!E51</f>
        <v>2034076</v>
      </c>
      <c r="I166" s="52"/>
    </row>
    <row r="167" ht="15.75" customHeight="1">
      <c r="A167" s="60" t="s">
        <v>73</v>
      </c>
      <c r="B167" s="23" t="s">
        <v>75</v>
      </c>
      <c r="C167" s="64">
        <f>'Calculo Gas'!A49</f>
        <v>0</v>
      </c>
      <c r="D167" s="60" t="s">
        <v>73</v>
      </c>
      <c r="E167" s="23" t="s">
        <v>75</v>
      </c>
      <c r="F167" s="64">
        <f>'Calculo Gas'!A50</f>
        <v>160.2</v>
      </c>
      <c r="G167" s="60" t="s">
        <v>73</v>
      </c>
      <c r="H167" s="23" t="s">
        <v>75</v>
      </c>
      <c r="I167" s="64">
        <f>'Calculo Gas'!A51</f>
        <v>0</v>
      </c>
    </row>
    <row r="168" ht="15.75" customHeight="1">
      <c r="A168" s="69"/>
      <c r="B168" s="70"/>
      <c r="C168" s="71"/>
      <c r="D168" s="69"/>
      <c r="E168" s="70"/>
      <c r="F168" s="71"/>
      <c r="G168" s="69"/>
      <c r="H168" s="70"/>
      <c r="I168" s="71"/>
    </row>
    <row r="169" ht="15.75" customHeight="1">
      <c r="A169" s="72" t="s">
        <v>84</v>
      </c>
      <c r="B169" s="70">
        <f>'Calculo Gas'!B49</f>
        <v>0</v>
      </c>
      <c r="C169" s="71"/>
      <c r="D169" s="72" t="s">
        <v>84</v>
      </c>
      <c r="E169" s="70">
        <f>'Calculo Gas'!B50</f>
        <v>11.241</v>
      </c>
      <c r="F169" s="71"/>
      <c r="G169" s="72" t="s">
        <v>84</v>
      </c>
      <c r="H169" s="70">
        <f>'Calculo Gas'!B51</f>
        <v>0</v>
      </c>
      <c r="I169" s="71"/>
    </row>
    <row r="170" ht="15.75" customHeight="1">
      <c r="A170" s="72" t="s">
        <v>93</v>
      </c>
      <c r="B170" s="70"/>
      <c r="C170" s="71"/>
      <c r="D170" s="72" t="s">
        <v>93</v>
      </c>
      <c r="E170" s="70"/>
      <c r="F170" s="71"/>
      <c r="G170" s="72" t="s">
        <v>93</v>
      </c>
      <c r="H170" s="70"/>
      <c r="I170" s="71"/>
    </row>
    <row r="171" ht="15.75" customHeight="1">
      <c r="A171" s="77"/>
      <c r="B171" s="70"/>
      <c r="C171" s="71"/>
      <c r="D171" s="77"/>
      <c r="E171" s="70"/>
      <c r="F171" s="71"/>
      <c r="G171" s="77"/>
      <c r="H171" s="70"/>
      <c r="I171" s="71"/>
    </row>
    <row r="172" ht="15.75" customHeight="1">
      <c r="A172" s="83" t="s">
        <v>101</v>
      </c>
      <c r="C172" s="84"/>
      <c r="D172" s="83" t="s">
        <v>101</v>
      </c>
      <c r="F172" s="84"/>
      <c r="G172" s="83" t="s">
        <v>101</v>
      </c>
      <c r="I172" s="84"/>
    </row>
    <row r="173" ht="15.75" customHeight="1">
      <c r="A173" s="85" t="s">
        <v>103</v>
      </c>
      <c r="B173" s="87"/>
      <c r="C173" s="88"/>
      <c r="D173" s="85" t="s">
        <v>103</v>
      </c>
      <c r="E173" s="87"/>
      <c r="F173" s="88"/>
      <c r="G173" s="85" t="s">
        <v>103</v>
      </c>
      <c r="H173" s="87"/>
      <c r="I173" s="88"/>
    </row>
    <row r="174" ht="15.75" customHeight="1">
      <c r="A174" s="26" t="s">
        <v>14</v>
      </c>
      <c r="B174" s="29" t="s">
        <v>17</v>
      </c>
      <c r="C174" s="32"/>
      <c r="D174" s="26" t="s">
        <v>14</v>
      </c>
      <c r="E174" s="29" t="s">
        <v>17</v>
      </c>
      <c r="F174" s="32"/>
      <c r="G174" s="26" t="s">
        <v>14</v>
      </c>
      <c r="H174" s="29" t="s">
        <v>17</v>
      </c>
      <c r="I174" s="32"/>
    </row>
    <row r="175" ht="52.5" customHeight="1">
      <c r="A175" s="38" t="str">
        <f>'Calculo Gas'!D52</f>
        <v>MARIA VIRGINIA BARANDIARAN PAGADOR</v>
      </c>
      <c r="B175" s="40" t="s">
        <v>29</v>
      </c>
      <c r="C175" s="41" t="str">
        <f>$C$3</f>
        <v>02 JUNIO 2025 al 30 JUN 2025                                                          (28 dias)</v>
      </c>
      <c r="D175" s="38" t="str">
        <f>'Calculo Gas'!D54</f>
        <v>RANDY RUSSELL CIVELLO</v>
      </c>
      <c r="E175" s="40" t="s">
        <v>29</v>
      </c>
      <c r="F175" s="41" t="str">
        <f>$C$3</f>
        <v>02 JUNIO 2025 al 30 JUN 2025                                                          (28 dias)</v>
      </c>
      <c r="G175" s="38" t="str">
        <f>'Calculo Gas'!D55</f>
        <v>JUAN CARLOS RENGIFO SANTA MARIA</v>
      </c>
      <c r="H175" s="40" t="s">
        <v>29</v>
      </c>
      <c r="I175" s="41" t="str">
        <f>$C$3</f>
        <v>02 JUNIO 2025 al 30 JUN 2025                                                          (28 dias)</v>
      </c>
    </row>
    <row r="176" ht="15.75" customHeight="1">
      <c r="A176" s="47"/>
      <c r="B176" s="48"/>
      <c r="C176" s="50"/>
      <c r="D176" s="47"/>
      <c r="E176" s="48"/>
      <c r="F176" s="50"/>
      <c r="G176" s="47"/>
      <c r="H176" s="48"/>
      <c r="I176" s="50"/>
    </row>
    <row r="177" ht="15.75" customHeight="1">
      <c r="A177" s="47" t="s">
        <v>57</v>
      </c>
      <c r="B177" s="51">
        <f>'Calculo Gas'!C52</f>
        <v>1203</v>
      </c>
      <c r="C177" s="52"/>
      <c r="D177" s="47" t="s">
        <v>57</v>
      </c>
      <c r="E177" s="51">
        <f>'Calculo Gas'!C54</f>
        <v>1302</v>
      </c>
      <c r="F177" s="52"/>
      <c r="G177" s="47" t="s">
        <v>57</v>
      </c>
      <c r="H177" s="51">
        <f>'Calculo Gas'!C55</f>
        <v>1303</v>
      </c>
      <c r="I177" s="52"/>
    </row>
    <row r="178" ht="15.75" customHeight="1">
      <c r="A178" s="47" t="s">
        <v>67</v>
      </c>
      <c r="B178" s="51">
        <f>'Calculo Gas'!E52</f>
        <v>2034077</v>
      </c>
      <c r="C178" s="52"/>
      <c r="D178" s="47" t="s">
        <v>67</v>
      </c>
      <c r="E178" s="51">
        <f>'Calculo Gas'!E54</f>
        <v>2034066</v>
      </c>
      <c r="F178" s="52"/>
      <c r="G178" s="47" t="s">
        <v>67</v>
      </c>
      <c r="H178" s="51">
        <f>'Calculo Gas'!E55</f>
        <v>2034067</v>
      </c>
      <c r="I178" s="52"/>
    </row>
    <row r="179" ht="15.75" customHeight="1">
      <c r="A179" s="60" t="s">
        <v>73</v>
      </c>
      <c r="B179" s="23" t="s">
        <v>75</v>
      </c>
      <c r="C179" s="64">
        <f>'Calculo Gas'!A52</f>
        <v>58.4</v>
      </c>
      <c r="D179" s="60" t="s">
        <v>73</v>
      </c>
      <c r="E179" s="23" t="s">
        <v>75</v>
      </c>
      <c r="F179" s="64">
        <f>'Calculo Gas'!A54</f>
        <v>34.2</v>
      </c>
      <c r="G179" s="60" t="s">
        <v>73</v>
      </c>
      <c r="H179" s="23" t="s">
        <v>75</v>
      </c>
      <c r="I179" s="64">
        <f>'Calculo Gas'!A55</f>
        <v>49.5</v>
      </c>
    </row>
    <row r="180" ht="15.75" customHeight="1">
      <c r="A180" s="69"/>
      <c r="B180" s="70"/>
      <c r="C180" s="71"/>
      <c r="D180" s="69"/>
      <c r="E180" s="70"/>
      <c r="F180" s="71"/>
      <c r="G180" s="69"/>
      <c r="H180" s="70"/>
      <c r="I180" s="71"/>
    </row>
    <row r="181" ht="15.75" customHeight="1">
      <c r="A181" s="72" t="s">
        <v>84</v>
      </c>
      <c r="B181" s="70">
        <f>'Calculo Gas'!B52</f>
        <v>4.102</v>
      </c>
      <c r="C181" s="71"/>
      <c r="D181" s="72" t="s">
        <v>84</v>
      </c>
      <c r="E181" s="70">
        <f>'Calculo Gas'!B54</f>
        <v>2.401</v>
      </c>
      <c r="F181" s="71"/>
      <c r="G181" s="72" t="s">
        <v>84</v>
      </c>
      <c r="H181" s="70">
        <f>'Calculo Gas'!B55</f>
        <v>3.477</v>
      </c>
      <c r="I181" s="71"/>
    </row>
    <row r="182" ht="15.75" customHeight="1">
      <c r="A182" s="72" t="s">
        <v>93</v>
      </c>
      <c r="B182" s="70"/>
      <c r="C182" s="71"/>
      <c r="D182" s="72" t="s">
        <v>93</v>
      </c>
      <c r="E182" s="70"/>
      <c r="F182" s="71"/>
      <c r="G182" s="72" t="s">
        <v>93</v>
      </c>
      <c r="H182" s="70"/>
      <c r="I182" s="71"/>
    </row>
    <row r="183" ht="15.75" customHeight="1">
      <c r="A183" s="77"/>
      <c r="B183" s="70"/>
      <c r="C183" s="71"/>
      <c r="D183" s="77"/>
      <c r="E183" s="70"/>
      <c r="F183" s="71"/>
      <c r="G183" s="77"/>
      <c r="H183" s="70"/>
      <c r="I183" s="71"/>
    </row>
    <row r="184" ht="15.75" customHeight="1">
      <c r="A184" s="83" t="s">
        <v>101</v>
      </c>
      <c r="C184" s="84"/>
      <c r="D184" s="83" t="s">
        <v>101</v>
      </c>
      <c r="F184" s="84"/>
      <c r="G184" s="83" t="s">
        <v>101</v>
      </c>
      <c r="I184" s="84"/>
    </row>
    <row r="185" ht="15.75" customHeight="1">
      <c r="A185" s="85" t="s">
        <v>103</v>
      </c>
      <c r="B185" s="87"/>
      <c r="C185" s="88"/>
      <c r="D185" s="85" t="s">
        <v>103</v>
      </c>
      <c r="E185" s="87"/>
      <c r="F185" s="88"/>
      <c r="G185" s="85" t="s">
        <v>103</v>
      </c>
      <c r="H185" s="87"/>
      <c r="I185" s="88"/>
    </row>
    <row r="186" ht="15.75" customHeight="1">
      <c r="A186" s="20">
        <v>6.0</v>
      </c>
      <c r="B186" s="20"/>
      <c r="C186" s="20"/>
      <c r="D186" s="20"/>
      <c r="E186" s="20"/>
      <c r="F186" s="20"/>
      <c r="G186" s="20"/>
      <c r="H186" s="20"/>
      <c r="I186" s="20"/>
    </row>
    <row r="187" ht="15.75" customHeight="1">
      <c r="A187" s="26" t="s">
        <v>14</v>
      </c>
      <c r="B187" s="29" t="s">
        <v>17</v>
      </c>
      <c r="C187" s="32"/>
      <c r="D187" s="26" t="s">
        <v>14</v>
      </c>
      <c r="E187" s="29" t="s">
        <v>17</v>
      </c>
      <c r="F187" s="32"/>
      <c r="G187" s="26" t="s">
        <v>14</v>
      </c>
      <c r="H187" s="29" t="s">
        <v>17</v>
      </c>
      <c r="I187" s="32"/>
    </row>
    <row r="188" ht="52.5" customHeight="1">
      <c r="A188" s="38" t="str">
        <f>'Calculo Gas'!D57</f>
        <v>SIMON VAINSTEIN TIMERMAN</v>
      </c>
      <c r="B188" s="40" t="s">
        <v>29</v>
      </c>
      <c r="C188" s="41" t="str">
        <f>$C$3</f>
        <v>02 JUNIO 2025 al 30 JUN 2025                                                          (28 dias)</v>
      </c>
      <c r="D188" s="38" t="str">
        <f>'Calculo Gas'!D58</f>
        <v>MARCO ANTONIO LAMA VALENCIA</v>
      </c>
      <c r="E188" s="40" t="s">
        <v>29</v>
      </c>
      <c r="F188" s="41" t="str">
        <f>$C$3</f>
        <v>02 JUNIO 2025 al 30 JUN 2025                                                          (28 dias)</v>
      </c>
      <c r="G188" s="38" t="str">
        <f>'Calculo Gas'!D59</f>
        <v>ISMENIA JUDITH SINKO</v>
      </c>
      <c r="H188" s="40" t="s">
        <v>29</v>
      </c>
      <c r="I188" s="41" t="str">
        <f>$C$3</f>
        <v>02 JUNIO 2025 al 30 JUN 2025                                                          (28 dias)</v>
      </c>
    </row>
    <row r="189" ht="15.75" customHeight="1">
      <c r="A189" s="47"/>
      <c r="B189" s="48"/>
      <c r="C189" s="50"/>
      <c r="D189" s="47"/>
      <c r="E189" s="48"/>
      <c r="F189" s="50"/>
      <c r="G189" s="47"/>
      <c r="H189" s="48"/>
      <c r="I189" s="50"/>
    </row>
    <row r="190" ht="15.75" customHeight="1">
      <c r="A190" s="47" t="s">
        <v>57</v>
      </c>
      <c r="B190" s="51">
        <f>'Calculo Gas'!C57</f>
        <v>1402</v>
      </c>
      <c r="C190" s="52"/>
      <c r="D190" s="47" t="s">
        <v>57</v>
      </c>
      <c r="E190" s="51">
        <f>'Calculo Gas'!C58</f>
        <v>1403</v>
      </c>
      <c r="F190" s="52"/>
      <c r="G190" s="47" t="s">
        <v>57</v>
      </c>
      <c r="H190" s="51">
        <f>'Calculo Gas'!C59</f>
        <v>1501</v>
      </c>
      <c r="I190" s="52"/>
    </row>
    <row r="191" ht="15.75" customHeight="1">
      <c r="A191" s="47" t="s">
        <v>67</v>
      </c>
      <c r="B191" s="51">
        <f>'Calculo Gas'!E57</f>
        <v>2034080</v>
      </c>
      <c r="C191" s="52"/>
      <c r="D191" s="47" t="s">
        <v>67</v>
      </c>
      <c r="E191" s="51">
        <f>'Calculo Gas'!E58</f>
        <v>2034073</v>
      </c>
      <c r="F191" s="52"/>
      <c r="G191" s="47" t="s">
        <v>67</v>
      </c>
      <c r="H191" s="51">
        <f>'Calculo Gas'!E59</f>
        <v>2034064</v>
      </c>
      <c r="I191" s="52"/>
    </row>
    <row r="192" ht="15.75" customHeight="1">
      <c r="A192" s="60" t="s">
        <v>73</v>
      </c>
      <c r="B192" s="23" t="s">
        <v>75</v>
      </c>
      <c r="C192" s="64">
        <f>'Calculo Gas'!A57</f>
        <v>0</v>
      </c>
      <c r="D192" s="60" t="s">
        <v>73</v>
      </c>
      <c r="E192" s="23" t="s">
        <v>75</v>
      </c>
      <c r="F192" s="64">
        <f>'Calculo Gas'!A58</f>
        <v>0</v>
      </c>
      <c r="G192" s="60" t="s">
        <v>73</v>
      </c>
      <c r="H192" s="23" t="s">
        <v>75</v>
      </c>
      <c r="I192" s="64">
        <f>'Calculo Gas'!A59</f>
        <v>0</v>
      </c>
    </row>
    <row r="193" ht="15.75" customHeight="1">
      <c r="A193" s="69"/>
      <c r="B193" s="70"/>
      <c r="C193" s="71"/>
      <c r="D193" s="69"/>
      <c r="E193" s="70"/>
      <c r="F193" s="71"/>
      <c r="G193" s="69"/>
      <c r="H193" s="70"/>
      <c r="I193" s="71"/>
    </row>
    <row r="194" ht="15.75" customHeight="1">
      <c r="A194" s="72" t="s">
        <v>84</v>
      </c>
      <c r="B194" s="70">
        <f>'Calculo Gas'!B57</f>
        <v>0</v>
      </c>
      <c r="C194" s="71"/>
      <c r="D194" s="72" t="s">
        <v>84</v>
      </c>
      <c r="E194" s="70">
        <f>'Calculo Gas'!B58</f>
        <v>0</v>
      </c>
      <c r="F194" s="71"/>
      <c r="G194" s="72" t="s">
        <v>84</v>
      </c>
      <c r="H194" s="70">
        <f>'Calculo Gas'!B59</f>
        <v>0</v>
      </c>
      <c r="I194" s="71"/>
    </row>
    <row r="195" ht="15.75" customHeight="1">
      <c r="A195" s="72" t="s">
        <v>93</v>
      </c>
      <c r="B195" s="70"/>
      <c r="C195" s="71"/>
      <c r="D195" s="72" t="s">
        <v>93</v>
      </c>
      <c r="E195" s="70"/>
      <c r="F195" s="71"/>
      <c r="G195" s="72" t="s">
        <v>93</v>
      </c>
      <c r="H195" s="70"/>
      <c r="I195" s="71"/>
    </row>
    <row r="196" ht="15.75" customHeight="1">
      <c r="A196" s="77"/>
      <c r="B196" s="70"/>
      <c r="C196" s="71"/>
      <c r="D196" s="77"/>
      <c r="E196" s="70"/>
      <c r="F196" s="71"/>
      <c r="G196" s="77"/>
      <c r="H196" s="70"/>
      <c r="I196" s="71"/>
    </row>
    <row r="197" ht="15.75" customHeight="1">
      <c r="A197" s="83" t="s">
        <v>101</v>
      </c>
      <c r="C197" s="84"/>
      <c r="D197" s="83" t="s">
        <v>101</v>
      </c>
      <c r="F197" s="84"/>
      <c r="G197" s="83" t="s">
        <v>101</v>
      </c>
      <c r="I197" s="84"/>
    </row>
    <row r="198" ht="15.75" customHeight="1">
      <c r="A198" s="85" t="s">
        <v>103</v>
      </c>
      <c r="B198" s="87"/>
      <c r="C198" s="88"/>
      <c r="D198" s="85" t="s">
        <v>103</v>
      </c>
      <c r="E198" s="87"/>
      <c r="F198" s="88"/>
      <c r="G198" s="85" t="s">
        <v>103</v>
      </c>
      <c r="H198" s="87"/>
      <c r="I198" s="88"/>
    </row>
    <row r="199" ht="15.75" customHeight="1">
      <c r="A199" s="26" t="s">
        <v>14</v>
      </c>
      <c r="B199" s="29" t="s">
        <v>17</v>
      </c>
      <c r="C199" s="32"/>
      <c r="D199" s="26" t="s">
        <v>14</v>
      </c>
      <c r="E199" s="29" t="s">
        <v>17</v>
      </c>
      <c r="F199" s="32"/>
      <c r="G199" s="26" t="s">
        <v>14</v>
      </c>
      <c r="H199" s="29" t="s">
        <v>17</v>
      </c>
      <c r="I199" s="32"/>
    </row>
    <row r="200" ht="52.5" customHeight="1">
      <c r="A200" s="38" t="str">
        <f>'Calculo Gas'!D60</f>
        <v>JOSEFA TORRENT ALTAYO</v>
      </c>
      <c r="B200" s="40" t="s">
        <v>29</v>
      </c>
      <c r="C200" s="41" t="str">
        <f>$C$3</f>
        <v>02 JUNIO 2025 al 30 JUN 2025                                                          (28 dias)</v>
      </c>
      <c r="D200" s="38" t="str">
        <f>'Calculo Gas'!D61</f>
        <v>EDWARD MARTIN AEGERTER</v>
      </c>
      <c r="E200" s="40" t="s">
        <v>29</v>
      </c>
      <c r="F200" s="41" t="str">
        <f>$C$3</f>
        <v>02 JUNIO 2025 al 30 JUN 2025                                                          (28 dias)</v>
      </c>
      <c r="G200" s="38" t="str">
        <f>'Calculo Gas'!D62</f>
        <v>JORGE PAREDES</v>
      </c>
      <c r="H200" s="40" t="s">
        <v>29</v>
      </c>
      <c r="I200" s="41" t="str">
        <f>$C$3</f>
        <v>02 JUNIO 2025 al 30 JUN 2025                                                          (28 dias)</v>
      </c>
    </row>
    <row r="201" ht="15.75" customHeight="1">
      <c r="A201" s="47"/>
      <c r="B201" s="48"/>
      <c r="C201" s="50"/>
      <c r="D201" s="47"/>
      <c r="E201" s="48"/>
      <c r="F201" s="50"/>
      <c r="G201" s="47"/>
      <c r="H201" s="48"/>
      <c r="I201" s="50"/>
    </row>
    <row r="202" ht="15.75" customHeight="1">
      <c r="A202" s="47" t="s">
        <v>57</v>
      </c>
      <c r="B202" s="51">
        <f>'Calculo Gas'!C60</f>
        <v>1502</v>
      </c>
      <c r="C202" s="52"/>
      <c r="D202" s="47" t="s">
        <v>57</v>
      </c>
      <c r="E202" s="51">
        <f>'Calculo Gas'!C61</f>
        <v>1503</v>
      </c>
      <c r="F202" s="52"/>
      <c r="G202" s="47" t="s">
        <v>57</v>
      </c>
      <c r="H202" s="51">
        <f>'Calculo Gas'!C62</f>
        <v>1601</v>
      </c>
      <c r="I202" s="52"/>
    </row>
    <row r="203" ht="15.75" customHeight="1">
      <c r="A203" s="47" t="s">
        <v>67</v>
      </c>
      <c r="B203" s="51">
        <f>'Calculo Gas'!E60</f>
        <v>2034078</v>
      </c>
      <c r="C203" s="52"/>
      <c r="D203" s="47" t="s">
        <v>67</v>
      </c>
      <c r="E203" s="51">
        <f>'Calculo Gas'!E61</f>
        <v>2188669</v>
      </c>
      <c r="F203" s="52"/>
      <c r="G203" s="47" t="s">
        <v>67</v>
      </c>
      <c r="H203" s="51">
        <f>'Calculo Gas'!E62</f>
        <v>2034074</v>
      </c>
      <c r="I203" s="52"/>
    </row>
    <row r="204" ht="15.75" customHeight="1">
      <c r="A204" s="60" t="s">
        <v>73</v>
      </c>
      <c r="B204" s="23" t="s">
        <v>75</v>
      </c>
      <c r="C204" s="64">
        <f>'Calculo Gas'!A60</f>
        <v>50.7</v>
      </c>
      <c r="D204" s="60" t="s">
        <v>73</v>
      </c>
      <c r="E204" s="23" t="s">
        <v>75</v>
      </c>
      <c r="F204" s="64">
        <f>'Calculo Gas'!A61</f>
        <v>24.9</v>
      </c>
      <c r="G204" s="60" t="s">
        <v>73</v>
      </c>
      <c r="H204" s="23" t="s">
        <v>75</v>
      </c>
      <c r="I204" s="64">
        <f>'Calculo Gas'!A62</f>
        <v>50.3</v>
      </c>
    </row>
    <row r="205" ht="15.75" customHeight="1">
      <c r="A205" s="69"/>
      <c r="B205" s="70"/>
      <c r="C205" s="71"/>
      <c r="D205" s="69"/>
      <c r="E205" s="70"/>
      <c r="F205" s="71"/>
      <c r="G205" s="69"/>
      <c r="H205" s="70"/>
      <c r="I205" s="71"/>
    </row>
    <row r="206" ht="15.75" customHeight="1">
      <c r="A206" s="72" t="s">
        <v>84</v>
      </c>
      <c r="B206" s="70">
        <f>'Calculo Gas'!B60</f>
        <v>3.555</v>
      </c>
      <c r="C206" s="71"/>
      <c r="D206" s="72" t="s">
        <v>84</v>
      </c>
      <c r="E206" s="70">
        <f>'Calculo Gas'!B61</f>
        <v>1.748</v>
      </c>
      <c r="F206" s="71"/>
      <c r="G206" s="72" t="s">
        <v>84</v>
      </c>
      <c r="H206" s="70">
        <f>'Calculo Gas'!B62</f>
        <v>3.532</v>
      </c>
      <c r="I206" s="71"/>
    </row>
    <row r="207" ht="15.75" customHeight="1">
      <c r="A207" s="72" t="s">
        <v>93</v>
      </c>
      <c r="B207" s="70"/>
      <c r="C207" s="71"/>
      <c r="D207" s="72" t="s">
        <v>93</v>
      </c>
      <c r="E207" s="70"/>
      <c r="F207" s="71"/>
      <c r="G207" s="72" t="s">
        <v>93</v>
      </c>
      <c r="H207" s="70"/>
      <c r="I207" s="71"/>
    </row>
    <row r="208" ht="15.75" customHeight="1">
      <c r="A208" s="77"/>
      <c r="B208" s="70"/>
      <c r="C208" s="71"/>
      <c r="D208" s="77"/>
      <c r="E208" s="70"/>
      <c r="F208" s="71"/>
      <c r="G208" s="77"/>
      <c r="H208" s="70"/>
      <c r="I208" s="71"/>
    </row>
    <row r="209" ht="15.75" customHeight="1">
      <c r="A209" s="83" t="s">
        <v>101</v>
      </c>
      <c r="C209" s="84"/>
      <c r="D209" s="83" t="s">
        <v>101</v>
      </c>
      <c r="F209" s="84"/>
      <c r="G209" s="83" t="s">
        <v>101</v>
      </c>
      <c r="I209" s="84"/>
    </row>
    <row r="210" ht="15.75" customHeight="1">
      <c r="A210" s="85" t="s">
        <v>103</v>
      </c>
      <c r="B210" s="87"/>
      <c r="C210" s="88"/>
      <c r="D210" s="85" t="s">
        <v>103</v>
      </c>
      <c r="E210" s="87"/>
      <c r="F210" s="88"/>
      <c r="G210" s="85" t="s">
        <v>103</v>
      </c>
      <c r="H210" s="87"/>
      <c r="I210" s="88"/>
    </row>
    <row r="211" ht="15.75" customHeight="1">
      <c r="A211" s="26" t="s">
        <v>14</v>
      </c>
      <c r="B211" s="29" t="s">
        <v>17</v>
      </c>
      <c r="C211" s="32"/>
      <c r="D211" s="26" t="s">
        <v>14</v>
      </c>
      <c r="E211" s="29" t="s">
        <v>17</v>
      </c>
      <c r="F211" s="32"/>
      <c r="G211" s="26" t="s">
        <v>14</v>
      </c>
      <c r="H211" s="29" t="s">
        <v>17</v>
      </c>
      <c r="I211" s="32"/>
    </row>
    <row r="212" ht="52.5" customHeight="1">
      <c r="A212" s="38" t="str">
        <f>'Calculo Gas'!D63</f>
        <v>GIOVANNI SACCO</v>
      </c>
      <c r="B212" s="40" t="s">
        <v>29</v>
      </c>
      <c r="C212" s="41" t="str">
        <f>$C$3</f>
        <v>02 JUNIO 2025 al 30 JUN 2025                                                          (28 dias)</v>
      </c>
      <c r="D212" s="38" t="str">
        <f>'Calculo Gas'!D64</f>
        <v>AGUIRRE BOULANGGER ANGEL MARTIN</v>
      </c>
      <c r="E212" s="40" t="s">
        <v>29</v>
      </c>
      <c r="F212" s="41" t="str">
        <f>$C$3</f>
        <v>02 JUNIO 2025 al 30 JUN 2025                                                          (28 dias)</v>
      </c>
      <c r="G212" s="38" t="str">
        <f>'Calculo Gas'!D65</f>
        <v>JEFF VILLACORTA</v>
      </c>
      <c r="H212" s="40" t="s">
        <v>29</v>
      </c>
      <c r="I212" s="41" t="str">
        <f>$C$3</f>
        <v>02 JUNIO 2025 al 30 JUN 2025                                                          (28 dias)</v>
      </c>
    </row>
    <row r="213" ht="15.75" customHeight="1">
      <c r="A213" s="47"/>
      <c r="B213" s="48"/>
      <c r="C213" s="50"/>
      <c r="D213" s="47"/>
      <c r="E213" s="48"/>
      <c r="F213" s="50"/>
      <c r="G213" s="47"/>
      <c r="H213" s="48"/>
      <c r="I213" s="50"/>
    </row>
    <row r="214" ht="15.75" customHeight="1">
      <c r="A214" s="47" t="s">
        <v>57</v>
      </c>
      <c r="B214" s="51">
        <f>'Calculo Gas'!C63</f>
        <v>1602</v>
      </c>
      <c r="C214" s="52"/>
      <c r="D214" s="47" t="s">
        <v>57</v>
      </c>
      <c r="E214" s="51">
        <f>'Calculo Gas'!C64</f>
        <v>1701</v>
      </c>
      <c r="F214" s="52"/>
      <c r="G214" s="47" t="s">
        <v>57</v>
      </c>
      <c r="H214" s="51">
        <f>'Calculo Gas'!C65</f>
        <v>1702</v>
      </c>
      <c r="I214" s="52"/>
    </row>
    <row r="215" ht="15.75" customHeight="1">
      <c r="A215" s="47" t="s">
        <v>67</v>
      </c>
      <c r="B215" s="51">
        <f>'Calculo Gas'!E63</f>
        <v>2034082</v>
      </c>
      <c r="C215" s="52"/>
      <c r="D215" s="47" t="s">
        <v>67</v>
      </c>
      <c r="E215" s="51">
        <f>'Calculo Gas'!E64</f>
        <v>2034048</v>
      </c>
      <c r="F215" s="52"/>
      <c r="G215" s="47" t="s">
        <v>67</v>
      </c>
      <c r="H215" s="51">
        <f>'Calculo Gas'!E65</f>
        <v>2034081</v>
      </c>
      <c r="I215" s="52"/>
    </row>
    <row r="216" ht="15.75" customHeight="1">
      <c r="A216" s="60" t="s">
        <v>73</v>
      </c>
      <c r="B216" s="23" t="s">
        <v>75</v>
      </c>
      <c r="C216" s="64">
        <f>'Calculo Gas'!A63</f>
        <v>41.2</v>
      </c>
      <c r="D216" s="60" t="s">
        <v>73</v>
      </c>
      <c r="E216" s="23" t="s">
        <v>75</v>
      </c>
      <c r="F216" s="64">
        <f>'Calculo Gas'!A64</f>
        <v>139.4</v>
      </c>
      <c r="G216" s="60" t="s">
        <v>73</v>
      </c>
      <c r="H216" s="23" t="s">
        <v>75</v>
      </c>
      <c r="I216" s="64">
        <f>'Calculo Gas'!A65</f>
        <v>26.9</v>
      </c>
    </row>
    <row r="217" ht="15.75" customHeight="1">
      <c r="A217" s="69"/>
      <c r="B217" s="70"/>
      <c r="C217" s="71"/>
      <c r="D217" s="69"/>
      <c r="E217" s="70"/>
      <c r="F217" s="71"/>
      <c r="G217" s="69"/>
      <c r="H217" s="70"/>
      <c r="I217" s="71"/>
    </row>
    <row r="218" ht="15.75" customHeight="1">
      <c r="A218" s="72" t="s">
        <v>84</v>
      </c>
      <c r="B218" s="70">
        <f>'Calculo Gas'!B63</f>
        <v>2.892</v>
      </c>
      <c r="C218" s="71"/>
      <c r="D218" s="72" t="s">
        <v>84</v>
      </c>
      <c r="E218" s="70">
        <f>'Calculo Gas'!B64</f>
        <v>9.787</v>
      </c>
      <c r="F218" s="71"/>
      <c r="G218" s="72" t="s">
        <v>84</v>
      </c>
      <c r="H218" s="70">
        <f>'Calculo Gas'!B65</f>
        <v>1.887</v>
      </c>
      <c r="I218" s="71"/>
    </row>
    <row r="219" ht="15.75" customHeight="1">
      <c r="A219" s="72" t="s">
        <v>93</v>
      </c>
      <c r="B219" s="70"/>
      <c r="C219" s="71"/>
      <c r="D219" s="72" t="s">
        <v>93</v>
      </c>
      <c r="E219" s="70"/>
      <c r="F219" s="71"/>
      <c r="G219" s="72" t="s">
        <v>93</v>
      </c>
      <c r="H219" s="70"/>
      <c r="I219" s="71"/>
    </row>
    <row r="220" ht="15.75" customHeight="1">
      <c r="A220" s="77"/>
      <c r="B220" s="70"/>
      <c r="C220" s="71"/>
      <c r="D220" s="77"/>
      <c r="E220" s="70"/>
      <c r="F220" s="71"/>
      <c r="G220" s="77"/>
      <c r="H220" s="70"/>
      <c r="I220" s="71"/>
    </row>
    <row r="221" ht="15.75" customHeight="1">
      <c r="A221" s="83" t="s">
        <v>101</v>
      </c>
      <c r="C221" s="84"/>
      <c r="D221" s="83" t="s">
        <v>101</v>
      </c>
      <c r="F221" s="84"/>
      <c r="G221" s="83" t="s">
        <v>101</v>
      </c>
      <c r="I221" s="84"/>
    </row>
    <row r="222" ht="15.75" customHeight="1">
      <c r="A222" s="85" t="s">
        <v>103</v>
      </c>
      <c r="B222" s="87"/>
      <c r="C222" s="88"/>
      <c r="D222" s="85" t="s">
        <v>103</v>
      </c>
      <c r="E222" s="87"/>
      <c r="F222" s="88"/>
      <c r="G222" s="85" t="s">
        <v>103</v>
      </c>
      <c r="H222" s="87"/>
      <c r="I222" s="88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2">
    <mergeCell ref="D136:F136"/>
    <mergeCell ref="G136:I136"/>
    <mergeCell ref="B125:C125"/>
    <mergeCell ref="E125:F125"/>
    <mergeCell ref="H125:I125"/>
    <mergeCell ref="A135:C135"/>
    <mergeCell ref="D135:F135"/>
    <mergeCell ref="G135:I135"/>
    <mergeCell ref="A136:C136"/>
    <mergeCell ref="D148:F148"/>
    <mergeCell ref="G148:I148"/>
    <mergeCell ref="B137:C137"/>
    <mergeCell ref="E137:F137"/>
    <mergeCell ref="H137:I137"/>
    <mergeCell ref="A147:C147"/>
    <mergeCell ref="D147:F147"/>
    <mergeCell ref="G147:I147"/>
    <mergeCell ref="A148:C148"/>
    <mergeCell ref="D161:F161"/>
    <mergeCell ref="G161:I161"/>
    <mergeCell ref="B150:C150"/>
    <mergeCell ref="E150:F150"/>
    <mergeCell ref="H150:I150"/>
    <mergeCell ref="A160:C160"/>
    <mergeCell ref="D160:F160"/>
    <mergeCell ref="G160:I160"/>
    <mergeCell ref="A161:C161"/>
    <mergeCell ref="D173:F173"/>
    <mergeCell ref="G173:I173"/>
    <mergeCell ref="B162:C162"/>
    <mergeCell ref="E162:F162"/>
    <mergeCell ref="H162:I162"/>
    <mergeCell ref="A172:C172"/>
    <mergeCell ref="D172:F172"/>
    <mergeCell ref="G172:I172"/>
    <mergeCell ref="A173:C173"/>
    <mergeCell ref="D185:F185"/>
    <mergeCell ref="G185:I185"/>
    <mergeCell ref="B174:C174"/>
    <mergeCell ref="E174:F174"/>
    <mergeCell ref="H174:I174"/>
    <mergeCell ref="A184:C184"/>
    <mergeCell ref="D184:F184"/>
    <mergeCell ref="G184:I184"/>
    <mergeCell ref="A185:C185"/>
    <mergeCell ref="D198:F198"/>
    <mergeCell ref="G198:I198"/>
    <mergeCell ref="B187:C187"/>
    <mergeCell ref="E187:F187"/>
    <mergeCell ref="H187:I187"/>
    <mergeCell ref="A197:C197"/>
    <mergeCell ref="D197:F197"/>
    <mergeCell ref="G197:I197"/>
    <mergeCell ref="A198:C198"/>
    <mergeCell ref="D210:F210"/>
    <mergeCell ref="G210:I210"/>
    <mergeCell ref="B199:C199"/>
    <mergeCell ref="E199:F199"/>
    <mergeCell ref="H199:I199"/>
    <mergeCell ref="A209:C209"/>
    <mergeCell ref="D209:F209"/>
    <mergeCell ref="G209:I209"/>
    <mergeCell ref="A210:C210"/>
    <mergeCell ref="D13:F13"/>
    <mergeCell ref="G13:I13"/>
    <mergeCell ref="B2:C2"/>
    <mergeCell ref="E2:F2"/>
    <mergeCell ref="H2:I2"/>
    <mergeCell ref="A12:C12"/>
    <mergeCell ref="D12:F12"/>
    <mergeCell ref="G12:I12"/>
    <mergeCell ref="A13:C13"/>
    <mergeCell ref="D25:F25"/>
    <mergeCell ref="G25:I25"/>
    <mergeCell ref="B14:C14"/>
    <mergeCell ref="E14:F14"/>
    <mergeCell ref="H14:I14"/>
    <mergeCell ref="A24:C24"/>
    <mergeCell ref="D24:F24"/>
    <mergeCell ref="G24:I24"/>
    <mergeCell ref="A25:C25"/>
    <mergeCell ref="D37:F37"/>
    <mergeCell ref="G37:I37"/>
    <mergeCell ref="B26:C26"/>
    <mergeCell ref="E26:F26"/>
    <mergeCell ref="H26:I26"/>
    <mergeCell ref="A36:C36"/>
    <mergeCell ref="D36:F36"/>
    <mergeCell ref="G36:I36"/>
    <mergeCell ref="A37:C37"/>
    <mergeCell ref="D222:F222"/>
    <mergeCell ref="G222:I222"/>
    <mergeCell ref="B211:C211"/>
    <mergeCell ref="E211:F211"/>
    <mergeCell ref="H211:I211"/>
    <mergeCell ref="A221:C221"/>
    <mergeCell ref="D221:F221"/>
    <mergeCell ref="G221:I221"/>
    <mergeCell ref="A222:C222"/>
    <mergeCell ref="D50:F50"/>
    <mergeCell ref="G50:I50"/>
    <mergeCell ref="B39:C39"/>
    <mergeCell ref="E39:F39"/>
    <mergeCell ref="H39:I39"/>
    <mergeCell ref="A49:C49"/>
    <mergeCell ref="D49:F49"/>
    <mergeCell ref="G49:I49"/>
    <mergeCell ref="A50:C50"/>
    <mergeCell ref="D62:F62"/>
    <mergeCell ref="G62:I62"/>
    <mergeCell ref="B51:C51"/>
    <mergeCell ref="E51:F51"/>
    <mergeCell ref="H51:I51"/>
    <mergeCell ref="A61:C61"/>
    <mergeCell ref="D61:F61"/>
    <mergeCell ref="G61:I61"/>
    <mergeCell ref="A62:C62"/>
    <mergeCell ref="D74:F74"/>
    <mergeCell ref="G74:I74"/>
    <mergeCell ref="B63:C63"/>
    <mergeCell ref="E63:F63"/>
    <mergeCell ref="H63:I63"/>
    <mergeCell ref="A73:C73"/>
    <mergeCell ref="D73:F73"/>
    <mergeCell ref="G73:I73"/>
    <mergeCell ref="A74:C74"/>
    <mergeCell ref="D87:F87"/>
    <mergeCell ref="G87:I87"/>
    <mergeCell ref="B76:C76"/>
    <mergeCell ref="E76:F76"/>
    <mergeCell ref="H76:I76"/>
    <mergeCell ref="A86:C86"/>
    <mergeCell ref="D86:F86"/>
    <mergeCell ref="G86:I86"/>
    <mergeCell ref="A87:C87"/>
    <mergeCell ref="D99:F99"/>
    <mergeCell ref="G99:I99"/>
    <mergeCell ref="B88:C88"/>
    <mergeCell ref="E88:F88"/>
    <mergeCell ref="H88:I88"/>
    <mergeCell ref="A98:C98"/>
    <mergeCell ref="D98:F98"/>
    <mergeCell ref="G98:I98"/>
    <mergeCell ref="A99:C99"/>
    <mergeCell ref="D111:F111"/>
    <mergeCell ref="G111:I111"/>
    <mergeCell ref="B100:C100"/>
    <mergeCell ref="E100:F100"/>
    <mergeCell ref="H100:I100"/>
    <mergeCell ref="A110:C110"/>
    <mergeCell ref="D110:F110"/>
    <mergeCell ref="G110:I110"/>
    <mergeCell ref="A111:C111"/>
    <mergeCell ref="D124:F124"/>
    <mergeCell ref="G124:I124"/>
    <mergeCell ref="B113:C113"/>
    <mergeCell ref="E113:F113"/>
    <mergeCell ref="H113:I113"/>
    <mergeCell ref="A123:C123"/>
    <mergeCell ref="D123:F123"/>
    <mergeCell ref="G123:I123"/>
    <mergeCell ref="A124:C12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15.67"/>
    <col customWidth="1" min="2" max="2" width="14.67"/>
    <col customWidth="1" min="3" max="3" width="10.67"/>
    <col customWidth="1" min="4" max="4" width="15.67"/>
    <col customWidth="1" min="5" max="5" width="14.67"/>
    <col customWidth="1" min="6" max="6" width="10.67"/>
    <col customWidth="1" min="7" max="7" width="15.67"/>
    <col customWidth="1" min="8" max="8" width="14.67"/>
    <col customWidth="1" min="9" max="9" width="10.67"/>
    <col customWidth="1" min="10" max="26" width="9.0"/>
  </cols>
  <sheetData>
    <row r="1" ht="15.75" customHeight="1">
      <c r="A1" s="167" t="s">
        <v>250</v>
      </c>
      <c r="B1" s="167"/>
      <c r="C1" s="168"/>
      <c r="D1" s="167"/>
      <c r="E1" s="167"/>
      <c r="F1" s="169"/>
      <c r="G1" s="167"/>
      <c r="H1" s="167"/>
      <c r="I1" s="168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5.75" customHeight="1">
      <c r="A2" s="172">
        <v>2025.0</v>
      </c>
      <c r="B2" s="173" t="s">
        <v>252</v>
      </c>
      <c r="C2" s="174"/>
      <c r="D2" s="175">
        <f>+ ($A$2)</f>
        <v>2025</v>
      </c>
      <c r="E2" s="173" t="str">
        <f>+ ($B$2)</f>
        <v>CONSUMO GAS</v>
      </c>
      <c r="F2" s="176"/>
      <c r="G2" s="172">
        <f>+ ($A$2)</f>
        <v>2025</v>
      </c>
      <c r="H2" s="173" t="str">
        <f>+ ($B$2)</f>
        <v>CONSUMO GAS</v>
      </c>
      <c r="I2" s="1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77"/>
      <c r="B3" s="178" t="s">
        <v>253</v>
      </c>
      <c r="C3" s="179"/>
      <c r="D3" s="177"/>
      <c r="E3" s="178" t="str">
        <f>$B$3</f>
        <v>31 Ene 25 - 3 Mar 25</v>
      </c>
      <c r="F3" s="180"/>
      <c r="G3" s="177"/>
      <c r="H3" s="178" t="str">
        <f>$B$3</f>
        <v>31 Ene 25 - 3 Mar 25</v>
      </c>
      <c r="I3" s="17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81" t="s">
        <v>254</v>
      </c>
      <c r="B4" s="183"/>
      <c r="C4" s="184"/>
      <c r="D4" s="181" t="s">
        <v>254</v>
      </c>
      <c r="E4" s="183"/>
      <c r="F4" s="185"/>
      <c r="G4" s="181" t="s">
        <v>254</v>
      </c>
      <c r="H4" s="183"/>
      <c r="I4" s="184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5.75" customHeight="1">
      <c r="A5" s="47" t="s">
        <v>57</v>
      </c>
      <c r="B5" s="51">
        <f>'Calculo Gas'!$C44</f>
        <v>1002</v>
      </c>
      <c r="C5" s="184"/>
      <c r="D5" s="47" t="s">
        <v>57</v>
      </c>
      <c r="E5" s="51">
        <f>'Calculo Gas'!$C19</f>
        <v>402</v>
      </c>
      <c r="F5" s="185"/>
      <c r="G5" s="47" t="s">
        <v>57</v>
      </c>
      <c r="H5" s="51">
        <f>'Calculo Gas'!$C38</f>
        <v>801</v>
      </c>
      <c r="I5" s="18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47" t="s">
        <v>67</v>
      </c>
      <c r="B6" s="188">
        <f>'Calculo Gas'!$E44</f>
        <v>2034091</v>
      </c>
      <c r="C6" s="184"/>
      <c r="D6" s="47" t="s">
        <v>67</v>
      </c>
      <c r="E6" s="188">
        <f>'Calculo Gas'!$E19</f>
        <v>2034057</v>
      </c>
      <c r="F6" s="185"/>
      <c r="G6" s="47" t="s">
        <v>67</v>
      </c>
      <c r="H6" s="188">
        <f>'Calculo Gas'!$E38</f>
        <v>2034023</v>
      </c>
      <c r="I6" s="18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1"/>
      <c r="B7" s="189"/>
      <c r="C7" s="184"/>
      <c r="D7" s="181"/>
      <c r="E7" s="189"/>
      <c r="F7" s="185"/>
      <c r="G7" s="181"/>
      <c r="H7" s="189"/>
      <c r="I7" s="18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90" t="s">
        <v>256</v>
      </c>
      <c r="C8" s="191">
        <f>'Calculo Gas'!$A44</f>
        <v>48.7</v>
      </c>
      <c r="D8" s="190" t="s">
        <v>256</v>
      </c>
      <c r="F8" s="191">
        <f>'Calculo Gas'!$A19</f>
        <v>9.5</v>
      </c>
      <c r="G8" s="190" t="s">
        <v>256</v>
      </c>
      <c r="I8" s="192">
        <f>'Calculo Gas'!$A38</f>
        <v>114.1</v>
      </c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</row>
    <row r="9" ht="15.75" customHeight="1">
      <c r="A9" s="194"/>
      <c r="B9" s="195"/>
      <c r="C9" s="196"/>
      <c r="D9" s="197"/>
      <c r="E9" s="195"/>
      <c r="F9" s="198"/>
      <c r="G9" s="197"/>
      <c r="H9" s="195"/>
      <c r="I9" s="19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72">
        <f>+ ($A$2)</f>
        <v>2025</v>
      </c>
      <c r="B10" s="173" t="str">
        <f>+ ($B$2)</f>
        <v>CONSUMO GAS</v>
      </c>
      <c r="C10" s="174"/>
      <c r="D10" s="175">
        <f>+ ($A$2)</f>
        <v>2025</v>
      </c>
      <c r="E10" s="173" t="str">
        <f>+ ($B$2)</f>
        <v>CONSUMO GAS</v>
      </c>
      <c r="F10" s="176"/>
      <c r="G10" s="172">
        <f>+ ($A$2)</f>
        <v>2025</v>
      </c>
      <c r="H10" s="173" t="str">
        <f>+ ($B$2)</f>
        <v>CONSUMO GAS</v>
      </c>
      <c r="I10" s="17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77"/>
      <c r="B11" s="178" t="str">
        <f>$B$3</f>
        <v>31 Ene 25 - 3 Mar 25</v>
      </c>
      <c r="C11" s="179"/>
      <c r="D11" s="177"/>
      <c r="E11" s="178" t="str">
        <f>$B$3</f>
        <v>31 Ene 25 - 3 Mar 25</v>
      </c>
      <c r="F11" s="180"/>
      <c r="G11" s="177"/>
      <c r="H11" s="178" t="str">
        <f>$B$3</f>
        <v>31 Ene 25 - 3 Mar 25</v>
      </c>
      <c r="I11" s="17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81" t="s">
        <v>254</v>
      </c>
      <c r="B12" s="183"/>
      <c r="C12" s="184"/>
      <c r="D12" s="181" t="s">
        <v>254</v>
      </c>
      <c r="E12" s="183"/>
      <c r="F12" s="185"/>
      <c r="G12" s="181" t="s">
        <v>254</v>
      </c>
      <c r="H12" s="183"/>
      <c r="I12" s="184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5.75" customHeight="1">
      <c r="A13" s="47" t="s">
        <v>57</v>
      </c>
      <c r="B13" s="51">
        <f>'Calculo Gas'!$C56</f>
        <v>1401</v>
      </c>
      <c r="C13" s="184"/>
      <c r="D13" s="47" t="s">
        <v>57</v>
      </c>
      <c r="E13" s="51">
        <f>'Calculo Gas'!$C31</f>
        <v>602</v>
      </c>
      <c r="F13" s="185"/>
      <c r="G13" s="47" t="s">
        <v>57</v>
      </c>
      <c r="H13" s="51">
        <f>'Calculo Gas'!$C29</f>
        <v>506</v>
      </c>
      <c r="I13" s="18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47" t="s">
        <v>67</v>
      </c>
      <c r="B14" s="188">
        <f>'Calculo Gas'!$E56</f>
        <v>2034061</v>
      </c>
      <c r="C14" s="184"/>
      <c r="D14" s="47" t="s">
        <v>67</v>
      </c>
      <c r="E14" s="208" t="str">
        <f>'Calculo Gas'!$E31</f>
        <v>GA202101900062</v>
      </c>
      <c r="F14" s="185"/>
      <c r="G14" s="47" t="s">
        <v>67</v>
      </c>
      <c r="H14" s="188">
        <f>'Calculo Gas'!$E29</f>
        <v>2034045</v>
      </c>
      <c r="I14" s="18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81"/>
      <c r="B15" s="189"/>
      <c r="C15" s="184"/>
      <c r="D15" s="181"/>
      <c r="E15" s="189"/>
      <c r="F15" s="185"/>
      <c r="G15" s="181"/>
      <c r="H15" s="189"/>
      <c r="I15" s="18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90" t="s">
        <v>256</v>
      </c>
      <c r="C16" s="191">
        <f>'Calculo Gas'!$A56</f>
        <v>0</v>
      </c>
      <c r="D16" s="190" t="s">
        <v>256</v>
      </c>
      <c r="F16" s="191">
        <f>'Calculo Gas'!$A31</f>
        <v>114.8</v>
      </c>
      <c r="G16" s="190" t="s">
        <v>256</v>
      </c>
      <c r="I16" s="192">
        <f>'Calculo Gas'!$A29</f>
        <v>14.7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97"/>
      <c r="B17" s="195"/>
      <c r="C17" s="196"/>
      <c r="D17" s="197"/>
      <c r="E17" s="195"/>
      <c r="F17" s="198"/>
      <c r="G17" s="197"/>
      <c r="H17" s="195"/>
      <c r="I17" s="19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72">
        <f>+ ($A$2)</f>
        <v>2025</v>
      </c>
      <c r="B18" s="173" t="str">
        <f>+ ($B$2)</f>
        <v>CONSUMO GAS</v>
      </c>
      <c r="C18" s="174"/>
      <c r="D18" s="175">
        <f>+ ($A$2)</f>
        <v>2025</v>
      </c>
      <c r="E18" s="173" t="str">
        <f>+ ($B$2)</f>
        <v>CONSUMO GAS</v>
      </c>
      <c r="F18" s="176"/>
      <c r="G18" s="172">
        <f>+ ($A$2)</f>
        <v>2025</v>
      </c>
      <c r="H18" s="173" t="str">
        <f>+ ($B$2)</f>
        <v>CONSUMO GAS</v>
      </c>
      <c r="I18" s="17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77"/>
      <c r="B19" s="178" t="str">
        <f>$B$3</f>
        <v>31 Ene 25 - 3 Mar 25</v>
      </c>
      <c r="C19" s="179"/>
      <c r="D19" s="177"/>
      <c r="E19" s="178" t="str">
        <f>$B$3</f>
        <v>31 Ene 25 - 3 Mar 25</v>
      </c>
      <c r="F19" s="180"/>
      <c r="G19" s="177"/>
      <c r="H19" s="178" t="str">
        <f>$B$3</f>
        <v>31 Ene 25 - 3 Mar 25</v>
      </c>
      <c r="I19" s="17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81" t="s">
        <v>254</v>
      </c>
      <c r="B20" s="183"/>
      <c r="C20" s="184"/>
      <c r="D20" s="181" t="s">
        <v>254</v>
      </c>
      <c r="E20" s="183"/>
      <c r="F20" s="185"/>
      <c r="G20" s="181" t="s">
        <v>254</v>
      </c>
      <c r="H20" s="183"/>
      <c r="I20" s="184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15.75" customHeight="1">
      <c r="A21" s="47" t="s">
        <v>57</v>
      </c>
      <c r="B21" s="51">
        <f>'Calculo Gas'!$C51</f>
        <v>1202</v>
      </c>
      <c r="C21" s="184"/>
      <c r="D21" s="47" t="s">
        <v>57</v>
      </c>
      <c r="E21" s="51">
        <f>'Calculo Gas'!$C46</f>
        <v>1003</v>
      </c>
      <c r="F21" s="185"/>
      <c r="G21" s="47" t="s">
        <v>57</v>
      </c>
      <c r="H21" s="51">
        <f>'Calculo Gas'!$C15</f>
        <v>303</v>
      </c>
      <c r="I21" s="18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7" t="s">
        <v>67</v>
      </c>
      <c r="B22" s="188">
        <f>'Calculo Gas'!$E51</f>
        <v>2034076</v>
      </c>
      <c r="C22" s="184"/>
      <c r="D22" s="47" t="s">
        <v>67</v>
      </c>
      <c r="E22" s="188">
        <f>'Calculo Gas'!$E46</f>
        <v>2034021</v>
      </c>
      <c r="F22" s="185"/>
      <c r="G22" s="47" t="s">
        <v>67</v>
      </c>
      <c r="H22" s="188">
        <f>'Calculo Gas'!$E15</f>
        <v>2034065</v>
      </c>
      <c r="I22" s="18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81"/>
      <c r="B23" s="189"/>
      <c r="C23" s="184"/>
      <c r="D23" s="181"/>
      <c r="E23" s="189"/>
      <c r="F23" s="185"/>
      <c r="G23" s="181"/>
      <c r="H23" s="189"/>
      <c r="I23" s="18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90" t="s">
        <v>256</v>
      </c>
      <c r="C24" s="191">
        <f>'Calculo Gas'!$A51</f>
        <v>0</v>
      </c>
      <c r="D24" s="190" t="s">
        <v>256</v>
      </c>
      <c r="F24" s="191">
        <f>'Calculo Gas'!$A46</f>
        <v>0</v>
      </c>
      <c r="G24" s="190" t="s">
        <v>256</v>
      </c>
      <c r="I24" s="192">
        <f>'Calculo Gas'!$A15</f>
        <v>26.2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94"/>
      <c r="B25" s="195"/>
      <c r="C25" s="196"/>
      <c r="D25" s="197"/>
      <c r="E25" s="195"/>
      <c r="F25" s="198"/>
      <c r="G25" s="197"/>
      <c r="H25" s="195"/>
      <c r="I25" s="19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72">
        <f>+ ($A$2)</f>
        <v>2025</v>
      </c>
      <c r="B26" s="173" t="str">
        <f>+ ($B$2)</f>
        <v>CONSUMO GAS</v>
      </c>
      <c r="C26" s="174"/>
      <c r="D26" s="175">
        <f>+ ($A$2)</f>
        <v>2025</v>
      </c>
      <c r="E26" s="173" t="str">
        <f>+ ($B$2)</f>
        <v>CONSUMO GAS</v>
      </c>
      <c r="F26" s="176"/>
      <c r="G26" s="175">
        <f>+ ($A$2)</f>
        <v>2025</v>
      </c>
      <c r="H26" s="173" t="str">
        <f>+ ($B$2)</f>
        <v>CONSUMO GAS</v>
      </c>
      <c r="I26" s="17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77"/>
      <c r="B27" s="178" t="str">
        <f>$B$3</f>
        <v>31 Ene 25 - 3 Mar 25</v>
      </c>
      <c r="C27" s="179"/>
      <c r="D27" s="177"/>
      <c r="E27" s="178" t="str">
        <f>$B$3</f>
        <v>31 Ene 25 - 3 Mar 25</v>
      </c>
      <c r="F27" s="180"/>
      <c r="G27" s="177"/>
      <c r="H27" s="178" t="str">
        <f>$B$3</f>
        <v>31 Ene 25 - 3 Mar 25</v>
      </c>
      <c r="I27" s="17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81" t="s">
        <v>254</v>
      </c>
      <c r="B28" s="183" t="s">
        <v>317</v>
      </c>
      <c r="C28" s="184"/>
      <c r="D28" s="181" t="s">
        <v>254</v>
      </c>
      <c r="E28" s="183" t="s">
        <v>318</v>
      </c>
      <c r="F28" s="185"/>
      <c r="G28" s="181" t="s">
        <v>254</v>
      </c>
      <c r="H28" s="183" t="s">
        <v>319</v>
      </c>
      <c r="I28" s="184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5.75" customHeight="1">
      <c r="A29" s="47" t="s">
        <v>57</v>
      </c>
      <c r="B29" s="51">
        <f>'Calculo Gas'!$C45</f>
        <v>1001</v>
      </c>
      <c r="C29" s="184"/>
      <c r="D29" s="47" t="s">
        <v>57</v>
      </c>
      <c r="E29" s="51">
        <f>'Calculo Gas'!$C35</f>
        <v>702</v>
      </c>
      <c r="F29" s="185"/>
      <c r="G29" s="47" t="s">
        <v>57</v>
      </c>
      <c r="H29" s="51">
        <f>'Calculo Gas'!$C41</f>
        <v>901</v>
      </c>
      <c r="I29" s="18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7" t="s">
        <v>67</v>
      </c>
      <c r="B30" s="188">
        <f>'Calculo Gas'!$E45</f>
        <v>2034086</v>
      </c>
      <c r="C30" s="184"/>
      <c r="D30" s="47" t="s">
        <v>67</v>
      </c>
      <c r="E30" s="188">
        <f>'Calculo Gas'!$E35</f>
        <v>2034075</v>
      </c>
      <c r="F30" s="185"/>
      <c r="G30" s="47" t="s">
        <v>67</v>
      </c>
      <c r="H30" s="188">
        <f>'Calculo Gas'!$E41</f>
        <v>2033963</v>
      </c>
      <c r="I30" s="18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81"/>
      <c r="B31" s="189"/>
      <c r="C31" s="184"/>
      <c r="D31" s="181"/>
      <c r="E31" s="189"/>
      <c r="F31" s="185"/>
      <c r="G31" s="181"/>
      <c r="H31" s="189"/>
      <c r="I31" s="18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81"/>
      <c r="B32" s="189"/>
      <c r="C32" s="184"/>
      <c r="D32" s="181"/>
      <c r="E32" s="189"/>
      <c r="F32" s="185"/>
      <c r="G32" s="181"/>
      <c r="H32" s="189"/>
      <c r="I32" s="18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90" t="s">
        <v>256</v>
      </c>
      <c r="C33" s="191">
        <f>'Calculo Gas'!$A45</f>
        <v>185.3</v>
      </c>
      <c r="D33" s="190" t="s">
        <v>256</v>
      </c>
      <c r="F33" s="191">
        <f>'Calculo Gas'!$A35</f>
        <v>21.1</v>
      </c>
      <c r="G33" s="190" t="s">
        <v>256</v>
      </c>
      <c r="I33" s="192">
        <f>'Calculo Gas'!$A41</f>
        <v>153.7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97"/>
      <c r="B34" s="195"/>
      <c r="C34" s="196"/>
      <c r="D34" s="197"/>
      <c r="E34" s="195"/>
      <c r="F34" s="198"/>
      <c r="G34" s="197"/>
      <c r="H34" s="195"/>
      <c r="I34" s="19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49" t="s">
        <v>320</v>
      </c>
      <c r="B35" s="167"/>
      <c r="C35" s="250"/>
      <c r="D35" s="251"/>
      <c r="E35" s="167"/>
      <c r="F35" s="252"/>
      <c r="G35" s="251"/>
      <c r="H35" s="167"/>
      <c r="I35" s="25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172">
        <f>+ ($A$2)</f>
        <v>2025</v>
      </c>
      <c r="B36" s="173" t="str">
        <f>+ ($B$2)</f>
        <v>CONSUMO GAS</v>
      </c>
      <c r="C36" s="174"/>
      <c r="D36" s="175">
        <f>+ ($A$2)</f>
        <v>2025</v>
      </c>
      <c r="E36" s="173" t="str">
        <f>+ ($B$2)</f>
        <v>CONSUMO GAS</v>
      </c>
      <c r="F36" s="176"/>
      <c r="G36" s="175">
        <f>+ ($A$2)</f>
        <v>2025</v>
      </c>
      <c r="H36" s="173" t="str">
        <f>+ ($B$2)</f>
        <v>CONSUMO GAS</v>
      </c>
      <c r="I36" s="17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77"/>
      <c r="B37" s="178" t="str">
        <f>$B$3</f>
        <v>31 Ene 25 - 3 Mar 25</v>
      </c>
      <c r="C37" s="179"/>
      <c r="D37" s="177"/>
      <c r="E37" s="178" t="str">
        <f>$B$3</f>
        <v>31 Ene 25 - 3 Mar 25</v>
      </c>
      <c r="F37" s="180"/>
      <c r="G37" s="177"/>
      <c r="H37" s="178" t="str">
        <f>$B$3</f>
        <v>31 Ene 25 - 3 Mar 25</v>
      </c>
      <c r="I37" s="17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81" t="s">
        <v>254</v>
      </c>
      <c r="B38" s="183" t="s">
        <v>321</v>
      </c>
      <c r="C38" s="184"/>
      <c r="D38" s="181" t="s">
        <v>254</v>
      </c>
      <c r="E38" s="183" t="s">
        <v>322</v>
      </c>
      <c r="F38" s="185"/>
      <c r="G38" s="181" t="s">
        <v>254</v>
      </c>
      <c r="H38" s="183" t="s">
        <v>323</v>
      </c>
      <c r="I38" s="184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15.75" customHeight="1">
      <c r="A39" s="47" t="s">
        <v>57</v>
      </c>
      <c r="B39" s="51">
        <f>'Calculo Gas'!$C25</f>
        <v>502</v>
      </c>
      <c r="C39" s="184"/>
      <c r="D39" s="47" t="s">
        <v>57</v>
      </c>
      <c r="E39" s="51">
        <f>'Calculo Gas'!$C59</f>
        <v>1501</v>
      </c>
      <c r="F39" s="185"/>
      <c r="G39" s="47" t="s">
        <v>57</v>
      </c>
      <c r="H39" s="51">
        <f>'Calculo Gas'!$C55</f>
        <v>1303</v>
      </c>
      <c r="I39" s="18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7" t="s">
        <v>67</v>
      </c>
      <c r="B40" s="188">
        <f>'Calculo Gas'!$E25</f>
        <v>2034055</v>
      </c>
      <c r="C40" s="184"/>
      <c r="D40" s="47" t="s">
        <v>67</v>
      </c>
      <c r="E40" s="188">
        <f>'Calculo Gas'!$E59</f>
        <v>2034064</v>
      </c>
      <c r="F40" s="185"/>
      <c r="G40" s="47" t="s">
        <v>67</v>
      </c>
      <c r="H40" s="188">
        <f>'Calculo Gas'!$E55</f>
        <v>2034067</v>
      </c>
      <c r="I40" s="18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81"/>
      <c r="B41" s="189"/>
      <c r="C41" s="184"/>
      <c r="D41" s="181"/>
      <c r="E41" s="189"/>
      <c r="F41" s="185"/>
      <c r="G41" s="181"/>
      <c r="H41" s="189"/>
      <c r="I41" s="18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81"/>
      <c r="B42" s="189"/>
      <c r="C42" s="184"/>
      <c r="D42" s="181"/>
      <c r="E42" s="189"/>
      <c r="F42" s="185"/>
      <c r="G42" s="181"/>
      <c r="H42" s="189"/>
      <c r="I42" s="18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90" t="s">
        <v>256</v>
      </c>
      <c r="C43" s="191">
        <f>'Calculo Gas'!$A25</f>
        <v>26.7</v>
      </c>
      <c r="D43" s="190" t="s">
        <v>256</v>
      </c>
      <c r="F43" s="191">
        <f>'Calculo Gas'!$A59</f>
        <v>0</v>
      </c>
      <c r="G43" s="190" t="s">
        <v>256</v>
      </c>
      <c r="I43" s="192">
        <f>'Calculo Gas'!$A55</f>
        <v>49.5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94"/>
      <c r="B44" s="195"/>
      <c r="C44" s="196"/>
      <c r="D44" s="197"/>
      <c r="E44" s="195"/>
      <c r="F44" s="198"/>
      <c r="G44" s="197"/>
      <c r="H44" s="195"/>
      <c r="I44" s="19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72">
        <f>+ ($A$2)</f>
        <v>2025</v>
      </c>
      <c r="B45" s="173" t="str">
        <f>+ ($B$2)</f>
        <v>CONSUMO GAS</v>
      </c>
      <c r="C45" s="174"/>
      <c r="D45" s="175">
        <f>+ ($A$2)</f>
        <v>2025</v>
      </c>
      <c r="E45" s="173" t="str">
        <f>+ ($B$2)</f>
        <v>CONSUMO GAS</v>
      </c>
      <c r="F45" s="176"/>
      <c r="G45" s="175">
        <f>+ ($A$2)</f>
        <v>2025</v>
      </c>
      <c r="H45" s="173" t="str">
        <f>+ ($B$2)</f>
        <v>CONSUMO GAS</v>
      </c>
      <c r="I45" s="17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77"/>
      <c r="B46" s="178" t="str">
        <f>$B$3</f>
        <v>31 Ene 25 - 3 Mar 25</v>
      </c>
      <c r="C46" s="179"/>
      <c r="D46" s="177"/>
      <c r="E46" s="178" t="str">
        <f>$B$3</f>
        <v>31 Ene 25 - 3 Mar 25</v>
      </c>
      <c r="F46" s="180"/>
      <c r="G46" s="177"/>
      <c r="H46" s="178" t="str">
        <f>$B$3</f>
        <v>31 Ene 25 - 3 Mar 25</v>
      </c>
      <c r="I46" s="17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81" t="s">
        <v>254</v>
      </c>
      <c r="B47" s="183" t="s">
        <v>325</v>
      </c>
      <c r="C47" s="184"/>
      <c r="D47" s="181" t="s">
        <v>254</v>
      </c>
      <c r="E47" s="183" t="s">
        <v>326</v>
      </c>
      <c r="F47" s="185"/>
      <c r="G47" s="181" t="s">
        <v>254</v>
      </c>
      <c r="H47" s="183" t="s">
        <v>327</v>
      </c>
      <c r="I47" s="184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5.75" customHeight="1">
      <c r="A48" s="47" t="s">
        <v>57</v>
      </c>
      <c r="B48" s="51">
        <f>'Calculo Gas'!$C12</f>
        <v>301</v>
      </c>
      <c r="C48" s="184"/>
      <c r="D48" s="47" t="s">
        <v>57</v>
      </c>
      <c r="E48" s="51">
        <f>'Calculo Gas'!$C21</f>
        <v>404</v>
      </c>
      <c r="F48" s="185"/>
      <c r="G48" s="47" t="s">
        <v>57</v>
      </c>
      <c r="H48" s="51">
        <f>'Calculo Gas'!$C49</f>
        <v>1103</v>
      </c>
      <c r="I48" s="18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7" t="s">
        <v>67</v>
      </c>
      <c r="B49" s="188">
        <f>'Calculo Gas'!$E12</f>
        <v>2033964</v>
      </c>
      <c r="C49" s="184"/>
      <c r="D49" s="47" t="s">
        <v>67</v>
      </c>
      <c r="E49" s="188">
        <f>'Calculo Gas'!$E21</f>
        <v>2034042</v>
      </c>
      <c r="F49" s="185"/>
      <c r="G49" s="47" t="s">
        <v>67</v>
      </c>
      <c r="H49" s="188" t="str">
        <f>'Calculo Gas'!$E49</f>
        <v>GA202101900060</v>
      </c>
      <c r="I49" s="18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81"/>
      <c r="B50" s="189"/>
      <c r="C50" s="184"/>
      <c r="D50" s="181"/>
      <c r="E50" s="189"/>
      <c r="F50" s="185"/>
      <c r="G50" s="181"/>
      <c r="H50" s="189"/>
      <c r="I50" s="18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81"/>
      <c r="B51" s="189"/>
      <c r="C51" s="184"/>
      <c r="D51" s="181"/>
      <c r="E51" s="189"/>
      <c r="F51" s="185"/>
      <c r="G51" s="181"/>
      <c r="H51" s="189"/>
      <c r="I51" s="18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90" t="s">
        <v>256</v>
      </c>
      <c r="C52" s="191">
        <f>'Calculo Gas'!$A12</f>
        <v>0</v>
      </c>
      <c r="D52" s="190" t="s">
        <v>256</v>
      </c>
      <c r="F52" s="191">
        <f>'Calculo Gas'!$A21</f>
        <v>40</v>
      </c>
      <c r="G52" s="190" t="s">
        <v>256</v>
      </c>
      <c r="I52" s="192">
        <f>'Calculo Gas'!$A49</f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97"/>
      <c r="B53" s="195"/>
      <c r="C53" s="196"/>
      <c r="D53" s="197"/>
      <c r="E53" s="195"/>
      <c r="F53" s="198"/>
      <c r="G53" s="197"/>
      <c r="H53" s="195"/>
      <c r="I53" s="19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72">
        <f>+ ($A$2)</f>
        <v>2025</v>
      </c>
      <c r="B54" s="173" t="str">
        <f>+ ($B$2)</f>
        <v>CONSUMO GAS</v>
      </c>
      <c r="C54" s="174"/>
      <c r="D54" s="175">
        <f>+ ($A$2)</f>
        <v>2025</v>
      </c>
      <c r="E54" s="173" t="str">
        <f>+ ($B$2)</f>
        <v>CONSUMO GAS</v>
      </c>
      <c r="F54" s="176"/>
      <c r="G54" s="175">
        <f>+ ($A$2)</f>
        <v>2025</v>
      </c>
      <c r="H54" s="173" t="str">
        <f>+ ($B$2)</f>
        <v>CONSUMO GAS</v>
      </c>
      <c r="I54" s="17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77"/>
      <c r="B55" s="178" t="str">
        <f>$B$3</f>
        <v>31 Ene 25 - 3 Mar 25</v>
      </c>
      <c r="C55" s="179"/>
      <c r="D55" s="177"/>
      <c r="E55" s="178" t="str">
        <f>$B$3</f>
        <v>31 Ene 25 - 3 Mar 25</v>
      </c>
      <c r="F55" s="180"/>
      <c r="G55" s="177"/>
      <c r="H55" s="178" t="str">
        <f>$B$3</f>
        <v>31 Ene 25 - 3 Mar 25</v>
      </c>
      <c r="I55" s="17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81" t="s">
        <v>254</v>
      </c>
      <c r="B56" s="183" t="s">
        <v>329</v>
      </c>
      <c r="C56" s="184"/>
      <c r="D56" s="181" t="s">
        <v>254</v>
      </c>
      <c r="E56" s="183" t="s">
        <v>330</v>
      </c>
      <c r="F56" s="185"/>
      <c r="G56" s="181" t="s">
        <v>254</v>
      </c>
      <c r="H56" s="183"/>
      <c r="I56" s="184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5.75" customHeight="1">
      <c r="A57" s="47" t="s">
        <v>57</v>
      </c>
      <c r="B57" s="51">
        <f>'Calculo Gas'!$C65</f>
        <v>1702</v>
      </c>
      <c r="C57" s="184"/>
      <c r="D57" s="47" t="s">
        <v>57</v>
      </c>
      <c r="E57" s="51">
        <f>'Calculo Gas'!$C32</f>
        <v>603</v>
      </c>
      <c r="F57" s="185"/>
      <c r="G57" s="47" t="s">
        <v>57</v>
      </c>
      <c r="H57" s="51">
        <f>'Calculo Gas'!$C22</f>
        <v>405</v>
      </c>
      <c r="I57" s="18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47" t="s">
        <v>67</v>
      </c>
      <c r="B58" s="188">
        <f>'Calculo Gas'!$E65</f>
        <v>2034081</v>
      </c>
      <c r="C58" s="184"/>
      <c r="D58" s="47" t="s">
        <v>67</v>
      </c>
      <c r="E58" s="188">
        <f>'Calculo Gas'!$E32</f>
        <v>2034072</v>
      </c>
      <c r="F58" s="185"/>
      <c r="G58" s="47" t="s">
        <v>67</v>
      </c>
      <c r="H58" s="188">
        <f>'Calculo Gas'!$E22</f>
        <v>2034046</v>
      </c>
      <c r="I58" s="18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81"/>
      <c r="B59" s="189"/>
      <c r="C59" s="184"/>
      <c r="D59" s="181"/>
      <c r="E59" s="189"/>
      <c r="F59" s="185"/>
      <c r="G59" s="181"/>
      <c r="H59" s="189"/>
      <c r="I59" s="18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81"/>
      <c r="B60" s="189"/>
      <c r="C60" s="184"/>
      <c r="D60" s="181"/>
      <c r="E60" s="189"/>
      <c r="F60" s="185"/>
      <c r="G60" s="181"/>
      <c r="H60" s="189"/>
      <c r="I60" s="18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90" t="s">
        <v>256</v>
      </c>
      <c r="C61" s="191">
        <f>'Calculo Gas'!$A65</f>
        <v>26.9</v>
      </c>
      <c r="D61" s="190" t="s">
        <v>256</v>
      </c>
      <c r="F61" s="191">
        <f>'Calculo Gas'!$A32</f>
        <v>141.8</v>
      </c>
      <c r="G61" s="190" t="s">
        <v>256</v>
      </c>
      <c r="I61" s="192">
        <f>'Calculo Gas'!$A22</f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94"/>
      <c r="B62" s="195"/>
      <c r="C62" s="196"/>
      <c r="D62" s="197"/>
      <c r="E62" s="195"/>
      <c r="F62" s="198"/>
      <c r="G62" s="197"/>
      <c r="H62" s="195"/>
      <c r="I62" s="19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72">
        <f>+ ($A$2)</f>
        <v>2025</v>
      </c>
      <c r="B63" s="173" t="str">
        <f>+ ($B$2)</f>
        <v>CONSUMO GAS</v>
      </c>
      <c r="C63" s="174"/>
      <c r="D63" s="175">
        <f>+ ($A$2)</f>
        <v>2025</v>
      </c>
      <c r="E63" s="173" t="str">
        <f>+ ($B$2)</f>
        <v>CONSUMO GAS</v>
      </c>
      <c r="F63" s="176"/>
      <c r="G63" s="175">
        <f>+ ($A$2)</f>
        <v>2025</v>
      </c>
      <c r="H63" s="173" t="str">
        <f>+ ($B$2)</f>
        <v>CONSUMO GAS</v>
      </c>
      <c r="I63" s="17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77"/>
      <c r="B64" s="178" t="str">
        <f>$B$3</f>
        <v>31 Ene 25 - 3 Mar 25</v>
      </c>
      <c r="C64" s="179"/>
      <c r="D64" s="177"/>
      <c r="E64" s="178" t="str">
        <f>$B$3</f>
        <v>31 Ene 25 - 3 Mar 25</v>
      </c>
      <c r="F64" s="180"/>
      <c r="G64" s="177"/>
      <c r="H64" s="178" t="str">
        <f>$B$3</f>
        <v>31 Ene 25 - 3 Mar 25</v>
      </c>
      <c r="I64" s="17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81" t="s">
        <v>254</v>
      </c>
      <c r="B65" s="183" t="s">
        <v>334</v>
      </c>
      <c r="C65" s="184"/>
      <c r="D65" s="181" t="s">
        <v>254</v>
      </c>
      <c r="E65" s="183" t="s">
        <v>335</v>
      </c>
      <c r="F65" s="185"/>
      <c r="G65" s="181" t="s">
        <v>254</v>
      </c>
      <c r="H65" s="183"/>
      <c r="I65" s="184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5.75" customHeight="1">
      <c r="A66" s="47" t="s">
        <v>57</v>
      </c>
      <c r="B66" s="51">
        <f>'Calculo Gas'!$C16</f>
        <v>304</v>
      </c>
      <c r="C66" s="184"/>
      <c r="D66" s="47" t="s">
        <v>57</v>
      </c>
      <c r="E66" s="51">
        <f>'Calculo Gas'!$C17</f>
        <v>305</v>
      </c>
      <c r="F66" s="185"/>
      <c r="G66" s="47" t="s">
        <v>57</v>
      </c>
      <c r="H66" s="51">
        <f>'Calculo Gas'!$C54</f>
        <v>1302</v>
      </c>
      <c r="I66" s="18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7" t="s">
        <v>67</v>
      </c>
      <c r="B67" s="188">
        <f>'Calculo Gas'!$E16</f>
        <v>2034043</v>
      </c>
      <c r="C67" s="184"/>
      <c r="D67" s="47" t="s">
        <v>67</v>
      </c>
      <c r="E67" s="188">
        <f>'Calculo Gas'!$E17</f>
        <v>2034044</v>
      </c>
      <c r="F67" s="185"/>
      <c r="G67" s="47" t="s">
        <v>67</v>
      </c>
      <c r="H67" s="188">
        <f>'Calculo Gas'!$E54</f>
        <v>2034066</v>
      </c>
      <c r="I67" s="18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81"/>
      <c r="B68" s="189"/>
      <c r="C68" s="184"/>
      <c r="D68" s="181"/>
      <c r="E68" s="189"/>
      <c r="F68" s="185"/>
      <c r="G68" s="181"/>
      <c r="H68" s="189"/>
      <c r="I68" s="18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81"/>
      <c r="B69" s="189"/>
      <c r="C69" s="184"/>
      <c r="D69" s="181"/>
      <c r="E69" s="189"/>
      <c r="F69" s="185"/>
      <c r="G69" s="181"/>
      <c r="H69" s="189"/>
      <c r="I69" s="18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90" t="s">
        <v>256</v>
      </c>
      <c r="C70" s="191">
        <f>'Calculo Gas'!$A16</f>
        <v>29.8</v>
      </c>
      <c r="D70" s="190" t="s">
        <v>256</v>
      </c>
      <c r="F70" s="191">
        <f>'Calculo Gas'!$A17</f>
        <v>0</v>
      </c>
      <c r="G70" s="190" t="s">
        <v>256</v>
      </c>
      <c r="I70" s="192">
        <f>'Calculo Gas'!$A54</f>
        <v>34.2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97"/>
      <c r="B71" s="195"/>
      <c r="C71" s="196"/>
      <c r="D71" s="197"/>
      <c r="E71" s="195"/>
      <c r="F71" s="198"/>
      <c r="G71" s="197"/>
      <c r="H71" s="195"/>
      <c r="I71" s="19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51" t="s">
        <v>338</v>
      </c>
      <c r="B72" s="167"/>
      <c r="C72" s="250"/>
      <c r="D72" s="251"/>
      <c r="E72" s="167"/>
      <c r="F72" s="252"/>
      <c r="G72" s="251"/>
      <c r="H72" s="167"/>
      <c r="I72" s="25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172">
        <f>+ ($A$2)</f>
        <v>2025</v>
      </c>
      <c r="B73" s="173" t="str">
        <f>+ ($B$2)</f>
        <v>CONSUMO GAS</v>
      </c>
      <c r="C73" s="174"/>
      <c r="D73" s="175">
        <f>+ ($A$2)</f>
        <v>2025</v>
      </c>
      <c r="E73" s="173" t="str">
        <f>+ ($B$2)</f>
        <v>CONSUMO GAS</v>
      </c>
      <c r="F73" s="176"/>
      <c r="G73" s="175">
        <f>+ ($A$2)</f>
        <v>2025</v>
      </c>
      <c r="H73" s="173" t="str">
        <f>+ ($B$2)</f>
        <v>CONSUMO GAS</v>
      </c>
      <c r="I73" s="17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77"/>
      <c r="B74" s="178" t="str">
        <f>$B$3</f>
        <v>31 Ene 25 - 3 Mar 25</v>
      </c>
      <c r="C74" s="179"/>
      <c r="D74" s="177"/>
      <c r="E74" s="178" t="str">
        <f>$B$3</f>
        <v>31 Ene 25 - 3 Mar 25</v>
      </c>
      <c r="F74" s="180"/>
      <c r="G74" s="177"/>
      <c r="H74" s="178" t="str">
        <f>$B$3</f>
        <v>31 Ene 25 - 3 Mar 25</v>
      </c>
      <c r="I74" s="17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81" t="s">
        <v>254</v>
      </c>
      <c r="B75" s="183" t="s">
        <v>339</v>
      </c>
      <c r="C75" s="184"/>
      <c r="D75" s="181" t="s">
        <v>254</v>
      </c>
      <c r="E75" s="183" t="s">
        <v>340</v>
      </c>
      <c r="F75" s="185"/>
      <c r="G75" s="181" t="s">
        <v>254</v>
      </c>
      <c r="H75" s="183" t="s">
        <v>341</v>
      </c>
      <c r="I75" s="184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15.75" customHeight="1">
      <c r="A76" s="47" t="s">
        <v>57</v>
      </c>
      <c r="B76" s="51">
        <f>'Calculo Gas'!$C36</f>
        <v>703</v>
      </c>
      <c r="C76" s="184"/>
      <c r="D76" s="47" t="s">
        <v>57</v>
      </c>
      <c r="E76" s="51">
        <f>'Calculo Gas'!$C60</f>
        <v>1502</v>
      </c>
      <c r="F76" s="185"/>
      <c r="G76" s="47" t="s">
        <v>57</v>
      </c>
      <c r="H76" s="51">
        <f>'Calculo Gas'!$C52</f>
        <v>1203</v>
      </c>
      <c r="I76" s="18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7" t="s">
        <v>67</v>
      </c>
      <c r="B77" s="188">
        <f>'Calculo Gas'!$E36</f>
        <v>2034079</v>
      </c>
      <c r="C77" s="184"/>
      <c r="D77" s="47" t="s">
        <v>67</v>
      </c>
      <c r="E77" s="188">
        <f>'Calculo Gas'!$E60</f>
        <v>2034078</v>
      </c>
      <c r="F77" s="185"/>
      <c r="G77" s="47" t="s">
        <v>67</v>
      </c>
      <c r="H77" s="188">
        <f>'Calculo Gas'!$E52</f>
        <v>2034077</v>
      </c>
      <c r="I77" s="18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81"/>
      <c r="B78" s="189"/>
      <c r="C78" s="184"/>
      <c r="D78" s="181"/>
      <c r="E78" s="189"/>
      <c r="F78" s="185"/>
      <c r="G78" s="181"/>
      <c r="H78" s="189"/>
      <c r="I78" s="18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81"/>
      <c r="B79" s="189"/>
      <c r="C79" s="184"/>
      <c r="D79" s="181"/>
      <c r="E79" s="189"/>
      <c r="F79" s="185"/>
      <c r="G79" s="181"/>
      <c r="H79" s="189"/>
      <c r="I79" s="18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90" t="s">
        <v>256</v>
      </c>
      <c r="C80" s="191">
        <f>'Calculo Gas'!$A36</f>
        <v>3.9</v>
      </c>
      <c r="D80" s="190" t="s">
        <v>256</v>
      </c>
      <c r="F80" s="191">
        <f>'Calculo Gas'!$A60</f>
        <v>50.7</v>
      </c>
      <c r="G80" s="190" t="s">
        <v>256</v>
      </c>
      <c r="I80" s="192">
        <f>'Calculo Gas'!$A52</f>
        <v>58.4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94"/>
      <c r="B81" s="195"/>
      <c r="C81" s="196"/>
      <c r="D81" s="197"/>
      <c r="E81" s="195"/>
      <c r="F81" s="198"/>
      <c r="G81" s="197"/>
      <c r="H81" s="195"/>
      <c r="I81" s="19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72">
        <f>+ ($A$2)</f>
        <v>2025</v>
      </c>
      <c r="B82" s="173" t="str">
        <f>+ ($B$2)</f>
        <v>CONSUMO GAS</v>
      </c>
      <c r="C82" s="174"/>
      <c r="D82" s="175">
        <f>+ ($A$2)</f>
        <v>2025</v>
      </c>
      <c r="E82" s="173" t="str">
        <f>+ ($B$2)</f>
        <v>CONSUMO GAS</v>
      </c>
      <c r="F82" s="176"/>
      <c r="G82" s="175">
        <f>+ ($A$2)</f>
        <v>2025</v>
      </c>
      <c r="H82" s="173" t="str">
        <f>+ ($B$2)</f>
        <v>CONSUMO GAS</v>
      </c>
      <c r="I82" s="17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77"/>
      <c r="B83" s="178" t="str">
        <f>$B$3</f>
        <v>31 Ene 25 - 3 Mar 25</v>
      </c>
      <c r="C83" s="179"/>
      <c r="D83" s="177"/>
      <c r="E83" s="178" t="str">
        <f>$B$3</f>
        <v>31 Ene 25 - 3 Mar 25</v>
      </c>
      <c r="F83" s="180"/>
      <c r="G83" s="177"/>
      <c r="H83" s="178" t="str">
        <f>$B$3</f>
        <v>31 Ene 25 - 3 Mar 25</v>
      </c>
      <c r="I83" s="17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81" t="s">
        <v>254</v>
      </c>
      <c r="B84" s="183" t="s">
        <v>344</v>
      </c>
      <c r="C84" s="184"/>
      <c r="D84" s="181" t="s">
        <v>254</v>
      </c>
      <c r="E84" s="183" t="s">
        <v>345</v>
      </c>
      <c r="F84" s="185"/>
      <c r="G84" s="181" t="s">
        <v>254</v>
      </c>
      <c r="H84" s="183" t="s">
        <v>346</v>
      </c>
      <c r="I84" s="184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15.75" customHeight="1">
      <c r="A85" s="47" t="s">
        <v>57</v>
      </c>
      <c r="B85" s="51">
        <f>'Calculo Gas'!$C8</f>
        <v>203</v>
      </c>
      <c r="C85" s="184"/>
      <c r="D85" s="47" t="s">
        <v>57</v>
      </c>
      <c r="E85" s="51">
        <f>'Calculo Gas'!$C58</f>
        <v>1403</v>
      </c>
      <c r="F85" s="185"/>
      <c r="G85" s="47" t="s">
        <v>57</v>
      </c>
      <c r="H85" s="51">
        <f>'Calculo Gas'!$C28</f>
        <v>505</v>
      </c>
      <c r="I85" s="18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7" t="s">
        <v>67</v>
      </c>
      <c r="B86" s="188">
        <f>'Calculo Gas'!$E8</f>
        <v>2034020</v>
      </c>
      <c r="C86" s="184"/>
      <c r="D86" s="47" t="s">
        <v>67</v>
      </c>
      <c r="E86" s="188">
        <f>'Calculo Gas'!$E58</f>
        <v>2034073</v>
      </c>
      <c r="F86" s="185"/>
      <c r="G86" s="47" t="s">
        <v>67</v>
      </c>
      <c r="H86" s="188">
        <f>'Calculo Gas'!$E28</f>
        <v>2034047</v>
      </c>
      <c r="I86" s="18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81"/>
      <c r="B87" s="189"/>
      <c r="C87" s="184"/>
      <c r="D87" s="181"/>
      <c r="E87" s="189"/>
      <c r="F87" s="185"/>
      <c r="G87" s="181"/>
      <c r="H87" s="189"/>
      <c r="I87" s="18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81"/>
      <c r="B88" s="189"/>
      <c r="C88" s="184"/>
      <c r="D88" s="181"/>
      <c r="E88" s="189"/>
      <c r="F88" s="185"/>
      <c r="G88" s="181"/>
      <c r="H88" s="189"/>
      <c r="I88" s="18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90" t="s">
        <v>256</v>
      </c>
      <c r="C89" s="191">
        <f>'Calculo Gas'!$A8</f>
        <v>0</v>
      </c>
      <c r="D89" s="190" t="s">
        <v>256</v>
      </c>
      <c r="F89" s="191">
        <f>'Calculo Gas'!$A58</f>
        <v>0</v>
      </c>
      <c r="G89" s="190" t="s">
        <v>256</v>
      </c>
      <c r="I89" s="192">
        <f>'Calculo Gas'!$A28</f>
        <v>99.4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97"/>
      <c r="B90" s="195"/>
      <c r="C90" s="196"/>
      <c r="D90" s="197"/>
      <c r="E90" s="195"/>
      <c r="F90" s="198"/>
      <c r="G90" s="197"/>
      <c r="H90" s="195"/>
      <c r="I90" s="19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72">
        <f>+ ($A$2)</f>
        <v>2025</v>
      </c>
      <c r="B91" s="173" t="str">
        <f>+ ($B$2)</f>
        <v>CONSUMO GAS</v>
      </c>
      <c r="C91" s="260"/>
      <c r="D91" s="175">
        <f>+ ($A$2)</f>
        <v>2025</v>
      </c>
      <c r="E91" s="173" t="str">
        <f>+ ($B$2)</f>
        <v>CONSUMO GAS</v>
      </c>
      <c r="F91" s="176"/>
      <c r="G91" s="175">
        <f>+ ($A$2)</f>
        <v>2025</v>
      </c>
      <c r="H91" s="173" t="str">
        <f>+ ($B$2)</f>
        <v>CONSUMO GAS</v>
      </c>
      <c r="I91" s="17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77"/>
      <c r="B92" s="178" t="str">
        <f>$B$3</f>
        <v>31 Ene 25 - 3 Mar 25</v>
      </c>
      <c r="C92" s="261"/>
      <c r="D92" s="262"/>
      <c r="E92" s="178" t="str">
        <f>$B$3</f>
        <v>31 Ene 25 - 3 Mar 25</v>
      </c>
      <c r="F92" s="180"/>
      <c r="G92" s="177"/>
      <c r="H92" s="178" t="str">
        <f>$B$3</f>
        <v>31 Ene 25 - 3 Mar 25</v>
      </c>
      <c r="I92" s="17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81" t="s">
        <v>254</v>
      </c>
      <c r="B93" s="183" t="s">
        <v>348</v>
      </c>
      <c r="C93" s="263"/>
      <c r="D93" s="264" t="s">
        <v>254</v>
      </c>
      <c r="E93" s="183" t="s">
        <v>349</v>
      </c>
      <c r="F93" s="185"/>
      <c r="G93" s="181" t="s">
        <v>254</v>
      </c>
      <c r="H93" s="183" t="s">
        <v>350</v>
      </c>
      <c r="I93" s="184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15.75" customHeight="1">
      <c r="A94" s="47" t="s">
        <v>57</v>
      </c>
      <c r="B94" s="51">
        <f>'Calculo Gas'!$C9</f>
        <v>204</v>
      </c>
      <c r="C94" s="263"/>
      <c r="D94" s="23" t="s">
        <v>57</v>
      </c>
      <c r="E94" s="51">
        <f>'Calculo Gas'!$C33</f>
        <v>604</v>
      </c>
      <c r="F94" s="185"/>
      <c r="G94" s="47" t="s">
        <v>57</v>
      </c>
      <c r="H94" s="51">
        <f>'Calculo Gas'!$C61</f>
        <v>1503</v>
      </c>
      <c r="I94" s="18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7" t="s">
        <v>67</v>
      </c>
      <c r="B95" s="188">
        <f>'Calculo Gas'!$E9</f>
        <v>2034040</v>
      </c>
      <c r="C95" s="263"/>
      <c r="D95" s="23" t="s">
        <v>67</v>
      </c>
      <c r="E95" s="188">
        <f>'Calculo Gas'!$E33</f>
        <v>2034041</v>
      </c>
      <c r="F95" s="185"/>
      <c r="G95" s="47" t="s">
        <v>67</v>
      </c>
      <c r="H95" s="188">
        <f>'Calculo Gas'!$E61</f>
        <v>2188669</v>
      </c>
      <c r="I95" s="18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81"/>
      <c r="B96" s="189"/>
      <c r="C96" s="263"/>
      <c r="D96" s="264"/>
      <c r="E96" s="189"/>
      <c r="F96" s="185"/>
      <c r="G96" s="181"/>
      <c r="H96" s="189"/>
      <c r="I96" s="18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81"/>
      <c r="B97" s="189"/>
      <c r="C97" s="263"/>
      <c r="D97" s="264"/>
      <c r="E97" s="189"/>
      <c r="F97" s="185"/>
      <c r="G97" s="181"/>
      <c r="H97" s="189"/>
      <c r="I97" s="18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90" t="s">
        <v>256</v>
      </c>
      <c r="C98" s="265">
        <f>'Calculo Gas'!$A9</f>
        <v>12.3</v>
      </c>
      <c r="D98" s="266" t="s">
        <v>256</v>
      </c>
      <c r="F98" s="191">
        <f>'Calculo Gas'!$A33</f>
        <v>35.7</v>
      </c>
      <c r="G98" s="190" t="s">
        <v>256</v>
      </c>
      <c r="I98" s="192">
        <f>'Calculo Gas'!$A61</f>
        <v>24.9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94"/>
      <c r="B99" s="195"/>
      <c r="C99" s="267"/>
      <c r="D99" s="268"/>
      <c r="E99" s="195"/>
      <c r="F99" s="198"/>
      <c r="G99" s="197"/>
      <c r="H99" s="195"/>
      <c r="I99" s="19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72">
        <f>+ ($A$2)</f>
        <v>2025</v>
      </c>
      <c r="B100" s="173" t="str">
        <f>+ ($B$2)</f>
        <v>CONSUMO GAS</v>
      </c>
      <c r="C100" s="174"/>
      <c r="D100" s="175">
        <f>+ ($A$2)</f>
        <v>2025</v>
      </c>
      <c r="E100" s="173" t="str">
        <f>+ ($B$2)</f>
        <v>CONSUMO GAS</v>
      </c>
      <c r="F100" s="176"/>
      <c r="G100" s="175">
        <f>+ ($A$2)</f>
        <v>2025</v>
      </c>
      <c r="H100" s="173" t="str">
        <f>+ ($B$2)</f>
        <v>CONSUMO GAS</v>
      </c>
      <c r="I100" s="17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77"/>
      <c r="B101" s="178" t="str">
        <f>$B$3</f>
        <v>31 Ene 25 - 3 Mar 25</v>
      </c>
      <c r="C101" s="179"/>
      <c r="D101" s="177"/>
      <c r="E101" s="178" t="str">
        <f>$B$3</f>
        <v>31 Ene 25 - 3 Mar 25</v>
      </c>
      <c r="F101" s="180"/>
      <c r="G101" s="177"/>
      <c r="H101" s="178" t="str">
        <f>$B$3</f>
        <v>31 Ene 25 - 3 Mar 25</v>
      </c>
      <c r="I101" s="17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81" t="s">
        <v>254</v>
      </c>
      <c r="B102" s="183" t="s">
        <v>353</v>
      </c>
      <c r="C102" s="184"/>
      <c r="D102" s="181" t="s">
        <v>254</v>
      </c>
      <c r="E102" s="183" t="s">
        <v>354</v>
      </c>
      <c r="F102" s="185"/>
      <c r="G102" s="181" t="s">
        <v>254</v>
      </c>
      <c r="H102" s="183" t="s">
        <v>355</v>
      </c>
      <c r="I102" s="184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15.75" customHeight="1">
      <c r="A103" s="47" t="s">
        <v>57</v>
      </c>
      <c r="B103" s="51">
        <f>'Calculo Gas'!$C10</f>
        <v>205</v>
      </c>
      <c r="C103" s="184"/>
      <c r="D103" s="47" t="s">
        <v>57</v>
      </c>
      <c r="E103" s="51">
        <f>'Calculo Gas'!$C30</f>
        <v>601</v>
      </c>
      <c r="F103" s="185"/>
      <c r="G103" s="47" t="s">
        <v>57</v>
      </c>
      <c r="H103" s="51">
        <f>'Calculo Gas'!$C14</f>
        <v>302</v>
      </c>
      <c r="I103" s="18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7" t="s">
        <v>67</v>
      </c>
      <c r="B104" s="188">
        <f>'Calculo Gas'!$E10</f>
        <v>2034039</v>
      </c>
      <c r="C104" s="184"/>
      <c r="D104" s="47" t="s">
        <v>67</v>
      </c>
      <c r="E104" s="188">
        <f>'Calculo Gas'!$E30</f>
        <v>2034053</v>
      </c>
      <c r="F104" s="185"/>
      <c r="G104" s="47" t="s">
        <v>67</v>
      </c>
      <c r="H104" s="188">
        <f>'Calculo Gas'!$E14</f>
        <v>2034062</v>
      </c>
      <c r="I104" s="18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81"/>
      <c r="B105" s="189"/>
      <c r="C105" s="184"/>
      <c r="D105" s="181"/>
      <c r="E105" s="189"/>
      <c r="F105" s="185"/>
      <c r="G105" s="181"/>
      <c r="H105" s="189"/>
      <c r="I105" s="18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81"/>
      <c r="B106" s="189"/>
      <c r="C106" s="184"/>
      <c r="D106" s="181"/>
      <c r="E106" s="189"/>
      <c r="F106" s="185"/>
      <c r="G106" s="181"/>
      <c r="H106" s="189"/>
      <c r="I106" s="18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90" t="s">
        <v>256</v>
      </c>
      <c r="C107" s="191">
        <f>'Calculo Gas'!$A10</f>
        <v>47.3</v>
      </c>
      <c r="D107" s="190" t="s">
        <v>256</v>
      </c>
      <c r="F107" s="191">
        <f>'Calculo Gas'!$A30</f>
        <v>19.1</v>
      </c>
      <c r="G107" s="190" t="s">
        <v>256</v>
      </c>
      <c r="I107" s="192">
        <f>'Calculo Gas'!$A14</f>
        <v>11.6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97"/>
      <c r="B108" s="195"/>
      <c r="C108" s="196"/>
      <c r="D108" s="197"/>
      <c r="E108" s="195"/>
      <c r="F108" s="198"/>
      <c r="G108" s="197"/>
      <c r="H108" s="195"/>
      <c r="I108" s="19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51" t="s">
        <v>357</v>
      </c>
      <c r="B109" s="167"/>
      <c r="C109" s="250"/>
      <c r="D109" s="251"/>
      <c r="E109" s="167"/>
      <c r="F109" s="252"/>
      <c r="G109" s="251"/>
      <c r="H109" s="167"/>
      <c r="I109" s="25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172">
        <f>+ ($A$2)</f>
        <v>2025</v>
      </c>
      <c r="B110" s="173" t="str">
        <f>+ ($B$2)</f>
        <v>CONSUMO GAS</v>
      </c>
      <c r="C110" s="174"/>
      <c r="D110" s="175">
        <f>+ ($A$2)</f>
        <v>2025</v>
      </c>
      <c r="E110" s="173" t="str">
        <f>+ ($B$2)</f>
        <v>CONSUMO GAS</v>
      </c>
      <c r="F110" s="176"/>
      <c r="G110" s="175">
        <f>+ ($A$2)</f>
        <v>2025</v>
      </c>
      <c r="H110" s="173" t="str">
        <f>+ ($B$2)</f>
        <v>CONSUMO GAS</v>
      </c>
      <c r="I110" s="17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77"/>
      <c r="B111" s="178" t="str">
        <f>$B$3</f>
        <v>31 Ene 25 - 3 Mar 25</v>
      </c>
      <c r="C111" s="179"/>
      <c r="D111" s="177"/>
      <c r="E111" s="178" t="str">
        <f>$B$3</f>
        <v>31 Ene 25 - 3 Mar 25</v>
      </c>
      <c r="F111" s="180"/>
      <c r="G111" s="177"/>
      <c r="H111" s="178" t="str">
        <f>$B$3</f>
        <v>31 Ene 25 - 3 Mar 25</v>
      </c>
      <c r="I111" s="17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81" t="s">
        <v>254</v>
      </c>
      <c r="B112" s="183" t="s">
        <v>359</v>
      </c>
      <c r="C112" s="184"/>
      <c r="D112" s="181" t="s">
        <v>254</v>
      </c>
      <c r="E112" s="183" t="s">
        <v>360</v>
      </c>
      <c r="F112" s="185"/>
      <c r="G112" s="181" t="s">
        <v>254</v>
      </c>
      <c r="H112" s="183" t="s">
        <v>361</v>
      </c>
      <c r="I112" s="184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15.75" customHeight="1">
      <c r="A113" s="47" t="s">
        <v>57</v>
      </c>
      <c r="B113" s="51">
        <f>'Calculo Gas'!$C6</f>
        <v>201</v>
      </c>
      <c r="C113" s="184"/>
      <c r="D113" s="47" t="s">
        <v>57</v>
      </c>
      <c r="E113" s="51">
        <f>'Calculo Gas'!$C50</f>
        <v>1201</v>
      </c>
      <c r="F113" s="185"/>
      <c r="G113" s="47" t="s">
        <v>57</v>
      </c>
      <c r="H113" s="51">
        <f>'Calculo Gas'!$C53</f>
        <v>1301</v>
      </c>
      <c r="I113" s="18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47" t="s">
        <v>67</v>
      </c>
      <c r="B114" s="188">
        <f>'Calculo Gas'!$E6</f>
        <v>2034049</v>
      </c>
      <c r="C114" s="184"/>
      <c r="D114" s="47" t="s">
        <v>67</v>
      </c>
      <c r="E114" s="188">
        <f>'Calculo Gas'!$E50</f>
        <v>2034058</v>
      </c>
      <c r="F114" s="185"/>
      <c r="G114" s="47" t="s">
        <v>67</v>
      </c>
      <c r="H114" s="188">
        <f>'Calculo Gas'!$E53</f>
        <v>2034059</v>
      </c>
      <c r="I114" s="18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81"/>
      <c r="B115" s="189"/>
      <c r="C115" s="184"/>
      <c r="D115" s="181"/>
      <c r="E115" s="189"/>
      <c r="F115" s="185"/>
      <c r="G115" s="181"/>
      <c r="H115" s="189"/>
      <c r="I115" s="18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81"/>
      <c r="B116" s="189"/>
      <c r="C116" s="184"/>
      <c r="D116" s="181"/>
      <c r="E116" s="189"/>
      <c r="F116" s="185"/>
      <c r="G116" s="181"/>
      <c r="H116" s="189"/>
      <c r="I116" s="18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90" t="s">
        <v>256</v>
      </c>
      <c r="C117" s="191">
        <f>'Calculo Gas'!$A6</f>
        <v>12.5</v>
      </c>
      <c r="D117" s="190" t="s">
        <v>256</v>
      </c>
      <c r="F117" s="191">
        <f>'Calculo Gas'!$A50</f>
        <v>160.2</v>
      </c>
      <c r="G117" s="190" t="s">
        <v>256</v>
      </c>
      <c r="I117" s="192">
        <f>'Calculo Gas'!$A53</f>
        <v>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94"/>
      <c r="B118" s="195"/>
      <c r="C118" s="196"/>
      <c r="D118" s="197"/>
      <c r="E118" s="195"/>
      <c r="F118" s="198"/>
      <c r="G118" s="197"/>
      <c r="H118" s="195"/>
      <c r="I118" s="19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72">
        <f>+ ($A$2)</f>
        <v>2025</v>
      </c>
      <c r="B119" s="173" t="str">
        <f>+ ($B$2)</f>
        <v>CONSUMO GAS</v>
      </c>
      <c r="C119" s="174"/>
      <c r="D119" s="175">
        <f>+ ($A$2)</f>
        <v>2025</v>
      </c>
      <c r="E119" s="173" t="str">
        <f>+ ($B$2)</f>
        <v>CONSUMO GAS</v>
      </c>
      <c r="F119" s="176"/>
      <c r="G119" s="175">
        <f>+ ($A$2)</f>
        <v>2025</v>
      </c>
      <c r="H119" s="173" t="str">
        <f>+ ($B$2)</f>
        <v>CONSUMO GAS</v>
      </c>
      <c r="I119" s="17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77"/>
      <c r="B120" s="178" t="str">
        <f>$B$3</f>
        <v>31 Ene 25 - 3 Mar 25</v>
      </c>
      <c r="C120" s="179"/>
      <c r="D120" s="177"/>
      <c r="E120" s="178" t="str">
        <f>$B$3</f>
        <v>31 Ene 25 - 3 Mar 25</v>
      </c>
      <c r="F120" s="180"/>
      <c r="G120" s="177"/>
      <c r="H120" s="178" t="str">
        <f>$B$3</f>
        <v>31 Ene 25 - 3 Mar 25</v>
      </c>
      <c r="I120" s="17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81" t="s">
        <v>254</v>
      </c>
      <c r="B121" s="183" t="s">
        <v>363</v>
      </c>
      <c r="C121" s="184"/>
      <c r="D121" s="181" t="s">
        <v>254</v>
      </c>
      <c r="E121" s="183" t="s">
        <v>364</v>
      </c>
      <c r="F121" s="185"/>
      <c r="G121" s="181" t="s">
        <v>254</v>
      </c>
      <c r="H121" s="183" t="s">
        <v>365</v>
      </c>
      <c r="I121" s="184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5.75" customHeight="1">
      <c r="A122" s="47" t="s">
        <v>57</v>
      </c>
      <c r="B122" s="51">
        <f>'Calculo Gas'!$C24</f>
        <v>501</v>
      </c>
      <c r="C122" s="184"/>
      <c r="D122" s="47" t="s">
        <v>57</v>
      </c>
      <c r="E122" s="51">
        <f>'Calculo Gas'!$C7</f>
        <v>202</v>
      </c>
      <c r="F122" s="185"/>
      <c r="G122" s="47" t="s">
        <v>57</v>
      </c>
      <c r="H122" s="51">
        <f>'Calculo Gas'!$C11</f>
        <v>206</v>
      </c>
      <c r="I122" s="18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7" t="s">
        <v>67</v>
      </c>
      <c r="B123" s="188" t="str">
        <f>'Calculo Gas'!$E24</f>
        <v>GA2003002006</v>
      </c>
      <c r="C123" s="184"/>
      <c r="D123" s="47" t="s">
        <v>67</v>
      </c>
      <c r="E123" s="188">
        <f>'Calculo Gas'!$E7</f>
        <v>2034056</v>
      </c>
      <c r="F123" s="185"/>
      <c r="G123" s="47" t="s">
        <v>67</v>
      </c>
      <c r="H123" s="188">
        <f>'Calculo Gas'!$E11</f>
        <v>2034052</v>
      </c>
      <c r="I123" s="27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81"/>
      <c r="B124" s="189"/>
      <c r="C124" s="184"/>
      <c r="D124" s="181"/>
      <c r="E124" s="189"/>
      <c r="F124" s="185"/>
      <c r="G124" s="181"/>
      <c r="H124" s="271"/>
      <c r="I124" s="18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81"/>
      <c r="B125" s="189"/>
      <c r="C125" s="184"/>
      <c r="D125" s="181"/>
      <c r="E125" s="189"/>
      <c r="F125" s="185"/>
      <c r="G125" s="181"/>
      <c r="H125" s="189"/>
      <c r="I125" s="18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90" t="s">
        <v>256</v>
      </c>
      <c r="C126" s="191">
        <f>'Calculo Gas'!$A24</f>
        <v>0</v>
      </c>
      <c r="D126" s="190" t="s">
        <v>256</v>
      </c>
      <c r="F126" s="191">
        <f>'Calculo Gas'!$A7</f>
        <v>22.3</v>
      </c>
      <c r="G126" s="190" t="s">
        <v>256</v>
      </c>
      <c r="I126" s="192">
        <f>'Calculo Gas'!$A11</f>
        <v>192.8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97"/>
      <c r="B127" s="195"/>
      <c r="C127" s="196"/>
      <c r="D127" s="197"/>
      <c r="E127" s="195"/>
      <c r="F127" s="198"/>
      <c r="G127" s="197"/>
      <c r="H127" s="195"/>
      <c r="I127" s="19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72">
        <f>+ ($A$2)</f>
        <v>2025</v>
      </c>
      <c r="B128" s="173" t="str">
        <f>+ ($B$2)</f>
        <v>CONSUMO GAS</v>
      </c>
      <c r="C128" s="174"/>
      <c r="D128" s="175">
        <f>+ ($A$2)</f>
        <v>2025</v>
      </c>
      <c r="E128" s="173" t="str">
        <f>+ ($B$2)</f>
        <v>CONSUMO GAS</v>
      </c>
      <c r="F128" s="176"/>
      <c r="G128" s="175">
        <f>+ ($A$2)</f>
        <v>2025</v>
      </c>
      <c r="H128" s="173" t="str">
        <f>+ ($B$2)</f>
        <v>CONSUMO GAS</v>
      </c>
      <c r="I128" s="17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77"/>
      <c r="B129" s="178" t="str">
        <f>$B$3</f>
        <v>31 Ene 25 - 3 Mar 25</v>
      </c>
      <c r="C129" s="179"/>
      <c r="D129" s="177"/>
      <c r="E129" s="178" t="str">
        <f>$B$3</f>
        <v>31 Ene 25 - 3 Mar 25</v>
      </c>
      <c r="F129" s="180"/>
      <c r="G129" s="177"/>
      <c r="H129" s="178" t="str">
        <f>$B$3</f>
        <v>31 Ene 25 - 3 Mar 25</v>
      </c>
      <c r="I129" s="17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81" t="s">
        <v>254</v>
      </c>
      <c r="B130" s="183" t="s">
        <v>368</v>
      </c>
      <c r="C130" s="184"/>
      <c r="D130" s="181" t="s">
        <v>254</v>
      </c>
      <c r="E130" s="183" t="s">
        <v>369</v>
      </c>
      <c r="F130" s="185"/>
      <c r="G130" s="181" t="s">
        <v>254</v>
      </c>
      <c r="H130" s="183" t="s">
        <v>370</v>
      </c>
      <c r="I130" s="184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5.75" customHeight="1">
      <c r="A131" s="47" t="s">
        <v>57</v>
      </c>
      <c r="B131" s="51">
        <f>'Calculo Gas'!$C37</f>
        <v>704</v>
      </c>
      <c r="C131" s="184"/>
      <c r="D131" s="47" t="s">
        <v>57</v>
      </c>
      <c r="E131" s="51">
        <f>'Calculo Gas'!$C63</f>
        <v>1602</v>
      </c>
      <c r="F131" s="185"/>
      <c r="G131" s="47" t="s">
        <v>57</v>
      </c>
      <c r="H131" s="51">
        <f>'Calculo Gas'!$C26</f>
        <v>503</v>
      </c>
      <c r="I131" s="18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7" t="s">
        <v>67</v>
      </c>
      <c r="B132" s="188">
        <f>'Calculo Gas'!$E37</f>
        <v>2034036</v>
      </c>
      <c r="C132" s="184"/>
      <c r="D132" s="47" t="s">
        <v>67</v>
      </c>
      <c r="E132" s="188">
        <f>'Calculo Gas'!$E63</f>
        <v>2034082</v>
      </c>
      <c r="F132" s="185"/>
      <c r="G132" s="47" t="s">
        <v>67</v>
      </c>
      <c r="H132" s="188">
        <f>'Calculo Gas'!$E26</f>
        <v>2034083</v>
      </c>
      <c r="I132" s="18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81"/>
      <c r="B133" s="189"/>
      <c r="C133" s="184"/>
      <c r="D133" s="181"/>
      <c r="E133" s="189"/>
      <c r="F133" s="185"/>
      <c r="G133" s="181"/>
      <c r="H133" s="271"/>
      <c r="I133" s="18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81"/>
      <c r="B134" s="189"/>
      <c r="C134" s="184"/>
      <c r="D134" s="181"/>
      <c r="E134" s="189"/>
      <c r="F134" s="185"/>
      <c r="G134" s="181"/>
      <c r="H134" s="189"/>
      <c r="I134" s="18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90" t="s">
        <v>256</v>
      </c>
      <c r="C135" s="191">
        <f>'Calculo Gas'!$A37</f>
        <v>8.8</v>
      </c>
      <c r="D135" s="190" t="s">
        <v>256</v>
      </c>
      <c r="F135" s="191">
        <f>'Calculo Gas'!$A63</f>
        <v>41.2</v>
      </c>
      <c r="G135" s="190" t="s">
        <v>256</v>
      </c>
      <c r="I135" s="192">
        <f>'Calculo Gas'!$A26</f>
        <v>45.1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94"/>
      <c r="B136" s="195"/>
      <c r="C136" s="196"/>
      <c r="D136" s="197"/>
      <c r="E136" s="195"/>
      <c r="F136" s="198"/>
      <c r="G136" s="197"/>
      <c r="H136" s="195"/>
      <c r="I136" s="19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72">
        <f>+ ($A$2)</f>
        <v>2025</v>
      </c>
      <c r="B137" s="173" t="str">
        <f>+ ($B$2)</f>
        <v>CONSUMO GAS</v>
      </c>
      <c r="C137" s="174"/>
      <c r="D137" s="175">
        <f>+ ($A$2)</f>
        <v>2025</v>
      </c>
      <c r="E137" s="173" t="str">
        <f>+ ($B$2)</f>
        <v>CONSUMO GAS</v>
      </c>
      <c r="F137" s="176"/>
      <c r="G137" s="175">
        <f>+ ($A$2)</f>
        <v>2025</v>
      </c>
      <c r="H137" s="173" t="str">
        <f>+ ($B$2)</f>
        <v>CONSUMO GAS</v>
      </c>
      <c r="I137" s="17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77"/>
      <c r="B138" s="178" t="str">
        <f>$B$3</f>
        <v>31 Ene 25 - 3 Mar 25</v>
      </c>
      <c r="C138" s="179"/>
      <c r="D138" s="177"/>
      <c r="E138" s="178" t="str">
        <f>$B$3</f>
        <v>31 Ene 25 - 3 Mar 25</v>
      </c>
      <c r="F138" s="180"/>
      <c r="G138" s="177"/>
      <c r="H138" s="178" t="str">
        <f>$B$3</f>
        <v>31 Ene 25 - 3 Mar 25</v>
      </c>
      <c r="I138" s="17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81" t="s">
        <v>254</v>
      </c>
      <c r="B139" s="183" t="s">
        <v>372</v>
      </c>
      <c r="C139" s="184"/>
      <c r="D139" s="181" t="s">
        <v>254</v>
      </c>
      <c r="E139" s="183" t="s">
        <v>373</v>
      </c>
      <c r="F139" s="185"/>
      <c r="G139" s="181" t="s">
        <v>254</v>
      </c>
      <c r="H139" s="183" t="s">
        <v>374</v>
      </c>
      <c r="I139" s="184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5.75" customHeight="1">
      <c r="A140" s="47" t="s">
        <v>57</v>
      </c>
      <c r="B140" s="51">
        <f>'Calculo Gas'!$C47</f>
        <v>1101</v>
      </c>
      <c r="C140" s="184"/>
      <c r="D140" s="47" t="s">
        <v>57</v>
      </c>
      <c r="E140" s="51">
        <f>'Calculo Gas'!$C23</f>
        <v>406</v>
      </c>
      <c r="F140" s="185"/>
      <c r="G140" s="47" t="s">
        <v>57</v>
      </c>
      <c r="H140" s="51">
        <f>'Calculo Gas'!$C20</f>
        <v>403</v>
      </c>
      <c r="I140" s="18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47" t="s">
        <v>67</v>
      </c>
      <c r="B141" s="188">
        <f>'Calculo Gas'!$E47</f>
        <v>2034054</v>
      </c>
      <c r="C141" s="184"/>
      <c r="D141" s="47" t="s">
        <v>67</v>
      </c>
      <c r="E141" s="188">
        <f>'Calculo Gas'!$E23</f>
        <v>2034035</v>
      </c>
      <c r="F141" s="185"/>
      <c r="G141" s="47" t="s">
        <v>67</v>
      </c>
      <c r="H141" s="188" t="str">
        <f>'Calculo Gas'!$E20</f>
        <v>GA202101900335</v>
      </c>
      <c r="I141" s="18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81"/>
      <c r="B142" s="189"/>
      <c r="C142" s="184"/>
      <c r="D142" s="181"/>
      <c r="E142" s="189"/>
      <c r="F142" s="185"/>
      <c r="G142" s="181"/>
      <c r="H142" s="189"/>
      <c r="I142" s="18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81"/>
      <c r="B143" s="189"/>
      <c r="C143" s="184"/>
      <c r="D143" s="181"/>
      <c r="E143" s="189"/>
      <c r="F143" s="185"/>
      <c r="G143" s="181"/>
      <c r="H143" s="189"/>
      <c r="I143" s="18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90" t="s">
        <v>256</v>
      </c>
      <c r="C144" s="191">
        <f>'Calculo Gas'!$A47</f>
        <v>30.6</v>
      </c>
      <c r="D144" s="190" t="s">
        <v>256</v>
      </c>
      <c r="F144" s="191">
        <f>'Calculo Gas'!$A23</f>
        <v>0</v>
      </c>
      <c r="G144" s="190" t="s">
        <v>256</v>
      </c>
      <c r="I144" s="192">
        <f>'Calculo Gas'!$A20</f>
        <v>26.1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97"/>
      <c r="B145" s="195"/>
      <c r="C145" s="196"/>
      <c r="D145" s="197"/>
      <c r="E145" s="195"/>
      <c r="F145" s="198"/>
      <c r="G145" s="197"/>
      <c r="H145" s="195"/>
      <c r="I145" s="19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49" t="s">
        <v>376</v>
      </c>
      <c r="B146" s="167"/>
      <c r="C146" s="250"/>
      <c r="D146" s="251"/>
      <c r="E146" s="167"/>
      <c r="F146" s="252"/>
      <c r="G146" s="251"/>
      <c r="H146" s="167"/>
      <c r="I146" s="25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172">
        <f>+ ($A$2)</f>
        <v>2025</v>
      </c>
      <c r="B147" s="173" t="str">
        <f>+ ($B$2)</f>
        <v>CONSUMO GAS</v>
      </c>
      <c r="C147" s="174"/>
      <c r="D147" s="175">
        <f>+ ($A$2)</f>
        <v>2025</v>
      </c>
      <c r="E147" s="173" t="str">
        <f>+ ($B$2)</f>
        <v>CONSUMO GAS</v>
      </c>
      <c r="F147" s="176"/>
      <c r="G147" s="175">
        <f>+ ($A$2)</f>
        <v>2025</v>
      </c>
      <c r="H147" s="173" t="str">
        <f>+ ($B$2)</f>
        <v>CONSUMO GAS</v>
      </c>
      <c r="I147" s="17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77"/>
      <c r="B148" s="178" t="str">
        <f>$B$3</f>
        <v>31 Ene 25 - 3 Mar 25</v>
      </c>
      <c r="C148" s="179"/>
      <c r="D148" s="177"/>
      <c r="E148" s="178" t="str">
        <f>$B$3</f>
        <v>31 Ene 25 - 3 Mar 25</v>
      </c>
      <c r="F148" s="180"/>
      <c r="G148" s="177"/>
      <c r="H148" s="178" t="str">
        <f>$B$3</f>
        <v>31 Ene 25 - 3 Mar 25</v>
      </c>
      <c r="I148" s="17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81" t="s">
        <v>254</v>
      </c>
      <c r="B149" s="183"/>
      <c r="C149" s="184"/>
      <c r="D149" s="181" t="s">
        <v>254</v>
      </c>
      <c r="E149" s="183" t="s">
        <v>378</v>
      </c>
      <c r="F149" s="185"/>
      <c r="G149" s="181" t="s">
        <v>254</v>
      </c>
      <c r="H149" s="183" t="s">
        <v>379</v>
      </c>
      <c r="I149" s="184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5.75" customHeight="1">
      <c r="A150" s="47" t="s">
        <v>57</v>
      </c>
      <c r="B150" s="51">
        <f>'Calculo Gas'!$C57</f>
        <v>1402</v>
      </c>
      <c r="C150" s="184"/>
      <c r="D150" s="47" t="s">
        <v>57</v>
      </c>
      <c r="E150" s="51">
        <f>'Calculo Gas'!$C40</f>
        <v>804</v>
      </c>
      <c r="F150" s="185"/>
      <c r="G150" s="47" t="s">
        <v>57</v>
      </c>
      <c r="H150" s="51">
        <f>'Calculo Gas'!$C39</f>
        <v>802</v>
      </c>
      <c r="I150" s="18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7" t="s">
        <v>67</v>
      </c>
      <c r="B151" s="188">
        <f>'Calculo Gas'!$E57</f>
        <v>2034080</v>
      </c>
      <c r="C151" s="184"/>
      <c r="D151" s="47" t="s">
        <v>67</v>
      </c>
      <c r="E151" s="188">
        <f>'Calculo Gas'!$E40</f>
        <v>170800161</v>
      </c>
      <c r="F151" s="185"/>
      <c r="G151" s="47" t="s">
        <v>67</v>
      </c>
      <c r="H151" s="188">
        <f>'Calculo Gas'!$E39</f>
        <v>2034084</v>
      </c>
      <c r="I151" s="18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81"/>
      <c r="B152" s="189"/>
      <c r="C152" s="184"/>
      <c r="D152" s="181"/>
      <c r="E152" s="189"/>
      <c r="F152" s="185"/>
      <c r="G152" s="181"/>
      <c r="H152" s="189"/>
      <c r="I152" s="18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81"/>
      <c r="B153" s="189"/>
      <c r="C153" s="184"/>
      <c r="D153" s="181"/>
      <c r="E153" s="189"/>
      <c r="F153" s="185"/>
      <c r="G153" s="181"/>
      <c r="H153" s="189"/>
      <c r="I153" s="18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90" t="s">
        <v>256</v>
      </c>
      <c r="C154" s="191">
        <f>'Calculo Gas'!$A57</f>
        <v>0</v>
      </c>
      <c r="D154" s="190" t="s">
        <v>256</v>
      </c>
      <c r="F154" s="191">
        <f>'Calculo Gas'!$A40</f>
        <v>0</v>
      </c>
      <c r="G154" s="190" t="s">
        <v>256</v>
      </c>
      <c r="I154" s="192">
        <f>'Calculo Gas'!$A39</f>
        <v>17.1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97"/>
      <c r="B155" s="195"/>
      <c r="C155" s="196"/>
      <c r="D155" s="197"/>
      <c r="E155" s="195"/>
      <c r="F155" s="198"/>
      <c r="G155" s="197" t="s">
        <v>381</v>
      </c>
      <c r="H155" s="195"/>
      <c r="I155" s="277">
        <v>307.5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72">
        <f>+ ($A$2)</f>
        <v>2025</v>
      </c>
      <c r="B156" s="173" t="str">
        <f>+ ($B$2)</f>
        <v>CONSUMO GAS</v>
      </c>
      <c r="C156" s="174"/>
      <c r="D156" s="175">
        <f>+ ($A$2)</f>
        <v>2025</v>
      </c>
      <c r="E156" s="173" t="str">
        <f>+ ($B$2)</f>
        <v>CONSUMO GAS</v>
      </c>
      <c r="F156" s="176"/>
      <c r="G156" s="175">
        <f>+ ($A$2)</f>
        <v>2025</v>
      </c>
      <c r="H156" s="173" t="str">
        <f>+ ($B$2)</f>
        <v>CONSUMO GAS</v>
      </c>
      <c r="I156" s="17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77"/>
      <c r="B157" s="178" t="str">
        <f>$B$3</f>
        <v>31 Ene 25 - 3 Mar 25</v>
      </c>
      <c r="C157" s="179"/>
      <c r="D157" s="177"/>
      <c r="E157" s="178" t="str">
        <f>$B$3</f>
        <v>31 Ene 25 - 3 Mar 25</v>
      </c>
      <c r="F157" s="180"/>
      <c r="G157" s="177"/>
      <c r="H157" s="178" t="str">
        <f>$B$3</f>
        <v>31 Ene 25 - 3 Mar 25</v>
      </c>
      <c r="I157" s="17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81" t="s">
        <v>254</v>
      </c>
      <c r="B158" s="183" t="s">
        <v>383</v>
      </c>
      <c r="C158" s="184"/>
      <c r="D158" s="181" t="s">
        <v>254</v>
      </c>
      <c r="E158" s="183" t="s">
        <v>384</v>
      </c>
      <c r="F158" s="185"/>
      <c r="G158" s="181" t="s">
        <v>254</v>
      </c>
      <c r="H158" s="183" t="s">
        <v>385</v>
      </c>
      <c r="I158" s="184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5.75" customHeight="1">
      <c r="A159" s="47" t="s">
        <v>57</v>
      </c>
      <c r="B159" s="51">
        <f>'Calculo Gas'!$C62</f>
        <v>1601</v>
      </c>
      <c r="C159" s="184"/>
      <c r="D159" s="47" t="s">
        <v>57</v>
      </c>
      <c r="E159" s="51">
        <f>'Calculo Gas'!$C34</f>
        <v>605</v>
      </c>
      <c r="F159" s="185"/>
      <c r="G159" s="47" t="s">
        <v>57</v>
      </c>
      <c r="H159" s="51">
        <f>'Calculo Gas'!$C18</f>
        <v>306</v>
      </c>
      <c r="I159" s="18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7" t="s">
        <v>67</v>
      </c>
      <c r="B160" s="188">
        <f>'Calculo Gas'!$E62</f>
        <v>2034074</v>
      </c>
      <c r="C160" s="184"/>
      <c r="D160" s="47" t="s">
        <v>67</v>
      </c>
      <c r="E160" s="188">
        <f>'Calculo Gas'!$E34</f>
        <v>2034051</v>
      </c>
      <c r="F160" s="185"/>
      <c r="G160" s="47" t="s">
        <v>67</v>
      </c>
      <c r="H160" s="188">
        <f>'Calculo Gas'!$E18</f>
        <v>2034050</v>
      </c>
      <c r="I160" s="18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81"/>
      <c r="B161" s="189"/>
      <c r="C161" s="184"/>
      <c r="D161" s="181"/>
      <c r="E161" s="189"/>
      <c r="F161" s="185"/>
      <c r="G161" s="181"/>
      <c r="H161" s="189"/>
      <c r="I161" s="18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81"/>
      <c r="B162" s="189"/>
      <c r="C162" s="184"/>
      <c r="D162" s="181"/>
      <c r="E162" s="189"/>
      <c r="F162" s="185"/>
      <c r="G162" s="181"/>
      <c r="H162" s="189"/>
      <c r="I162" s="18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90" t="s">
        <v>256</v>
      </c>
      <c r="C163" s="191">
        <f>'Calculo Gas'!$A62</f>
        <v>50.3</v>
      </c>
      <c r="D163" s="190" t="s">
        <v>256</v>
      </c>
      <c r="F163" s="191">
        <f>'Calculo Gas'!$A34</f>
        <v>0</v>
      </c>
      <c r="G163" s="190" t="s">
        <v>256</v>
      </c>
      <c r="I163" s="192">
        <f>'Calculo Gas'!$A18</f>
        <v>0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97"/>
      <c r="B164" s="195"/>
      <c r="C164" s="196"/>
      <c r="D164" s="197"/>
      <c r="E164" s="195"/>
      <c r="F164" s="198"/>
      <c r="G164" s="197"/>
      <c r="H164" s="195"/>
      <c r="I164" s="19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72">
        <f>+ ($A$2)</f>
        <v>2025</v>
      </c>
      <c r="B165" s="173" t="str">
        <f>+ ($B$2)</f>
        <v>CONSUMO GAS</v>
      </c>
      <c r="C165" s="174"/>
      <c r="D165" s="175">
        <f>+ ($A$2)</f>
        <v>2025</v>
      </c>
      <c r="E165" s="173" t="str">
        <f>+ ($B$2)</f>
        <v>CONSUMO GAS</v>
      </c>
      <c r="F165" s="176"/>
      <c r="G165" s="175">
        <f>+ ($A$2)</f>
        <v>2025</v>
      </c>
      <c r="H165" s="173" t="str">
        <f>+ ($B$2)</f>
        <v>CONSUMO GAS</v>
      </c>
      <c r="I165" s="17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77"/>
      <c r="B166" s="178" t="str">
        <f>$B$3</f>
        <v>31 Ene 25 - 3 Mar 25</v>
      </c>
      <c r="C166" s="179"/>
      <c r="D166" s="177"/>
      <c r="E166" s="178" t="str">
        <f>$B$3</f>
        <v>31 Ene 25 - 3 Mar 25</v>
      </c>
      <c r="F166" s="180"/>
      <c r="G166" s="177"/>
      <c r="H166" s="178" t="str">
        <f>$B$3</f>
        <v>31 Ene 25 - 3 Mar 25</v>
      </c>
      <c r="I166" s="17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81" t="s">
        <v>254</v>
      </c>
      <c r="B167" s="183" t="s">
        <v>388</v>
      </c>
      <c r="C167" s="184"/>
      <c r="D167" s="181" t="s">
        <v>254</v>
      </c>
      <c r="E167" s="183" t="s">
        <v>389</v>
      </c>
      <c r="F167" s="185"/>
      <c r="G167" s="181" t="s">
        <v>254</v>
      </c>
      <c r="H167" s="183" t="s">
        <v>390</v>
      </c>
      <c r="I167" s="184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5.75" customHeight="1">
      <c r="A168" s="47" t="s">
        <v>57</v>
      </c>
      <c r="B168" s="51">
        <f>'Calculo Gas'!$C48</f>
        <v>1102</v>
      </c>
      <c r="C168" s="184"/>
      <c r="D168" s="47" t="s">
        <v>57</v>
      </c>
      <c r="E168" s="51">
        <f>'Calculo Gas'!$C27</f>
        <v>504</v>
      </c>
      <c r="F168" s="185"/>
      <c r="G168" s="47" t="s">
        <v>57</v>
      </c>
      <c r="H168" s="51">
        <f>'Calculo Gas'!$C13</f>
        <v>301</v>
      </c>
      <c r="I168" s="18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47" t="s">
        <v>67</v>
      </c>
      <c r="B169" s="188">
        <f>'Calculo Gas'!$E48</f>
        <v>2034060</v>
      </c>
      <c r="C169" s="184"/>
      <c r="D169" s="47" t="s">
        <v>67</v>
      </c>
      <c r="E169" s="188">
        <f>'Calculo Gas'!$E27</f>
        <v>2034037</v>
      </c>
      <c r="F169" s="185"/>
      <c r="G169" s="47" t="s">
        <v>67</v>
      </c>
      <c r="H169" s="188" t="str">
        <f>'Calculo Gas'!$E13</f>
        <v>GA170801166</v>
      </c>
      <c r="I169" s="18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81"/>
      <c r="B170" s="189"/>
      <c r="C170" s="184"/>
      <c r="D170" s="181"/>
      <c r="E170" s="278"/>
      <c r="F170" s="185"/>
      <c r="G170" s="181"/>
      <c r="H170" s="189"/>
      <c r="I170" s="18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81"/>
      <c r="B171" s="189"/>
      <c r="C171" s="184"/>
      <c r="D171" s="181"/>
      <c r="E171" s="189"/>
      <c r="F171" s="185"/>
      <c r="G171" s="181"/>
      <c r="H171" s="189"/>
      <c r="I171" s="18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90" t="s">
        <v>256</v>
      </c>
      <c r="C172" s="191">
        <f>'Calculo Gas'!$A48</f>
        <v>60.5</v>
      </c>
      <c r="D172" s="190" t="s">
        <v>256</v>
      </c>
      <c r="F172" s="191">
        <f>'Calculo Gas'!$A27</f>
        <v>22.4</v>
      </c>
      <c r="G172" s="190" t="s">
        <v>256</v>
      </c>
      <c r="I172" s="192">
        <f>'Calculo Gas'!$A13</f>
        <v>0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97"/>
      <c r="B173" s="195"/>
      <c r="C173" s="196"/>
      <c r="D173" s="197"/>
      <c r="E173" s="195"/>
      <c r="F173" s="198"/>
      <c r="G173" s="197"/>
      <c r="H173" s="195"/>
      <c r="I173" s="19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72">
        <f>+ ($A$2)</f>
        <v>2025</v>
      </c>
      <c r="B174" s="173" t="str">
        <f>+ ($B$2)</f>
        <v>CONSUMO GAS</v>
      </c>
      <c r="C174" s="174"/>
      <c r="D174" s="175">
        <f>+ ($A$2)</f>
        <v>2025</v>
      </c>
      <c r="E174" s="173" t="str">
        <f>+ ($B$2)</f>
        <v>CONSUMO GAS</v>
      </c>
      <c r="F174" s="176"/>
      <c r="G174" s="175">
        <f>+ ($A$2)</f>
        <v>2025</v>
      </c>
      <c r="H174" s="173" t="str">
        <f>+ ($B$2)</f>
        <v>CONSUMO GAS</v>
      </c>
      <c r="I174" s="17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77"/>
      <c r="B175" s="178" t="str">
        <f>$B$3</f>
        <v>31 Ene 25 - 3 Mar 25</v>
      </c>
      <c r="C175" s="179"/>
      <c r="D175" s="177"/>
      <c r="E175" s="178" t="str">
        <f>$B$3</f>
        <v>31 Ene 25 - 3 Mar 25</v>
      </c>
      <c r="F175" s="180"/>
      <c r="G175" s="177"/>
      <c r="H175" s="178" t="str">
        <f>$B$3</f>
        <v>31 Ene 25 - 3 Mar 25</v>
      </c>
      <c r="I175" s="17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81" t="s">
        <v>254</v>
      </c>
      <c r="B176" s="183" t="s">
        <v>393</v>
      </c>
      <c r="C176" s="184"/>
      <c r="D176" s="181" t="s">
        <v>254</v>
      </c>
      <c r="E176" s="183" t="s">
        <v>394</v>
      </c>
      <c r="F176" s="185"/>
      <c r="G176" s="181" t="s">
        <v>254</v>
      </c>
      <c r="H176" s="183" t="s">
        <v>395</v>
      </c>
      <c r="I176" s="184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5.75" customHeight="1">
      <c r="A177" s="47" t="s">
        <v>57</v>
      </c>
      <c r="B177" s="51">
        <f>'Calculo Gas'!$C43</f>
        <v>903</v>
      </c>
      <c r="C177" s="184"/>
      <c r="D177" s="47" t="s">
        <v>57</v>
      </c>
      <c r="E177" s="51">
        <f>'Calculo Gas'!$C42</f>
        <v>902</v>
      </c>
      <c r="F177" s="185"/>
      <c r="G177" s="47" t="s">
        <v>57</v>
      </c>
      <c r="H177" s="51">
        <f>'Calculo Gas'!$C64</f>
        <v>1701</v>
      </c>
      <c r="I177" s="18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7" t="s">
        <v>67</v>
      </c>
      <c r="B178" s="188">
        <f>'Calculo Gas'!$E43</f>
        <v>2034024</v>
      </c>
      <c r="C178" s="184"/>
      <c r="D178" s="47" t="s">
        <v>67</v>
      </c>
      <c r="E178" s="188" t="str">
        <f>'Calculo Gas'!$E42</f>
        <v>GA2108000738</v>
      </c>
      <c r="F178" s="185"/>
      <c r="G178" s="47" t="s">
        <v>67</v>
      </c>
      <c r="H178" s="188">
        <f>'Calculo Gas'!$E64</f>
        <v>2034048</v>
      </c>
      <c r="I178" s="18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81"/>
      <c r="B179" s="189"/>
      <c r="C179" s="184"/>
      <c r="D179" s="181"/>
      <c r="E179" s="189"/>
      <c r="F179" s="185"/>
      <c r="G179" s="181"/>
      <c r="H179" s="189"/>
      <c r="I179" s="18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81"/>
      <c r="B180" s="189"/>
      <c r="C180" s="184"/>
      <c r="D180" s="181"/>
      <c r="E180" s="189"/>
      <c r="F180" s="185"/>
      <c r="G180" s="181"/>
      <c r="H180" s="189"/>
      <c r="I180" s="18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90" t="s">
        <v>256</v>
      </c>
      <c r="C181" s="191">
        <f>'Calculo Gas'!$A43</f>
        <v>20.3</v>
      </c>
      <c r="D181" s="190" t="s">
        <v>256</v>
      </c>
      <c r="F181" s="191">
        <f>'Calculo Gas'!$A42</f>
        <v>0</v>
      </c>
      <c r="G181" s="190" t="s">
        <v>256</v>
      </c>
      <c r="I181" s="192">
        <f>'Calculo Gas'!$A64</f>
        <v>139.4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97"/>
      <c r="B182" s="195"/>
      <c r="C182" s="196"/>
      <c r="D182" s="197"/>
      <c r="E182" s="195"/>
      <c r="F182" s="198"/>
      <c r="G182" s="197"/>
      <c r="H182" s="195"/>
      <c r="I182" s="19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279"/>
      <c r="D183" s="1"/>
      <c r="E183" s="1"/>
      <c r="F183" s="280"/>
      <c r="G183" s="1"/>
      <c r="H183" s="1"/>
      <c r="I183" s="27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279"/>
      <c r="D184" s="1"/>
      <c r="E184" s="1"/>
      <c r="F184" s="280"/>
      <c r="G184" s="1"/>
      <c r="H184" s="1"/>
      <c r="I184" s="27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279"/>
      <c r="D185" s="1"/>
      <c r="E185" s="1"/>
      <c r="F185" s="280"/>
      <c r="G185" s="1"/>
      <c r="H185" s="1"/>
      <c r="I185" s="27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279"/>
      <c r="D186" s="1"/>
      <c r="E186" s="1"/>
      <c r="F186" s="280"/>
      <c r="G186" s="1"/>
      <c r="H186" s="1"/>
      <c r="I186" s="27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279"/>
      <c r="D187" s="1"/>
      <c r="E187" s="1"/>
      <c r="F187" s="280"/>
      <c r="G187" s="1"/>
      <c r="H187" s="1"/>
      <c r="I187" s="27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279"/>
      <c r="D188" s="1"/>
      <c r="E188" s="1"/>
      <c r="F188" s="280"/>
      <c r="G188" s="1"/>
      <c r="H188" s="1"/>
      <c r="I188" s="27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279"/>
      <c r="D189" s="1"/>
      <c r="E189" s="1"/>
      <c r="F189" s="280"/>
      <c r="G189" s="1"/>
      <c r="H189" s="1"/>
      <c r="I189" s="27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279"/>
      <c r="D190" s="1"/>
      <c r="E190" s="1"/>
      <c r="F190" s="280"/>
      <c r="G190" s="1"/>
      <c r="H190" s="1"/>
      <c r="I190" s="27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279"/>
      <c r="D191" s="1"/>
      <c r="E191" s="1"/>
      <c r="F191" s="280"/>
      <c r="G191" s="1"/>
      <c r="H191" s="1"/>
      <c r="I191" s="27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279"/>
      <c r="D192" s="1"/>
      <c r="E192" s="1"/>
      <c r="F192" s="280"/>
      <c r="G192" s="1"/>
      <c r="H192" s="1"/>
      <c r="I192" s="27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279"/>
      <c r="D193" s="1"/>
      <c r="E193" s="1"/>
      <c r="F193" s="280"/>
      <c r="G193" s="1"/>
      <c r="H193" s="1"/>
      <c r="I193" s="27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279"/>
      <c r="D194" s="1"/>
      <c r="E194" s="1"/>
      <c r="F194" s="280"/>
      <c r="G194" s="1"/>
      <c r="H194" s="1"/>
      <c r="I194" s="27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279"/>
      <c r="D195" s="1"/>
      <c r="E195" s="1"/>
      <c r="F195" s="280"/>
      <c r="G195" s="1"/>
      <c r="H195" s="1"/>
      <c r="I195" s="27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279"/>
      <c r="D196" s="1"/>
      <c r="E196" s="1"/>
      <c r="F196" s="280"/>
      <c r="G196" s="1"/>
      <c r="H196" s="1"/>
      <c r="I196" s="27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279"/>
      <c r="D197" s="1"/>
      <c r="E197" s="1"/>
      <c r="F197" s="280"/>
      <c r="G197" s="1"/>
      <c r="H197" s="1"/>
      <c r="I197" s="27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279"/>
      <c r="D198" s="1"/>
      <c r="E198" s="1"/>
      <c r="F198" s="280"/>
      <c r="G198" s="1"/>
      <c r="H198" s="1"/>
      <c r="I198" s="27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279"/>
      <c r="D199" s="1"/>
      <c r="E199" s="1"/>
      <c r="F199" s="280"/>
      <c r="G199" s="1"/>
      <c r="H199" s="1"/>
      <c r="I199" s="27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279"/>
      <c r="D200" s="1"/>
      <c r="E200" s="1"/>
      <c r="F200" s="280"/>
      <c r="G200" s="1"/>
      <c r="H200" s="1"/>
      <c r="I200" s="27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279"/>
      <c r="D201" s="1"/>
      <c r="E201" s="1"/>
      <c r="F201" s="280"/>
      <c r="G201" s="1"/>
      <c r="H201" s="1"/>
      <c r="I201" s="27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279"/>
      <c r="D202" s="1"/>
      <c r="E202" s="1"/>
      <c r="F202" s="280"/>
      <c r="G202" s="1"/>
      <c r="H202" s="1"/>
      <c r="I202" s="27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279"/>
      <c r="D203" s="1"/>
      <c r="E203" s="1"/>
      <c r="F203" s="280"/>
      <c r="G203" s="1"/>
      <c r="H203" s="1"/>
      <c r="I203" s="27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279"/>
      <c r="D204" s="1"/>
      <c r="E204" s="1"/>
      <c r="F204" s="280"/>
      <c r="G204" s="1"/>
      <c r="H204" s="1"/>
      <c r="I204" s="27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279"/>
      <c r="D205" s="1"/>
      <c r="E205" s="1"/>
      <c r="F205" s="280"/>
      <c r="G205" s="1"/>
      <c r="H205" s="1"/>
      <c r="I205" s="27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279"/>
      <c r="D206" s="1"/>
      <c r="E206" s="1"/>
      <c r="F206" s="280"/>
      <c r="G206" s="1"/>
      <c r="H206" s="1"/>
      <c r="I206" s="27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279"/>
      <c r="D207" s="1"/>
      <c r="E207" s="1"/>
      <c r="F207" s="280"/>
      <c r="G207" s="1"/>
      <c r="H207" s="1"/>
      <c r="I207" s="27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279"/>
      <c r="D208" s="1"/>
      <c r="E208" s="1"/>
      <c r="F208" s="280"/>
      <c r="G208" s="1"/>
      <c r="H208" s="1"/>
      <c r="I208" s="27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279"/>
      <c r="D209" s="1"/>
      <c r="E209" s="1"/>
      <c r="F209" s="280"/>
      <c r="G209" s="1"/>
      <c r="H209" s="1"/>
      <c r="I209" s="27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279"/>
      <c r="D210" s="1"/>
      <c r="E210" s="1"/>
      <c r="F210" s="280"/>
      <c r="G210" s="1"/>
      <c r="H210" s="1"/>
      <c r="I210" s="27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279"/>
      <c r="D211" s="1"/>
      <c r="E211" s="1"/>
      <c r="F211" s="280"/>
      <c r="G211" s="1"/>
      <c r="H211" s="1"/>
      <c r="I211" s="27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279"/>
      <c r="D212" s="1"/>
      <c r="E212" s="1"/>
      <c r="F212" s="280"/>
      <c r="G212" s="1"/>
      <c r="H212" s="1"/>
      <c r="I212" s="27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279"/>
      <c r="D213" s="1"/>
      <c r="E213" s="1"/>
      <c r="F213" s="280"/>
      <c r="G213" s="1"/>
      <c r="H213" s="1"/>
      <c r="I213" s="27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279"/>
      <c r="D214" s="1"/>
      <c r="E214" s="1"/>
      <c r="F214" s="280"/>
      <c r="G214" s="1"/>
      <c r="H214" s="1"/>
      <c r="I214" s="27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279"/>
      <c r="D215" s="1"/>
      <c r="E215" s="1"/>
      <c r="F215" s="280"/>
      <c r="G215" s="1"/>
      <c r="H215" s="1"/>
      <c r="I215" s="27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279"/>
      <c r="D216" s="1"/>
      <c r="E216" s="1"/>
      <c r="F216" s="280"/>
      <c r="G216" s="1"/>
      <c r="H216" s="1"/>
      <c r="I216" s="27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279"/>
      <c r="D217" s="1"/>
      <c r="E217" s="1"/>
      <c r="F217" s="280"/>
      <c r="G217" s="1"/>
      <c r="H217" s="1"/>
      <c r="I217" s="27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279"/>
      <c r="D218" s="1"/>
      <c r="E218" s="1"/>
      <c r="F218" s="280"/>
      <c r="G218" s="1"/>
      <c r="H218" s="1"/>
      <c r="I218" s="27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279"/>
      <c r="D219" s="1"/>
      <c r="E219" s="1"/>
      <c r="F219" s="280"/>
      <c r="G219" s="1"/>
      <c r="H219" s="1"/>
      <c r="I219" s="27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279"/>
      <c r="D220" s="1"/>
      <c r="E220" s="1"/>
      <c r="F220" s="280"/>
      <c r="G220" s="1"/>
      <c r="H220" s="1"/>
      <c r="I220" s="27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279"/>
      <c r="D221" s="1"/>
      <c r="E221" s="1"/>
      <c r="F221" s="280"/>
      <c r="G221" s="1"/>
      <c r="H221" s="1"/>
      <c r="I221" s="27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279"/>
      <c r="D222" s="1"/>
      <c r="E222" s="1"/>
      <c r="F222" s="280"/>
      <c r="G222" s="1"/>
      <c r="H222" s="1"/>
      <c r="I222" s="27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279"/>
      <c r="D223" s="1"/>
      <c r="E223" s="1"/>
      <c r="F223" s="280"/>
      <c r="G223" s="1"/>
      <c r="H223" s="1"/>
      <c r="I223" s="27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279"/>
      <c r="D224" s="1"/>
      <c r="E224" s="1"/>
      <c r="F224" s="280"/>
      <c r="G224" s="1"/>
      <c r="H224" s="1"/>
      <c r="I224" s="27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279"/>
      <c r="D225" s="1"/>
      <c r="E225" s="1"/>
      <c r="F225" s="280"/>
      <c r="G225" s="1"/>
      <c r="H225" s="1"/>
      <c r="I225" s="27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279"/>
      <c r="D226" s="1"/>
      <c r="E226" s="1"/>
      <c r="F226" s="280"/>
      <c r="G226" s="1"/>
      <c r="H226" s="1"/>
      <c r="I226" s="27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279"/>
      <c r="D227" s="1"/>
      <c r="E227" s="1"/>
      <c r="F227" s="280"/>
      <c r="G227" s="1"/>
      <c r="H227" s="1"/>
      <c r="I227" s="27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279"/>
      <c r="D228" s="1"/>
      <c r="E228" s="1"/>
      <c r="F228" s="280"/>
      <c r="G228" s="1"/>
      <c r="H228" s="1"/>
      <c r="I228" s="27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279"/>
      <c r="D229" s="1"/>
      <c r="E229" s="1"/>
      <c r="F229" s="280"/>
      <c r="G229" s="1"/>
      <c r="H229" s="1"/>
      <c r="I229" s="27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279"/>
      <c r="D230" s="1"/>
      <c r="E230" s="1"/>
      <c r="F230" s="280"/>
      <c r="G230" s="1"/>
      <c r="H230" s="1"/>
      <c r="I230" s="27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279"/>
      <c r="D231" s="1"/>
      <c r="E231" s="1"/>
      <c r="F231" s="280"/>
      <c r="G231" s="1"/>
      <c r="H231" s="1"/>
      <c r="I231" s="27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279"/>
      <c r="D232" s="1"/>
      <c r="E232" s="1"/>
      <c r="F232" s="280"/>
      <c r="G232" s="1"/>
      <c r="H232" s="1"/>
      <c r="I232" s="27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279"/>
      <c r="D233" s="1"/>
      <c r="E233" s="1"/>
      <c r="F233" s="280"/>
      <c r="G233" s="1"/>
      <c r="H233" s="1"/>
      <c r="I233" s="27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279"/>
      <c r="D234" s="1"/>
      <c r="E234" s="1"/>
      <c r="F234" s="280"/>
      <c r="G234" s="1"/>
      <c r="H234" s="1"/>
      <c r="I234" s="27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279"/>
      <c r="D235" s="1"/>
      <c r="E235" s="1"/>
      <c r="F235" s="280"/>
      <c r="G235" s="1"/>
      <c r="H235" s="1"/>
      <c r="I235" s="27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279"/>
      <c r="D236" s="1"/>
      <c r="E236" s="1"/>
      <c r="F236" s="280"/>
      <c r="G236" s="1"/>
      <c r="H236" s="1"/>
      <c r="I236" s="27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279"/>
      <c r="D237" s="1"/>
      <c r="E237" s="1"/>
      <c r="F237" s="280"/>
      <c r="G237" s="1"/>
      <c r="H237" s="1"/>
      <c r="I237" s="27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279"/>
      <c r="D238" s="1"/>
      <c r="E238" s="1"/>
      <c r="F238" s="280"/>
      <c r="G238" s="1"/>
      <c r="H238" s="1"/>
      <c r="I238" s="27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279"/>
      <c r="D239" s="1"/>
      <c r="E239" s="1"/>
      <c r="F239" s="280"/>
      <c r="G239" s="1"/>
      <c r="H239" s="1"/>
      <c r="I239" s="27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279"/>
      <c r="D240" s="1"/>
      <c r="E240" s="1"/>
      <c r="F240" s="280"/>
      <c r="G240" s="1"/>
      <c r="H240" s="1"/>
      <c r="I240" s="27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279"/>
      <c r="D241" s="1"/>
      <c r="E241" s="1"/>
      <c r="F241" s="280"/>
      <c r="G241" s="1"/>
      <c r="H241" s="1"/>
      <c r="I241" s="27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279"/>
      <c r="D242" s="1"/>
      <c r="E242" s="1"/>
      <c r="F242" s="280"/>
      <c r="G242" s="1"/>
      <c r="H242" s="1"/>
      <c r="I242" s="27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279"/>
      <c r="D243" s="1"/>
      <c r="E243" s="1"/>
      <c r="F243" s="280"/>
      <c r="G243" s="1"/>
      <c r="H243" s="1"/>
      <c r="I243" s="27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279"/>
      <c r="D244" s="1"/>
      <c r="E244" s="1"/>
      <c r="F244" s="280"/>
      <c r="G244" s="1"/>
      <c r="H244" s="1"/>
      <c r="I244" s="27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279"/>
      <c r="D245" s="1"/>
      <c r="E245" s="1"/>
      <c r="F245" s="280"/>
      <c r="G245" s="1"/>
      <c r="H245" s="1"/>
      <c r="I245" s="27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279"/>
      <c r="D246" s="1"/>
      <c r="E246" s="1"/>
      <c r="F246" s="280"/>
      <c r="G246" s="1"/>
      <c r="H246" s="1"/>
      <c r="I246" s="27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279"/>
      <c r="D247" s="1"/>
      <c r="E247" s="1"/>
      <c r="F247" s="280"/>
      <c r="G247" s="1"/>
      <c r="H247" s="1"/>
      <c r="I247" s="27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279"/>
      <c r="D248" s="1"/>
      <c r="E248" s="1"/>
      <c r="F248" s="280"/>
      <c r="G248" s="1"/>
      <c r="H248" s="1"/>
      <c r="I248" s="27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279"/>
      <c r="D249" s="1"/>
      <c r="E249" s="1"/>
      <c r="F249" s="280"/>
      <c r="G249" s="1"/>
      <c r="H249" s="1"/>
      <c r="I249" s="27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279"/>
      <c r="D250" s="1"/>
      <c r="E250" s="1"/>
      <c r="F250" s="280"/>
      <c r="G250" s="1"/>
      <c r="H250" s="1"/>
      <c r="I250" s="27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279"/>
      <c r="D251" s="1"/>
      <c r="E251" s="1"/>
      <c r="F251" s="280"/>
      <c r="G251" s="1"/>
      <c r="H251" s="1"/>
      <c r="I251" s="27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279"/>
      <c r="D252" s="1"/>
      <c r="E252" s="1"/>
      <c r="F252" s="280"/>
      <c r="G252" s="1"/>
      <c r="H252" s="1"/>
      <c r="I252" s="27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279"/>
      <c r="D253" s="1"/>
      <c r="E253" s="1"/>
      <c r="F253" s="280"/>
      <c r="G253" s="1"/>
      <c r="H253" s="1"/>
      <c r="I253" s="27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279"/>
      <c r="D254" s="1"/>
      <c r="E254" s="1"/>
      <c r="F254" s="280"/>
      <c r="G254" s="1"/>
      <c r="H254" s="1"/>
      <c r="I254" s="27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279"/>
      <c r="D255" s="1"/>
      <c r="E255" s="1"/>
      <c r="F255" s="280"/>
      <c r="G255" s="1"/>
      <c r="H255" s="1"/>
      <c r="I255" s="27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279"/>
      <c r="D256" s="1"/>
      <c r="E256" s="1"/>
      <c r="F256" s="280"/>
      <c r="G256" s="1"/>
      <c r="H256" s="1"/>
      <c r="I256" s="27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279"/>
      <c r="D257" s="1"/>
      <c r="E257" s="1"/>
      <c r="F257" s="280"/>
      <c r="G257" s="1"/>
      <c r="H257" s="1"/>
      <c r="I257" s="27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279"/>
      <c r="D258" s="1"/>
      <c r="E258" s="1"/>
      <c r="F258" s="280"/>
      <c r="G258" s="1"/>
      <c r="H258" s="1"/>
      <c r="I258" s="27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279"/>
      <c r="D259" s="1"/>
      <c r="E259" s="1"/>
      <c r="F259" s="280"/>
      <c r="G259" s="1"/>
      <c r="H259" s="1"/>
      <c r="I259" s="27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279"/>
      <c r="D260" s="1"/>
      <c r="E260" s="1"/>
      <c r="F260" s="280"/>
      <c r="G260" s="1"/>
      <c r="H260" s="1"/>
      <c r="I260" s="27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279"/>
      <c r="D261" s="1"/>
      <c r="E261" s="1"/>
      <c r="F261" s="280"/>
      <c r="G261" s="1"/>
      <c r="H261" s="1"/>
      <c r="I261" s="27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279"/>
      <c r="D262" s="1"/>
      <c r="E262" s="1"/>
      <c r="F262" s="280"/>
      <c r="G262" s="1"/>
      <c r="H262" s="1"/>
      <c r="I262" s="27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279"/>
      <c r="D263" s="1"/>
      <c r="E263" s="1"/>
      <c r="F263" s="280"/>
      <c r="G263" s="1"/>
      <c r="H263" s="1"/>
      <c r="I263" s="27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279"/>
      <c r="D264" s="1"/>
      <c r="E264" s="1"/>
      <c r="F264" s="280"/>
      <c r="G264" s="1"/>
      <c r="H264" s="1"/>
      <c r="I264" s="27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279"/>
      <c r="D265" s="1"/>
      <c r="E265" s="1"/>
      <c r="F265" s="280"/>
      <c r="G265" s="1"/>
      <c r="H265" s="1"/>
      <c r="I265" s="27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279"/>
      <c r="D266" s="1"/>
      <c r="E266" s="1"/>
      <c r="F266" s="280"/>
      <c r="G266" s="1"/>
      <c r="H266" s="1"/>
      <c r="I266" s="27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279"/>
      <c r="D267" s="1"/>
      <c r="E267" s="1"/>
      <c r="F267" s="280"/>
      <c r="G267" s="1"/>
      <c r="H267" s="1"/>
      <c r="I267" s="27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279"/>
      <c r="D268" s="1"/>
      <c r="E268" s="1"/>
      <c r="F268" s="280"/>
      <c r="G268" s="1"/>
      <c r="H268" s="1"/>
      <c r="I268" s="27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279"/>
      <c r="D269" s="1"/>
      <c r="E269" s="1"/>
      <c r="F269" s="280"/>
      <c r="G269" s="1"/>
      <c r="H269" s="1"/>
      <c r="I269" s="27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279"/>
      <c r="D270" s="1"/>
      <c r="E270" s="1"/>
      <c r="F270" s="280"/>
      <c r="G270" s="1"/>
      <c r="H270" s="1"/>
      <c r="I270" s="27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279"/>
      <c r="D271" s="1"/>
      <c r="E271" s="1"/>
      <c r="F271" s="280"/>
      <c r="G271" s="1"/>
      <c r="H271" s="1"/>
      <c r="I271" s="27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279"/>
      <c r="D272" s="1"/>
      <c r="E272" s="1"/>
      <c r="F272" s="280"/>
      <c r="G272" s="1"/>
      <c r="H272" s="1"/>
      <c r="I272" s="27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279"/>
      <c r="D273" s="1"/>
      <c r="E273" s="1"/>
      <c r="F273" s="280"/>
      <c r="G273" s="1"/>
      <c r="H273" s="1"/>
      <c r="I273" s="27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279"/>
      <c r="D274" s="1"/>
      <c r="E274" s="1"/>
      <c r="F274" s="280"/>
      <c r="G274" s="1"/>
      <c r="H274" s="1"/>
      <c r="I274" s="27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279"/>
      <c r="D275" s="1"/>
      <c r="E275" s="1"/>
      <c r="F275" s="280"/>
      <c r="G275" s="1"/>
      <c r="H275" s="1"/>
      <c r="I275" s="27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279"/>
      <c r="D276" s="1"/>
      <c r="E276" s="1"/>
      <c r="F276" s="280"/>
      <c r="G276" s="1"/>
      <c r="H276" s="1"/>
      <c r="I276" s="27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279"/>
      <c r="D277" s="1"/>
      <c r="E277" s="1"/>
      <c r="F277" s="280"/>
      <c r="G277" s="1"/>
      <c r="H277" s="1"/>
      <c r="I277" s="27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279"/>
      <c r="D278" s="1"/>
      <c r="E278" s="1"/>
      <c r="F278" s="280"/>
      <c r="G278" s="1"/>
      <c r="H278" s="1"/>
      <c r="I278" s="27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279"/>
      <c r="D279" s="1"/>
      <c r="E279" s="1"/>
      <c r="F279" s="280"/>
      <c r="G279" s="1"/>
      <c r="H279" s="1"/>
      <c r="I279" s="27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279"/>
      <c r="D280" s="1"/>
      <c r="E280" s="1"/>
      <c r="F280" s="280"/>
      <c r="G280" s="1"/>
      <c r="H280" s="1"/>
      <c r="I280" s="27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279"/>
      <c r="D281" s="1"/>
      <c r="E281" s="1"/>
      <c r="F281" s="280"/>
      <c r="G281" s="1"/>
      <c r="H281" s="1"/>
      <c r="I281" s="27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279"/>
      <c r="D282" s="1"/>
      <c r="E282" s="1"/>
      <c r="F282" s="280"/>
      <c r="G282" s="1"/>
      <c r="H282" s="1"/>
      <c r="I282" s="27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279"/>
      <c r="D283" s="1"/>
      <c r="E283" s="1"/>
      <c r="F283" s="280"/>
      <c r="G283" s="1"/>
      <c r="H283" s="1"/>
      <c r="I283" s="27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279"/>
      <c r="D284" s="1"/>
      <c r="E284" s="1"/>
      <c r="F284" s="280"/>
      <c r="G284" s="1"/>
      <c r="H284" s="1"/>
      <c r="I284" s="27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279"/>
      <c r="D285" s="1"/>
      <c r="E285" s="1"/>
      <c r="F285" s="280"/>
      <c r="G285" s="1"/>
      <c r="H285" s="1"/>
      <c r="I285" s="27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279"/>
      <c r="D286" s="1"/>
      <c r="E286" s="1"/>
      <c r="F286" s="280"/>
      <c r="G286" s="1"/>
      <c r="H286" s="1"/>
      <c r="I286" s="27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279"/>
      <c r="D287" s="1"/>
      <c r="E287" s="1"/>
      <c r="F287" s="280"/>
      <c r="G287" s="1"/>
      <c r="H287" s="1"/>
      <c r="I287" s="27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279"/>
      <c r="D288" s="1"/>
      <c r="E288" s="1"/>
      <c r="F288" s="280"/>
      <c r="G288" s="1"/>
      <c r="H288" s="1"/>
      <c r="I288" s="27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279"/>
      <c r="D289" s="1"/>
      <c r="E289" s="1"/>
      <c r="F289" s="280"/>
      <c r="G289" s="1"/>
      <c r="H289" s="1"/>
      <c r="I289" s="27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279"/>
      <c r="D290" s="1"/>
      <c r="E290" s="1"/>
      <c r="F290" s="280"/>
      <c r="G290" s="1"/>
      <c r="H290" s="1"/>
      <c r="I290" s="27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279"/>
      <c r="D291" s="1"/>
      <c r="E291" s="1"/>
      <c r="F291" s="280"/>
      <c r="G291" s="1"/>
      <c r="H291" s="1"/>
      <c r="I291" s="27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279"/>
      <c r="D292" s="1"/>
      <c r="E292" s="1"/>
      <c r="F292" s="280"/>
      <c r="G292" s="1"/>
      <c r="H292" s="1"/>
      <c r="I292" s="27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279"/>
      <c r="D293" s="1"/>
      <c r="E293" s="1"/>
      <c r="F293" s="280"/>
      <c r="G293" s="1"/>
      <c r="H293" s="1"/>
      <c r="I293" s="27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279"/>
      <c r="D294" s="1"/>
      <c r="E294" s="1"/>
      <c r="F294" s="280"/>
      <c r="G294" s="1"/>
      <c r="H294" s="1"/>
      <c r="I294" s="27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279"/>
      <c r="D295" s="1"/>
      <c r="E295" s="1"/>
      <c r="F295" s="280"/>
      <c r="G295" s="1"/>
      <c r="H295" s="1"/>
      <c r="I295" s="27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279"/>
      <c r="D296" s="1"/>
      <c r="E296" s="1"/>
      <c r="F296" s="280"/>
      <c r="G296" s="1"/>
      <c r="H296" s="1"/>
      <c r="I296" s="27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279"/>
      <c r="D297" s="1"/>
      <c r="E297" s="1"/>
      <c r="F297" s="280"/>
      <c r="G297" s="1"/>
      <c r="H297" s="1"/>
      <c r="I297" s="27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279"/>
      <c r="D298" s="1"/>
      <c r="E298" s="1"/>
      <c r="F298" s="280"/>
      <c r="G298" s="1"/>
      <c r="H298" s="1"/>
      <c r="I298" s="27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279"/>
      <c r="D299" s="1"/>
      <c r="E299" s="1"/>
      <c r="F299" s="280"/>
      <c r="G299" s="1"/>
      <c r="H299" s="1"/>
      <c r="I299" s="27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279"/>
      <c r="D300" s="1"/>
      <c r="E300" s="1"/>
      <c r="F300" s="280"/>
      <c r="G300" s="1"/>
      <c r="H300" s="1"/>
      <c r="I300" s="27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279"/>
      <c r="D301" s="1"/>
      <c r="E301" s="1"/>
      <c r="F301" s="280"/>
      <c r="G301" s="1"/>
      <c r="H301" s="1"/>
      <c r="I301" s="27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279"/>
      <c r="D302" s="1"/>
      <c r="E302" s="1"/>
      <c r="F302" s="280"/>
      <c r="G302" s="1"/>
      <c r="H302" s="1"/>
      <c r="I302" s="27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279"/>
      <c r="D303" s="1"/>
      <c r="E303" s="1"/>
      <c r="F303" s="280"/>
      <c r="G303" s="1"/>
      <c r="H303" s="1"/>
      <c r="I303" s="27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279"/>
      <c r="D304" s="1"/>
      <c r="E304" s="1"/>
      <c r="F304" s="280"/>
      <c r="G304" s="1"/>
      <c r="H304" s="1"/>
      <c r="I304" s="27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279"/>
      <c r="D305" s="1"/>
      <c r="E305" s="1"/>
      <c r="F305" s="280"/>
      <c r="G305" s="1"/>
      <c r="H305" s="1"/>
      <c r="I305" s="27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279"/>
      <c r="D306" s="1"/>
      <c r="E306" s="1"/>
      <c r="F306" s="280"/>
      <c r="G306" s="1"/>
      <c r="H306" s="1"/>
      <c r="I306" s="27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279"/>
      <c r="D307" s="1"/>
      <c r="E307" s="1"/>
      <c r="F307" s="280"/>
      <c r="G307" s="1"/>
      <c r="H307" s="1"/>
      <c r="I307" s="27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279"/>
      <c r="D308" s="1"/>
      <c r="E308" s="1"/>
      <c r="F308" s="280"/>
      <c r="G308" s="1"/>
      <c r="H308" s="1"/>
      <c r="I308" s="27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279"/>
      <c r="D309" s="1"/>
      <c r="E309" s="1"/>
      <c r="F309" s="280"/>
      <c r="G309" s="1"/>
      <c r="H309" s="1"/>
      <c r="I309" s="27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279"/>
      <c r="D310" s="1"/>
      <c r="E310" s="1"/>
      <c r="F310" s="280"/>
      <c r="G310" s="1"/>
      <c r="H310" s="1"/>
      <c r="I310" s="27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279"/>
      <c r="D311" s="1"/>
      <c r="E311" s="1"/>
      <c r="F311" s="280"/>
      <c r="G311" s="1"/>
      <c r="H311" s="1"/>
      <c r="I311" s="27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279"/>
      <c r="D312" s="1"/>
      <c r="E312" s="1"/>
      <c r="F312" s="280"/>
      <c r="G312" s="1"/>
      <c r="H312" s="1"/>
      <c r="I312" s="27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279"/>
      <c r="D313" s="1"/>
      <c r="E313" s="1"/>
      <c r="F313" s="280"/>
      <c r="G313" s="1"/>
      <c r="H313" s="1"/>
      <c r="I313" s="27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279"/>
      <c r="D314" s="1"/>
      <c r="E314" s="1"/>
      <c r="F314" s="280"/>
      <c r="G314" s="1"/>
      <c r="H314" s="1"/>
      <c r="I314" s="27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279"/>
      <c r="D315" s="1"/>
      <c r="E315" s="1"/>
      <c r="F315" s="280"/>
      <c r="G315" s="1"/>
      <c r="H315" s="1"/>
      <c r="I315" s="27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279"/>
      <c r="D316" s="1"/>
      <c r="E316" s="1"/>
      <c r="F316" s="280"/>
      <c r="G316" s="1"/>
      <c r="H316" s="1"/>
      <c r="I316" s="27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279"/>
      <c r="D317" s="1"/>
      <c r="E317" s="1"/>
      <c r="F317" s="280"/>
      <c r="G317" s="1"/>
      <c r="H317" s="1"/>
      <c r="I317" s="27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279"/>
      <c r="D318" s="1"/>
      <c r="E318" s="1"/>
      <c r="F318" s="280"/>
      <c r="G318" s="1"/>
      <c r="H318" s="1"/>
      <c r="I318" s="27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279"/>
      <c r="D319" s="1"/>
      <c r="E319" s="1"/>
      <c r="F319" s="280"/>
      <c r="G319" s="1"/>
      <c r="H319" s="1"/>
      <c r="I319" s="27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279"/>
      <c r="D320" s="1"/>
      <c r="E320" s="1"/>
      <c r="F320" s="280"/>
      <c r="G320" s="1"/>
      <c r="H320" s="1"/>
      <c r="I320" s="27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279"/>
      <c r="D321" s="1"/>
      <c r="E321" s="1"/>
      <c r="F321" s="280"/>
      <c r="G321" s="1"/>
      <c r="H321" s="1"/>
      <c r="I321" s="27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279"/>
      <c r="D322" s="1"/>
      <c r="E322" s="1"/>
      <c r="F322" s="280"/>
      <c r="G322" s="1"/>
      <c r="H322" s="1"/>
      <c r="I322" s="27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279"/>
      <c r="D323" s="1"/>
      <c r="E323" s="1"/>
      <c r="F323" s="280"/>
      <c r="G323" s="1"/>
      <c r="H323" s="1"/>
      <c r="I323" s="27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279"/>
      <c r="D324" s="1"/>
      <c r="E324" s="1"/>
      <c r="F324" s="280"/>
      <c r="G324" s="1"/>
      <c r="H324" s="1"/>
      <c r="I324" s="27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279"/>
      <c r="D325" s="1"/>
      <c r="E325" s="1"/>
      <c r="F325" s="280"/>
      <c r="G325" s="1"/>
      <c r="H325" s="1"/>
      <c r="I325" s="27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279"/>
      <c r="D326" s="1"/>
      <c r="E326" s="1"/>
      <c r="F326" s="280"/>
      <c r="G326" s="1"/>
      <c r="H326" s="1"/>
      <c r="I326" s="27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279"/>
      <c r="D327" s="1"/>
      <c r="E327" s="1"/>
      <c r="F327" s="280"/>
      <c r="G327" s="1"/>
      <c r="H327" s="1"/>
      <c r="I327" s="27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279"/>
      <c r="D328" s="1"/>
      <c r="E328" s="1"/>
      <c r="F328" s="280"/>
      <c r="G328" s="1"/>
      <c r="H328" s="1"/>
      <c r="I328" s="27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279"/>
      <c r="D329" s="1"/>
      <c r="E329" s="1"/>
      <c r="F329" s="280"/>
      <c r="G329" s="1"/>
      <c r="H329" s="1"/>
      <c r="I329" s="27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279"/>
      <c r="D330" s="1"/>
      <c r="E330" s="1"/>
      <c r="F330" s="280"/>
      <c r="G330" s="1"/>
      <c r="H330" s="1"/>
      <c r="I330" s="27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279"/>
      <c r="D331" s="1"/>
      <c r="E331" s="1"/>
      <c r="F331" s="280"/>
      <c r="G331" s="1"/>
      <c r="H331" s="1"/>
      <c r="I331" s="27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279"/>
      <c r="D332" s="1"/>
      <c r="E332" s="1"/>
      <c r="F332" s="280"/>
      <c r="G332" s="1"/>
      <c r="H332" s="1"/>
      <c r="I332" s="27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279"/>
      <c r="D333" s="1"/>
      <c r="E333" s="1"/>
      <c r="F333" s="280"/>
      <c r="G333" s="1"/>
      <c r="H333" s="1"/>
      <c r="I333" s="27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279"/>
      <c r="D334" s="1"/>
      <c r="E334" s="1"/>
      <c r="F334" s="280"/>
      <c r="G334" s="1"/>
      <c r="H334" s="1"/>
      <c r="I334" s="27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279"/>
      <c r="D335" s="1"/>
      <c r="E335" s="1"/>
      <c r="F335" s="280"/>
      <c r="G335" s="1"/>
      <c r="H335" s="1"/>
      <c r="I335" s="27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279"/>
      <c r="D336" s="1"/>
      <c r="E336" s="1"/>
      <c r="F336" s="280"/>
      <c r="G336" s="1"/>
      <c r="H336" s="1"/>
      <c r="I336" s="27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279"/>
      <c r="D337" s="1"/>
      <c r="E337" s="1"/>
      <c r="F337" s="280"/>
      <c r="G337" s="1"/>
      <c r="H337" s="1"/>
      <c r="I337" s="27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279"/>
      <c r="D338" s="1"/>
      <c r="E338" s="1"/>
      <c r="F338" s="280"/>
      <c r="G338" s="1"/>
      <c r="H338" s="1"/>
      <c r="I338" s="27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279"/>
      <c r="D339" s="1"/>
      <c r="E339" s="1"/>
      <c r="F339" s="280"/>
      <c r="G339" s="1"/>
      <c r="H339" s="1"/>
      <c r="I339" s="27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279"/>
      <c r="D340" s="1"/>
      <c r="E340" s="1"/>
      <c r="F340" s="280"/>
      <c r="G340" s="1"/>
      <c r="H340" s="1"/>
      <c r="I340" s="27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279"/>
      <c r="D341" s="1"/>
      <c r="E341" s="1"/>
      <c r="F341" s="280"/>
      <c r="G341" s="1"/>
      <c r="H341" s="1"/>
      <c r="I341" s="27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279"/>
      <c r="D342" s="1"/>
      <c r="E342" s="1"/>
      <c r="F342" s="280"/>
      <c r="G342" s="1"/>
      <c r="H342" s="1"/>
      <c r="I342" s="27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279"/>
      <c r="D343" s="1"/>
      <c r="E343" s="1"/>
      <c r="F343" s="280"/>
      <c r="G343" s="1"/>
      <c r="H343" s="1"/>
      <c r="I343" s="27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279"/>
      <c r="D344" s="1"/>
      <c r="E344" s="1"/>
      <c r="F344" s="280"/>
      <c r="G344" s="1"/>
      <c r="H344" s="1"/>
      <c r="I344" s="27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279"/>
      <c r="D345" s="1"/>
      <c r="E345" s="1"/>
      <c r="F345" s="280"/>
      <c r="G345" s="1"/>
      <c r="H345" s="1"/>
      <c r="I345" s="27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279"/>
      <c r="D346" s="1"/>
      <c r="E346" s="1"/>
      <c r="F346" s="280"/>
      <c r="G346" s="1"/>
      <c r="H346" s="1"/>
      <c r="I346" s="27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279"/>
      <c r="D347" s="1"/>
      <c r="E347" s="1"/>
      <c r="F347" s="280"/>
      <c r="G347" s="1"/>
      <c r="H347" s="1"/>
      <c r="I347" s="27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279"/>
      <c r="D348" s="1"/>
      <c r="E348" s="1"/>
      <c r="F348" s="280"/>
      <c r="G348" s="1"/>
      <c r="H348" s="1"/>
      <c r="I348" s="27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279"/>
      <c r="D349" s="1"/>
      <c r="E349" s="1"/>
      <c r="F349" s="280"/>
      <c r="G349" s="1"/>
      <c r="H349" s="1"/>
      <c r="I349" s="27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279"/>
      <c r="D350" s="1"/>
      <c r="E350" s="1"/>
      <c r="F350" s="280"/>
      <c r="G350" s="1"/>
      <c r="H350" s="1"/>
      <c r="I350" s="27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279"/>
      <c r="D351" s="1"/>
      <c r="E351" s="1"/>
      <c r="F351" s="280"/>
      <c r="G351" s="1"/>
      <c r="H351" s="1"/>
      <c r="I351" s="27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279"/>
      <c r="D352" s="1"/>
      <c r="E352" s="1"/>
      <c r="F352" s="280"/>
      <c r="G352" s="1"/>
      <c r="H352" s="1"/>
      <c r="I352" s="27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279"/>
      <c r="D353" s="1"/>
      <c r="E353" s="1"/>
      <c r="F353" s="280"/>
      <c r="G353" s="1"/>
      <c r="H353" s="1"/>
      <c r="I353" s="27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279"/>
      <c r="D354" s="1"/>
      <c r="E354" s="1"/>
      <c r="F354" s="280"/>
      <c r="G354" s="1"/>
      <c r="H354" s="1"/>
      <c r="I354" s="27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279"/>
      <c r="D355" s="1"/>
      <c r="E355" s="1"/>
      <c r="F355" s="280"/>
      <c r="G355" s="1"/>
      <c r="H355" s="1"/>
      <c r="I355" s="27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279"/>
      <c r="D356" s="1"/>
      <c r="E356" s="1"/>
      <c r="F356" s="280"/>
      <c r="G356" s="1"/>
      <c r="H356" s="1"/>
      <c r="I356" s="27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279"/>
      <c r="D357" s="1"/>
      <c r="E357" s="1"/>
      <c r="F357" s="280"/>
      <c r="G357" s="1"/>
      <c r="H357" s="1"/>
      <c r="I357" s="27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279"/>
      <c r="D358" s="1"/>
      <c r="E358" s="1"/>
      <c r="F358" s="280"/>
      <c r="G358" s="1"/>
      <c r="H358" s="1"/>
      <c r="I358" s="27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279"/>
      <c r="D359" s="1"/>
      <c r="E359" s="1"/>
      <c r="F359" s="280"/>
      <c r="G359" s="1"/>
      <c r="H359" s="1"/>
      <c r="I359" s="27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279"/>
      <c r="D360" s="1"/>
      <c r="E360" s="1"/>
      <c r="F360" s="280"/>
      <c r="G360" s="1"/>
      <c r="H360" s="1"/>
      <c r="I360" s="27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279"/>
      <c r="D361" s="1"/>
      <c r="E361" s="1"/>
      <c r="F361" s="280"/>
      <c r="G361" s="1"/>
      <c r="H361" s="1"/>
      <c r="I361" s="27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279"/>
      <c r="D362" s="1"/>
      <c r="E362" s="1"/>
      <c r="F362" s="280"/>
      <c r="G362" s="1"/>
      <c r="H362" s="1"/>
      <c r="I362" s="27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279"/>
      <c r="D363" s="1"/>
      <c r="E363" s="1"/>
      <c r="F363" s="280"/>
      <c r="G363" s="1"/>
      <c r="H363" s="1"/>
      <c r="I363" s="27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279"/>
      <c r="D364" s="1"/>
      <c r="E364" s="1"/>
      <c r="F364" s="280"/>
      <c r="G364" s="1"/>
      <c r="H364" s="1"/>
      <c r="I364" s="27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279"/>
      <c r="D365" s="1"/>
      <c r="E365" s="1"/>
      <c r="F365" s="280"/>
      <c r="G365" s="1"/>
      <c r="H365" s="1"/>
      <c r="I365" s="27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279"/>
      <c r="D366" s="1"/>
      <c r="E366" s="1"/>
      <c r="F366" s="280"/>
      <c r="G366" s="1"/>
      <c r="H366" s="1"/>
      <c r="I366" s="27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279"/>
      <c r="D367" s="1"/>
      <c r="E367" s="1"/>
      <c r="F367" s="280"/>
      <c r="G367" s="1"/>
      <c r="H367" s="1"/>
      <c r="I367" s="27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279"/>
      <c r="D368" s="1"/>
      <c r="E368" s="1"/>
      <c r="F368" s="280"/>
      <c r="G368" s="1"/>
      <c r="H368" s="1"/>
      <c r="I368" s="27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279"/>
      <c r="D369" s="1"/>
      <c r="E369" s="1"/>
      <c r="F369" s="280"/>
      <c r="G369" s="1"/>
      <c r="H369" s="1"/>
      <c r="I369" s="27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279"/>
      <c r="D370" s="1"/>
      <c r="E370" s="1"/>
      <c r="F370" s="280"/>
      <c r="G370" s="1"/>
      <c r="H370" s="1"/>
      <c r="I370" s="27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279"/>
      <c r="D371" s="1"/>
      <c r="E371" s="1"/>
      <c r="F371" s="280"/>
      <c r="G371" s="1"/>
      <c r="H371" s="1"/>
      <c r="I371" s="27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279"/>
      <c r="D372" s="1"/>
      <c r="E372" s="1"/>
      <c r="F372" s="280"/>
      <c r="G372" s="1"/>
      <c r="H372" s="1"/>
      <c r="I372" s="27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279"/>
      <c r="D373" s="1"/>
      <c r="E373" s="1"/>
      <c r="F373" s="280"/>
      <c r="G373" s="1"/>
      <c r="H373" s="1"/>
      <c r="I373" s="27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279"/>
      <c r="D374" s="1"/>
      <c r="E374" s="1"/>
      <c r="F374" s="280"/>
      <c r="G374" s="1"/>
      <c r="H374" s="1"/>
      <c r="I374" s="27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279"/>
      <c r="D375" s="1"/>
      <c r="E375" s="1"/>
      <c r="F375" s="280"/>
      <c r="G375" s="1"/>
      <c r="H375" s="1"/>
      <c r="I375" s="27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279"/>
      <c r="D376" s="1"/>
      <c r="E376" s="1"/>
      <c r="F376" s="280"/>
      <c r="G376" s="1"/>
      <c r="H376" s="1"/>
      <c r="I376" s="27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279"/>
      <c r="D377" s="1"/>
      <c r="E377" s="1"/>
      <c r="F377" s="280"/>
      <c r="G377" s="1"/>
      <c r="H377" s="1"/>
      <c r="I377" s="27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279"/>
      <c r="D378" s="1"/>
      <c r="E378" s="1"/>
      <c r="F378" s="280"/>
      <c r="G378" s="1"/>
      <c r="H378" s="1"/>
      <c r="I378" s="27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279"/>
      <c r="D379" s="1"/>
      <c r="E379" s="1"/>
      <c r="F379" s="280"/>
      <c r="G379" s="1"/>
      <c r="H379" s="1"/>
      <c r="I379" s="27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279"/>
      <c r="D380" s="1"/>
      <c r="E380" s="1"/>
      <c r="F380" s="280"/>
      <c r="G380" s="1"/>
      <c r="H380" s="1"/>
      <c r="I380" s="27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279"/>
      <c r="D381" s="1"/>
      <c r="E381" s="1"/>
      <c r="F381" s="280"/>
      <c r="G381" s="1"/>
      <c r="H381" s="1"/>
      <c r="I381" s="27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279"/>
      <c r="D382" s="1"/>
      <c r="E382" s="1"/>
      <c r="F382" s="280"/>
      <c r="G382" s="1"/>
      <c r="H382" s="1"/>
      <c r="I382" s="27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279"/>
      <c r="D383" s="1"/>
      <c r="E383" s="1"/>
      <c r="F383" s="280"/>
      <c r="G383" s="1"/>
      <c r="H383" s="1"/>
      <c r="I383" s="27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279"/>
      <c r="D384" s="1"/>
      <c r="E384" s="1"/>
      <c r="F384" s="280"/>
      <c r="G384" s="1"/>
      <c r="H384" s="1"/>
      <c r="I384" s="27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279"/>
      <c r="D385" s="1"/>
      <c r="E385" s="1"/>
      <c r="F385" s="280"/>
      <c r="G385" s="1"/>
      <c r="H385" s="1"/>
      <c r="I385" s="27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279"/>
      <c r="D386" s="1"/>
      <c r="E386" s="1"/>
      <c r="F386" s="280"/>
      <c r="G386" s="1"/>
      <c r="H386" s="1"/>
      <c r="I386" s="27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279"/>
      <c r="D387" s="1"/>
      <c r="E387" s="1"/>
      <c r="F387" s="280"/>
      <c r="G387" s="1"/>
      <c r="H387" s="1"/>
      <c r="I387" s="27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279"/>
      <c r="D388" s="1"/>
      <c r="E388" s="1"/>
      <c r="F388" s="280"/>
      <c r="G388" s="1"/>
      <c r="H388" s="1"/>
      <c r="I388" s="27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279"/>
      <c r="D389" s="1"/>
      <c r="E389" s="1"/>
      <c r="F389" s="280"/>
      <c r="G389" s="1"/>
      <c r="H389" s="1"/>
      <c r="I389" s="27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279"/>
      <c r="D390" s="1"/>
      <c r="E390" s="1"/>
      <c r="F390" s="280"/>
      <c r="G390" s="1"/>
      <c r="H390" s="1"/>
      <c r="I390" s="27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279"/>
      <c r="D391" s="1"/>
      <c r="E391" s="1"/>
      <c r="F391" s="280"/>
      <c r="G391" s="1"/>
      <c r="H391" s="1"/>
      <c r="I391" s="27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279"/>
      <c r="D392" s="1"/>
      <c r="E392" s="1"/>
      <c r="F392" s="280"/>
      <c r="G392" s="1"/>
      <c r="H392" s="1"/>
      <c r="I392" s="27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279"/>
      <c r="D393" s="1"/>
      <c r="E393" s="1"/>
      <c r="F393" s="280"/>
      <c r="G393" s="1"/>
      <c r="H393" s="1"/>
      <c r="I393" s="27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279"/>
      <c r="D394" s="1"/>
      <c r="E394" s="1"/>
      <c r="F394" s="280"/>
      <c r="G394" s="1"/>
      <c r="H394" s="1"/>
      <c r="I394" s="27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279"/>
      <c r="D395" s="1"/>
      <c r="E395" s="1"/>
      <c r="F395" s="280"/>
      <c r="G395" s="1"/>
      <c r="H395" s="1"/>
      <c r="I395" s="27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279"/>
      <c r="D396" s="1"/>
      <c r="E396" s="1"/>
      <c r="F396" s="280"/>
      <c r="G396" s="1"/>
      <c r="H396" s="1"/>
      <c r="I396" s="27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279"/>
      <c r="D397" s="1"/>
      <c r="E397" s="1"/>
      <c r="F397" s="280"/>
      <c r="G397" s="1"/>
      <c r="H397" s="1"/>
      <c r="I397" s="27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279"/>
      <c r="D398" s="1"/>
      <c r="E398" s="1"/>
      <c r="F398" s="280"/>
      <c r="G398" s="1"/>
      <c r="H398" s="1"/>
      <c r="I398" s="27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279"/>
      <c r="D399" s="1"/>
      <c r="E399" s="1"/>
      <c r="F399" s="280"/>
      <c r="G399" s="1"/>
      <c r="H399" s="1"/>
      <c r="I399" s="27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279"/>
      <c r="D400" s="1"/>
      <c r="E400" s="1"/>
      <c r="F400" s="280"/>
      <c r="G400" s="1"/>
      <c r="H400" s="1"/>
      <c r="I400" s="27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279"/>
      <c r="D401" s="1"/>
      <c r="E401" s="1"/>
      <c r="F401" s="280"/>
      <c r="G401" s="1"/>
      <c r="H401" s="1"/>
      <c r="I401" s="27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279"/>
      <c r="D402" s="1"/>
      <c r="E402" s="1"/>
      <c r="F402" s="280"/>
      <c r="G402" s="1"/>
      <c r="H402" s="1"/>
      <c r="I402" s="27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279"/>
      <c r="D403" s="1"/>
      <c r="E403" s="1"/>
      <c r="F403" s="280"/>
      <c r="G403" s="1"/>
      <c r="H403" s="1"/>
      <c r="I403" s="27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279"/>
      <c r="D404" s="1"/>
      <c r="E404" s="1"/>
      <c r="F404" s="280"/>
      <c r="G404" s="1"/>
      <c r="H404" s="1"/>
      <c r="I404" s="27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279"/>
      <c r="D405" s="1"/>
      <c r="E405" s="1"/>
      <c r="F405" s="280"/>
      <c r="G405" s="1"/>
      <c r="H405" s="1"/>
      <c r="I405" s="27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279"/>
      <c r="D406" s="1"/>
      <c r="E406" s="1"/>
      <c r="F406" s="280"/>
      <c r="G406" s="1"/>
      <c r="H406" s="1"/>
      <c r="I406" s="27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279"/>
      <c r="D407" s="1"/>
      <c r="E407" s="1"/>
      <c r="F407" s="280"/>
      <c r="G407" s="1"/>
      <c r="H407" s="1"/>
      <c r="I407" s="27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279"/>
      <c r="D408" s="1"/>
      <c r="E408" s="1"/>
      <c r="F408" s="280"/>
      <c r="G408" s="1"/>
      <c r="H408" s="1"/>
      <c r="I408" s="27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279"/>
      <c r="D409" s="1"/>
      <c r="E409" s="1"/>
      <c r="F409" s="280"/>
      <c r="G409" s="1"/>
      <c r="H409" s="1"/>
      <c r="I409" s="27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279"/>
      <c r="D410" s="1"/>
      <c r="E410" s="1"/>
      <c r="F410" s="280"/>
      <c r="G410" s="1"/>
      <c r="H410" s="1"/>
      <c r="I410" s="27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279"/>
      <c r="D411" s="1"/>
      <c r="E411" s="1"/>
      <c r="F411" s="280"/>
      <c r="G411" s="1"/>
      <c r="H411" s="1"/>
      <c r="I411" s="27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279"/>
      <c r="D412" s="1"/>
      <c r="E412" s="1"/>
      <c r="F412" s="280"/>
      <c r="G412" s="1"/>
      <c r="H412" s="1"/>
      <c r="I412" s="27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279"/>
      <c r="D413" s="1"/>
      <c r="E413" s="1"/>
      <c r="F413" s="280"/>
      <c r="G413" s="1"/>
      <c r="H413" s="1"/>
      <c r="I413" s="27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279"/>
      <c r="D414" s="1"/>
      <c r="E414" s="1"/>
      <c r="F414" s="280"/>
      <c r="G414" s="1"/>
      <c r="H414" s="1"/>
      <c r="I414" s="27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279"/>
      <c r="D415" s="1"/>
      <c r="E415" s="1"/>
      <c r="F415" s="280"/>
      <c r="G415" s="1"/>
      <c r="H415" s="1"/>
      <c r="I415" s="27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279"/>
      <c r="D416" s="1"/>
      <c r="E416" s="1"/>
      <c r="F416" s="280"/>
      <c r="G416" s="1"/>
      <c r="H416" s="1"/>
      <c r="I416" s="27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279"/>
      <c r="D417" s="1"/>
      <c r="E417" s="1"/>
      <c r="F417" s="280"/>
      <c r="G417" s="1"/>
      <c r="H417" s="1"/>
      <c r="I417" s="27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279"/>
      <c r="D418" s="1"/>
      <c r="E418" s="1"/>
      <c r="F418" s="280"/>
      <c r="G418" s="1"/>
      <c r="H418" s="1"/>
      <c r="I418" s="27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279"/>
      <c r="D419" s="1"/>
      <c r="E419" s="1"/>
      <c r="F419" s="280"/>
      <c r="G419" s="1"/>
      <c r="H419" s="1"/>
      <c r="I419" s="27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279"/>
      <c r="D420" s="1"/>
      <c r="E420" s="1"/>
      <c r="F420" s="280"/>
      <c r="G420" s="1"/>
      <c r="H420" s="1"/>
      <c r="I420" s="27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279"/>
      <c r="D421" s="1"/>
      <c r="E421" s="1"/>
      <c r="F421" s="280"/>
      <c r="G421" s="1"/>
      <c r="H421" s="1"/>
      <c r="I421" s="27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279"/>
      <c r="D422" s="1"/>
      <c r="E422" s="1"/>
      <c r="F422" s="280"/>
      <c r="G422" s="1"/>
      <c r="H422" s="1"/>
      <c r="I422" s="27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279"/>
      <c r="D423" s="1"/>
      <c r="E423" s="1"/>
      <c r="F423" s="280"/>
      <c r="G423" s="1"/>
      <c r="H423" s="1"/>
      <c r="I423" s="27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279"/>
      <c r="D424" s="1"/>
      <c r="E424" s="1"/>
      <c r="F424" s="280"/>
      <c r="G424" s="1"/>
      <c r="H424" s="1"/>
      <c r="I424" s="27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279"/>
      <c r="D425" s="1"/>
      <c r="E425" s="1"/>
      <c r="F425" s="280"/>
      <c r="G425" s="1"/>
      <c r="H425" s="1"/>
      <c r="I425" s="27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279"/>
      <c r="D426" s="1"/>
      <c r="E426" s="1"/>
      <c r="F426" s="280"/>
      <c r="G426" s="1"/>
      <c r="H426" s="1"/>
      <c r="I426" s="27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279"/>
      <c r="D427" s="1"/>
      <c r="E427" s="1"/>
      <c r="F427" s="280"/>
      <c r="G427" s="1"/>
      <c r="H427" s="1"/>
      <c r="I427" s="27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279"/>
      <c r="D428" s="1"/>
      <c r="E428" s="1"/>
      <c r="F428" s="280"/>
      <c r="G428" s="1"/>
      <c r="H428" s="1"/>
      <c r="I428" s="27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279"/>
      <c r="D429" s="1"/>
      <c r="E429" s="1"/>
      <c r="F429" s="280"/>
      <c r="G429" s="1"/>
      <c r="H429" s="1"/>
      <c r="I429" s="27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279"/>
      <c r="D430" s="1"/>
      <c r="E430" s="1"/>
      <c r="F430" s="280"/>
      <c r="G430" s="1"/>
      <c r="H430" s="1"/>
      <c r="I430" s="27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279"/>
      <c r="D431" s="1"/>
      <c r="E431" s="1"/>
      <c r="F431" s="280"/>
      <c r="G431" s="1"/>
      <c r="H431" s="1"/>
      <c r="I431" s="27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279"/>
      <c r="D432" s="1"/>
      <c r="E432" s="1"/>
      <c r="F432" s="280"/>
      <c r="G432" s="1"/>
      <c r="H432" s="1"/>
      <c r="I432" s="27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279"/>
      <c r="D433" s="1"/>
      <c r="E433" s="1"/>
      <c r="F433" s="280"/>
      <c r="G433" s="1"/>
      <c r="H433" s="1"/>
      <c r="I433" s="27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279"/>
      <c r="D434" s="1"/>
      <c r="E434" s="1"/>
      <c r="F434" s="280"/>
      <c r="G434" s="1"/>
      <c r="H434" s="1"/>
      <c r="I434" s="27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279"/>
      <c r="D435" s="1"/>
      <c r="E435" s="1"/>
      <c r="F435" s="280"/>
      <c r="G435" s="1"/>
      <c r="H435" s="1"/>
      <c r="I435" s="27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279"/>
      <c r="D436" s="1"/>
      <c r="E436" s="1"/>
      <c r="F436" s="280"/>
      <c r="G436" s="1"/>
      <c r="H436" s="1"/>
      <c r="I436" s="27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279"/>
      <c r="D437" s="1"/>
      <c r="E437" s="1"/>
      <c r="F437" s="280"/>
      <c r="G437" s="1"/>
      <c r="H437" s="1"/>
      <c r="I437" s="27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279"/>
      <c r="D438" s="1"/>
      <c r="E438" s="1"/>
      <c r="F438" s="280"/>
      <c r="G438" s="1"/>
      <c r="H438" s="1"/>
      <c r="I438" s="27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279"/>
      <c r="D439" s="1"/>
      <c r="E439" s="1"/>
      <c r="F439" s="280"/>
      <c r="G439" s="1"/>
      <c r="H439" s="1"/>
      <c r="I439" s="27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279"/>
      <c r="D440" s="1"/>
      <c r="E440" s="1"/>
      <c r="F440" s="280"/>
      <c r="G440" s="1"/>
      <c r="H440" s="1"/>
      <c r="I440" s="27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279"/>
      <c r="D441" s="1"/>
      <c r="E441" s="1"/>
      <c r="F441" s="280"/>
      <c r="G441" s="1"/>
      <c r="H441" s="1"/>
      <c r="I441" s="27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279"/>
      <c r="D442" s="1"/>
      <c r="E442" s="1"/>
      <c r="F442" s="280"/>
      <c r="G442" s="1"/>
      <c r="H442" s="1"/>
      <c r="I442" s="27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279"/>
      <c r="D443" s="1"/>
      <c r="E443" s="1"/>
      <c r="F443" s="280"/>
      <c r="G443" s="1"/>
      <c r="H443" s="1"/>
      <c r="I443" s="27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279"/>
      <c r="D444" s="1"/>
      <c r="E444" s="1"/>
      <c r="F444" s="280"/>
      <c r="G444" s="1"/>
      <c r="H444" s="1"/>
      <c r="I444" s="27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279"/>
      <c r="D445" s="1"/>
      <c r="E445" s="1"/>
      <c r="F445" s="280"/>
      <c r="G445" s="1"/>
      <c r="H445" s="1"/>
      <c r="I445" s="27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279"/>
      <c r="D446" s="1"/>
      <c r="E446" s="1"/>
      <c r="F446" s="280"/>
      <c r="G446" s="1"/>
      <c r="H446" s="1"/>
      <c r="I446" s="27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279"/>
      <c r="D447" s="1"/>
      <c r="E447" s="1"/>
      <c r="F447" s="280"/>
      <c r="G447" s="1"/>
      <c r="H447" s="1"/>
      <c r="I447" s="27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279"/>
      <c r="D448" s="1"/>
      <c r="E448" s="1"/>
      <c r="F448" s="280"/>
      <c r="G448" s="1"/>
      <c r="H448" s="1"/>
      <c r="I448" s="27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279"/>
      <c r="D449" s="1"/>
      <c r="E449" s="1"/>
      <c r="F449" s="280"/>
      <c r="G449" s="1"/>
      <c r="H449" s="1"/>
      <c r="I449" s="27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279"/>
      <c r="D450" s="1"/>
      <c r="E450" s="1"/>
      <c r="F450" s="280"/>
      <c r="G450" s="1"/>
      <c r="H450" s="1"/>
      <c r="I450" s="27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279"/>
      <c r="D451" s="1"/>
      <c r="E451" s="1"/>
      <c r="F451" s="280"/>
      <c r="G451" s="1"/>
      <c r="H451" s="1"/>
      <c r="I451" s="27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279"/>
      <c r="D452" s="1"/>
      <c r="E452" s="1"/>
      <c r="F452" s="280"/>
      <c r="G452" s="1"/>
      <c r="H452" s="1"/>
      <c r="I452" s="27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279"/>
      <c r="D453" s="1"/>
      <c r="E453" s="1"/>
      <c r="F453" s="280"/>
      <c r="G453" s="1"/>
      <c r="H453" s="1"/>
      <c r="I453" s="27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279"/>
      <c r="D454" s="1"/>
      <c r="E454" s="1"/>
      <c r="F454" s="280"/>
      <c r="G454" s="1"/>
      <c r="H454" s="1"/>
      <c r="I454" s="27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279"/>
      <c r="D455" s="1"/>
      <c r="E455" s="1"/>
      <c r="F455" s="280"/>
      <c r="G455" s="1"/>
      <c r="H455" s="1"/>
      <c r="I455" s="27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279"/>
      <c r="D456" s="1"/>
      <c r="E456" s="1"/>
      <c r="F456" s="280"/>
      <c r="G456" s="1"/>
      <c r="H456" s="1"/>
      <c r="I456" s="27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279"/>
      <c r="D457" s="1"/>
      <c r="E457" s="1"/>
      <c r="F457" s="280"/>
      <c r="G457" s="1"/>
      <c r="H457" s="1"/>
      <c r="I457" s="27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279"/>
      <c r="D458" s="1"/>
      <c r="E458" s="1"/>
      <c r="F458" s="280"/>
      <c r="G458" s="1"/>
      <c r="H458" s="1"/>
      <c r="I458" s="27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279"/>
      <c r="D459" s="1"/>
      <c r="E459" s="1"/>
      <c r="F459" s="280"/>
      <c r="G459" s="1"/>
      <c r="H459" s="1"/>
      <c r="I459" s="27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279"/>
      <c r="D460" s="1"/>
      <c r="E460" s="1"/>
      <c r="F460" s="280"/>
      <c r="G460" s="1"/>
      <c r="H460" s="1"/>
      <c r="I460" s="27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279"/>
      <c r="D461" s="1"/>
      <c r="E461" s="1"/>
      <c r="F461" s="280"/>
      <c r="G461" s="1"/>
      <c r="H461" s="1"/>
      <c r="I461" s="27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279"/>
      <c r="D462" s="1"/>
      <c r="E462" s="1"/>
      <c r="F462" s="280"/>
      <c r="G462" s="1"/>
      <c r="H462" s="1"/>
      <c r="I462" s="27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279"/>
      <c r="D463" s="1"/>
      <c r="E463" s="1"/>
      <c r="F463" s="280"/>
      <c r="G463" s="1"/>
      <c r="H463" s="1"/>
      <c r="I463" s="27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279"/>
      <c r="D464" s="1"/>
      <c r="E464" s="1"/>
      <c r="F464" s="280"/>
      <c r="G464" s="1"/>
      <c r="H464" s="1"/>
      <c r="I464" s="27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279"/>
      <c r="D465" s="1"/>
      <c r="E465" s="1"/>
      <c r="F465" s="280"/>
      <c r="G465" s="1"/>
      <c r="H465" s="1"/>
      <c r="I465" s="27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279"/>
      <c r="D466" s="1"/>
      <c r="E466" s="1"/>
      <c r="F466" s="280"/>
      <c r="G466" s="1"/>
      <c r="H466" s="1"/>
      <c r="I466" s="27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279"/>
      <c r="D467" s="1"/>
      <c r="E467" s="1"/>
      <c r="F467" s="280"/>
      <c r="G467" s="1"/>
      <c r="H467" s="1"/>
      <c r="I467" s="27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279"/>
      <c r="D468" s="1"/>
      <c r="E468" s="1"/>
      <c r="F468" s="280"/>
      <c r="G468" s="1"/>
      <c r="H468" s="1"/>
      <c r="I468" s="27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279"/>
      <c r="D469" s="1"/>
      <c r="E469" s="1"/>
      <c r="F469" s="280"/>
      <c r="G469" s="1"/>
      <c r="H469" s="1"/>
      <c r="I469" s="27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279"/>
      <c r="D470" s="1"/>
      <c r="E470" s="1"/>
      <c r="F470" s="280"/>
      <c r="G470" s="1"/>
      <c r="H470" s="1"/>
      <c r="I470" s="27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279"/>
      <c r="D471" s="1"/>
      <c r="E471" s="1"/>
      <c r="F471" s="280"/>
      <c r="G471" s="1"/>
      <c r="H471" s="1"/>
      <c r="I471" s="27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279"/>
      <c r="D472" s="1"/>
      <c r="E472" s="1"/>
      <c r="F472" s="280"/>
      <c r="G472" s="1"/>
      <c r="H472" s="1"/>
      <c r="I472" s="27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279"/>
      <c r="D473" s="1"/>
      <c r="E473" s="1"/>
      <c r="F473" s="280"/>
      <c r="G473" s="1"/>
      <c r="H473" s="1"/>
      <c r="I473" s="27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279"/>
      <c r="D474" s="1"/>
      <c r="E474" s="1"/>
      <c r="F474" s="280"/>
      <c r="G474" s="1"/>
      <c r="H474" s="1"/>
      <c r="I474" s="27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279"/>
      <c r="D475" s="1"/>
      <c r="E475" s="1"/>
      <c r="F475" s="280"/>
      <c r="G475" s="1"/>
      <c r="H475" s="1"/>
      <c r="I475" s="27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279"/>
      <c r="D476" s="1"/>
      <c r="E476" s="1"/>
      <c r="F476" s="280"/>
      <c r="G476" s="1"/>
      <c r="H476" s="1"/>
      <c r="I476" s="27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279"/>
      <c r="D477" s="1"/>
      <c r="E477" s="1"/>
      <c r="F477" s="280"/>
      <c r="G477" s="1"/>
      <c r="H477" s="1"/>
      <c r="I477" s="27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279"/>
      <c r="D478" s="1"/>
      <c r="E478" s="1"/>
      <c r="F478" s="280"/>
      <c r="G478" s="1"/>
      <c r="H478" s="1"/>
      <c r="I478" s="27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279"/>
      <c r="D479" s="1"/>
      <c r="E479" s="1"/>
      <c r="F479" s="280"/>
      <c r="G479" s="1"/>
      <c r="H479" s="1"/>
      <c r="I479" s="27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279"/>
      <c r="D480" s="1"/>
      <c r="E480" s="1"/>
      <c r="F480" s="280"/>
      <c r="G480" s="1"/>
      <c r="H480" s="1"/>
      <c r="I480" s="27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279"/>
      <c r="D481" s="1"/>
      <c r="E481" s="1"/>
      <c r="F481" s="280"/>
      <c r="G481" s="1"/>
      <c r="H481" s="1"/>
      <c r="I481" s="27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279"/>
      <c r="D482" s="1"/>
      <c r="E482" s="1"/>
      <c r="F482" s="280"/>
      <c r="G482" s="1"/>
      <c r="H482" s="1"/>
      <c r="I482" s="27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279"/>
      <c r="D483" s="1"/>
      <c r="E483" s="1"/>
      <c r="F483" s="280"/>
      <c r="G483" s="1"/>
      <c r="H483" s="1"/>
      <c r="I483" s="27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279"/>
      <c r="D484" s="1"/>
      <c r="E484" s="1"/>
      <c r="F484" s="280"/>
      <c r="G484" s="1"/>
      <c r="H484" s="1"/>
      <c r="I484" s="27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279"/>
      <c r="D485" s="1"/>
      <c r="E485" s="1"/>
      <c r="F485" s="280"/>
      <c r="G485" s="1"/>
      <c r="H485" s="1"/>
      <c r="I485" s="27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279"/>
      <c r="D486" s="1"/>
      <c r="E486" s="1"/>
      <c r="F486" s="280"/>
      <c r="G486" s="1"/>
      <c r="H486" s="1"/>
      <c r="I486" s="27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279"/>
      <c r="D487" s="1"/>
      <c r="E487" s="1"/>
      <c r="F487" s="280"/>
      <c r="G487" s="1"/>
      <c r="H487" s="1"/>
      <c r="I487" s="27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279"/>
      <c r="D488" s="1"/>
      <c r="E488" s="1"/>
      <c r="F488" s="280"/>
      <c r="G488" s="1"/>
      <c r="H488" s="1"/>
      <c r="I488" s="27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279"/>
      <c r="D489" s="1"/>
      <c r="E489" s="1"/>
      <c r="F489" s="280"/>
      <c r="G489" s="1"/>
      <c r="H489" s="1"/>
      <c r="I489" s="27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279"/>
      <c r="D490" s="1"/>
      <c r="E490" s="1"/>
      <c r="F490" s="280"/>
      <c r="G490" s="1"/>
      <c r="H490" s="1"/>
      <c r="I490" s="27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279"/>
      <c r="D491" s="1"/>
      <c r="E491" s="1"/>
      <c r="F491" s="280"/>
      <c r="G491" s="1"/>
      <c r="H491" s="1"/>
      <c r="I491" s="27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279"/>
      <c r="D492" s="1"/>
      <c r="E492" s="1"/>
      <c r="F492" s="280"/>
      <c r="G492" s="1"/>
      <c r="H492" s="1"/>
      <c r="I492" s="27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279"/>
      <c r="D493" s="1"/>
      <c r="E493" s="1"/>
      <c r="F493" s="280"/>
      <c r="G493" s="1"/>
      <c r="H493" s="1"/>
      <c r="I493" s="27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279"/>
      <c r="D494" s="1"/>
      <c r="E494" s="1"/>
      <c r="F494" s="280"/>
      <c r="G494" s="1"/>
      <c r="H494" s="1"/>
      <c r="I494" s="27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279"/>
      <c r="D495" s="1"/>
      <c r="E495" s="1"/>
      <c r="F495" s="280"/>
      <c r="G495" s="1"/>
      <c r="H495" s="1"/>
      <c r="I495" s="27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279"/>
      <c r="D496" s="1"/>
      <c r="E496" s="1"/>
      <c r="F496" s="280"/>
      <c r="G496" s="1"/>
      <c r="H496" s="1"/>
      <c r="I496" s="27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279"/>
      <c r="D497" s="1"/>
      <c r="E497" s="1"/>
      <c r="F497" s="280"/>
      <c r="G497" s="1"/>
      <c r="H497" s="1"/>
      <c r="I497" s="27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279"/>
      <c r="D498" s="1"/>
      <c r="E498" s="1"/>
      <c r="F498" s="280"/>
      <c r="G498" s="1"/>
      <c r="H498" s="1"/>
      <c r="I498" s="27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279"/>
      <c r="D499" s="1"/>
      <c r="E499" s="1"/>
      <c r="F499" s="280"/>
      <c r="G499" s="1"/>
      <c r="H499" s="1"/>
      <c r="I499" s="27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279"/>
      <c r="D500" s="1"/>
      <c r="E500" s="1"/>
      <c r="F500" s="280"/>
      <c r="G500" s="1"/>
      <c r="H500" s="1"/>
      <c r="I500" s="27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279"/>
      <c r="D501" s="1"/>
      <c r="E501" s="1"/>
      <c r="F501" s="280"/>
      <c r="G501" s="1"/>
      <c r="H501" s="1"/>
      <c r="I501" s="27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279"/>
      <c r="D502" s="1"/>
      <c r="E502" s="1"/>
      <c r="F502" s="280"/>
      <c r="G502" s="1"/>
      <c r="H502" s="1"/>
      <c r="I502" s="27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279"/>
      <c r="D503" s="1"/>
      <c r="E503" s="1"/>
      <c r="F503" s="280"/>
      <c r="G503" s="1"/>
      <c r="H503" s="1"/>
      <c r="I503" s="27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279"/>
      <c r="D504" s="1"/>
      <c r="E504" s="1"/>
      <c r="F504" s="280"/>
      <c r="G504" s="1"/>
      <c r="H504" s="1"/>
      <c r="I504" s="27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279"/>
      <c r="D505" s="1"/>
      <c r="E505" s="1"/>
      <c r="F505" s="280"/>
      <c r="G505" s="1"/>
      <c r="H505" s="1"/>
      <c r="I505" s="27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279"/>
      <c r="D506" s="1"/>
      <c r="E506" s="1"/>
      <c r="F506" s="280"/>
      <c r="G506" s="1"/>
      <c r="H506" s="1"/>
      <c r="I506" s="27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279"/>
      <c r="D507" s="1"/>
      <c r="E507" s="1"/>
      <c r="F507" s="280"/>
      <c r="G507" s="1"/>
      <c r="H507" s="1"/>
      <c r="I507" s="27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279"/>
      <c r="D508" s="1"/>
      <c r="E508" s="1"/>
      <c r="F508" s="280"/>
      <c r="G508" s="1"/>
      <c r="H508" s="1"/>
      <c r="I508" s="27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279"/>
      <c r="D509" s="1"/>
      <c r="E509" s="1"/>
      <c r="F509" s="280"/>
      <c r="G509" s="1"/>
      <c r="H509" s="1"/>
      <c r="I509" s="27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279"/>
      <c r="D510" s="1"/>
      <c r="E510" s="1"/>
      <c r="F510" s="280"/>
      <c r="G510" s="1"/>
      <c r="H510" s="1"/>
      <c r="I510" s="27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279"/>
      <c r="D511" s="1"/>
      <c r="E511" s="1"/>
      <c r="F511" s="280"/>
      <c r="G511" s="1"/>
      <c r="H511" s="1"/>
      <c r="I511" s="27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279"/>
      <c r="D512" s="1"/>
      <c r="E512" s="1"/>
      <c r="F512" s="280"/>
      <c r="G512" s="1"/>
      <c r="H512" s="1"/>
      <c r="I512" s="27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279"/>
      <c r="D513" s="1"/>
      <c r="E513" s="1"/>
      <c r="F513" s="280"/>
      <c r="G513" s="1"/>
      <c r="H513" s="1"/>
      <c r="I513" s="27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279"/>
      <c r="D514" s="1"/>
      <c r="E514" s="1"/>
      <c r="F514" s="280"/>
      <c r="G514" s="1"/>
      <c r="H514" s="1"/>
      <c r="I514" s="27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279"/>
      <c r="D515" s="1"/>
      <c r="E515" s="1"/>
      <c r="F515" s="280"/>
      <c r="G515" s="1"/>
      <c r="H515" s="1"/>
      <c r="I515" s="27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279"/>
      <c r="D516" s="1"/>
      <c r="E516" s="1"/>
      <c r="F516" s="280"/>
      <c r="G516" s="1"/>
      <c r="H516" s="1"/>
      <c r="I516" s="27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279"/>
      <c r="D517" s="1"/>
      <c r="E517" s="1"/>
      <c r="F517" s="280"/>
      <c r="G517" s="1"/>
      <c r="H517" s="1"/>
      <c r="I517" s="27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279"/>
      <c r="D518" s="1"/>
      <c r="E518" s="1"/>
      <c r="F518" s="280"/>
      <c r="G518" s="1"/>
      <c r="H518" s="1"/>
      <c r="I518" s="27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279"/>
      <c r="D519" s="1"/>
      <c r="E519" s="1"/>
      <c r="F519" s="280"/>
      <c r="G519" s="1"/>
      <c r="H519" s="1"/>
      <c r="I519" s="27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279"/>
      <c r="D520" s="1"/>
      <c r="E520" s="1"/>
      <c r="F520" s="280"/>
      <c r="G520" s="1"/>
      <c r="H520" s="1"/>
      <c r="I520" s="27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279"/>
      <c r="D521" s="1"/>
      <c r="E521" s="1"/>
      <c r="F521" s="280"/>
      <c r="G521" s="1"/>
      <c r="H521" s="1"/>
      <c r="I521" s="27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279"/>
      <c r="D522" s="1"/>
      <c r="E522" s="1"/>
      <c r="F522" s="280"/>
      <c r="G522" s="1"/>
      <c r="H522" s="1"/>
      <c r="I522" s="27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279"/>
      <c r="D523" s="1"/>
      <c r="E523" s="1"/>
      <c r="F523" s="280"/>
      <c r="G523" s="1"/>
      <c r="H523" s="1"/>
      <c r="I523" s="27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279"/>
      <c r="D524" s="1"/>
      <c r="E524" s="1"/>
      <c r="F524" s="280"/>
      <c r="G524" s="1"/>
      <c r="H524" s="1"/>
      <c r="I524" s="27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279"/>
      <c r="D525" s="1"/>
      <c r="E525" s="1"/>
      <c r="F525" s="280"/>
      <c r="G525" s="1"/>
      <c r="H525" s="1"/>
      <c r="I525" s="27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279"/>
      <c r="D526" s="1"/>
      <c r="E526" s="1"/>
      <c r="F526" s="280"/>
      <c r="G526" s="1"/>
      <c r="H526" s="1"/>
      <c r="I526" s="27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279"/>
      <c r="D527" s="1"/>
      <c r="E527" s="1"/>
      <c r="F527" s="280"/>
      <c r="G527" s="1"/>
      <c r="H527" s="1"/>
      <c r="I527" s="27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279"/>
      <c r="D528" s="1"/>
      <c r="E528" s="1"/>
      <c r="F528" s="280"/>
      <c r="G528" s="1"/>
      <c r="H528" s="1"/>
      <c r="I528" s="27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279"/>
      <c r="D529" s="1"/>
      <c r="E529" s="1"/>
      <c r="F529" s="280"/>
      <c r="G529" s="1"/>
      <c r="H529" s="1"/>
      <c r="I529" s="27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279"/>
      <c r="D530" s="1"/>
      <c r="E530" s="1"/>
      <c r="F530" s="280"/>
      <c r="G530" s="1"/>
      <c r="H530" s="1"/>
      <c r="I530" s="27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279"/>
      <c r="D531" s="1"/>
      <c r="E531" s="1"/>
      <c r="F531" s="280"/>
      <c r="G531" s="1"/>
      <c r="H531" s="1"/>
      <c r="I531" s="27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279"/>
      <c r="D532" s="1"/>
      <c r="E532" s="1"/>
      <c r="F532" s="280"/>
      <c r="G532" s="1"/>
      <c r="H532" s="1"/>
      <c r="I532" s="27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279"/>
      <c r="D533" s="1"/>
      <c r="E533" s="1"/>
      <c r="F533" s="280"/>
      <c r="G533" s="1"/>
      <c r="H533" s="1"/>
      <c r="I533" s="27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279"/>
      <c r="D534" s="1"/>
      <c r="E534" s="1"/>
      <c r="F534" s="280"/>
      <c r="G534" s="1"/>
      <c r="H534" s="1"/>
      <c r="I534" s="27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279"/>
      <c r="D535" s="1"/>
      <c r="E535" s="1"/>
      <c r="F535" s="280"/>
      <c r="G535" s="1"/>
      <c r="H535" s="1"/>
      <c r="I535" s="27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279"/>
      <c r="D536" s="1"/>
      <c r="E536" s="1"/>
      <c r="F536" s="280"/>
      <c r="G536" s="1"/>
      <c r="H536" s="1"/>
      <c r="I536" s="27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279"/>
      <c r="D537" s="1"/>
      <c r="E537" s="1"/>
      <c r="F537" s="280"/>
      <c r="G537" s="1"/>
      <c r="H537" s="1"/>
      <c r="I537" s="27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279"/>
      <c r="D538" s="1"/>
      <c r="E538" s="1"/>
      <c r="F538" s="280"/>
      <c r="G538" s="1"/>
      <c r="H538" s="1"/>
      <c r="I538" s="27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279"/>
      <c r="D539" s="1"/>
      <c r="E539" s="1"/>
      <c r="F539" s="280"/>
      <c r="G539" s="1"/>
      <c r="H539" s="1"/>
      <c r="I539" s="27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279"/>
      <c r="D540" s="1"/>
      <c r="E540" s="1"/>
      <c r="F540" s="280"/>
      <c r="G540" s="1"/>
      <c r="H540" s="1"/>
      <c r="I540" s="27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279"/>
      <c r="D541" s="1"/>
      <c r="E541" s="1"/>
      <c r="F541" s="280"/>
      <c r="G541" s="1"/>
      <c r="H541" s="1"/>
      <c r="I541" s="27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279"/>
      <c r="D542" s="1"/>
      <c r="E542" s="1"/>
      <c r="F542" s="280"/>
      <c r="G542" s="1"/>
      <c r="H542" s="1"/>
      <c r="I542" s="27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279"/>
      <c r="D543" s="1"/>
      <c r="E543" s="1"/>
      <c r="F543" s="280"/>
      <c r="G543" s="1"/>
      <c r="H543" s="1"/>
      <c r="I543" s="27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279"/>
      <c r="D544" s="1"/>
      <c r="E544" s="1"/>
      <c r="F544" s="280"/>
      <c r="G544" s="1"/>
      <c r="H544" s="1"/>
      <c r="I544" s="27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279"/>
      <c r="D545" s="1"/>
      <c r="E545" s="1"/>
      <c r="F545" s="280"/>
      <c r="G545" s="1"/>
      <c r="H545" s="1"/>
      <c r="I545" s="27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279"/>
      <c r="D546" s="1"/>
      <c r="E546" s="1"/>
      <c r="F546" s="280"/>
      <c r="G546" s="1"/>
      <c r="H546" s="1"/>
      <c r="I546" s="27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279"/>
      <c r="D547" s="1"/>
      <c r="E547" s="1"/>
      <c r="F547" s="280"/>
      <c r="G547" s="1"/>
      <c r="H547" s="1"/>
      <c r="I547" s="27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279"/>
      <c r="D548" s="1"/>
      <c r="E548" s="1"/>
      <c r="F548" s="280"/>
      <c r="G548" s="1"/>
      <c r="H548" s="1"/>
      <c r="I548" s="27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279"/>
      <c r="D549" s="1"/>
      <c r="E549" s="1"/>
      <c r="F549" s="280"/>
      <c r="G549" s="1"/>
      <c r="H549" s="1"/>
      <c r="I549" s="27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279"/>
      <c r="D550" s="1"/>
      <c r="E550" s="1"/>
      <c r="F550" s="280"/>
      <c r="G550" s="1"/>
      <c r="H550" s="1"/>
      <c r="I550" s="27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279"/>
      <c r="D551" s="1"/>
      <c r="E551" s="1"/>
      <c r="F551" s="280"/>
      <c r="G551" s="1"/>
      <c r="H551" s="1"/>
      <c r="I551" s="27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279"/>
      <c r="D552" s="1"/>
      <c r="E552" s="1"/>
      <c r="F552" s="280"/>
      <c r="G552" s="1"/>
      <c r="H552" s="1"/>
      <c r="I552" s="27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279"/>
      <c r="D553" s="1"/>
      <c r="E553" s="1"/>
      <c r="F553" s="280"/>
      <c r="G553" s="1"/>
      <c r="H553" s="1"/>
      <c r="I553" s="27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279"/>
      <c r="D554" s="1"/>
      <c r="E554" s="1"/>
      <c r="F554" s="280"/>
      <c r="G554" s="1"/>
      <c r="H554" s="1"/>
      <c r="I554" s="27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279"/>
      <c r="D555" s="1"/>
      <c r="E555" s="1"/>
      <c r="F555" s="280"/>
      <c r="G555" s="1"/>
      <c r="H555" s="1"/>
      <c r="I555" s="27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279"/>
      <c r="D556" s="1"/>
      <c r="E556" s="1"/>
      <c r="F556" s="280"/>
      <c r="G556" s="1"/>
      <c r="H556" s="1"/>
      <c r="I556" s="27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279"/>
      <c r="D557" s="1"/>
      <c r="E557" s="1"/>
      <c r="F557" s="280"/>
      <c r="G557" s="1"/>
      <c r="H557" s="1"/>
      <c r="I557" s="27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279"/>
      <c r="D558" s="1"/>
      <c r="E558" s="1"/>
      <c r="F558" s="280"/>
      <c r="G558" s="1"/>
      <c r="H558" s="1"/>
      <c r="I558" s="27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279"/>
      <c r="D559" s="1"/>
      <c r="E559" s="1"/>
      <c r="F559" s="280"/>
      <c r="G559" s="1"/>
      <c r="H559" s="1"/>
      <c r="I559" s="27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279"/>
      <c r="D560" s="1"/>
      <c r="E560" s="1"/>
      <c r="F560" s="280"/>
      <c r="G560" s="1"/>
      <c r="H560" s="1"/>
      <c r="I560" s="27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279"/>
      <c r="D561" s="1"/>
      <c r="E561" s="1"/>
      <c r="F561" s="280"/>
      <c r="G561" s="1"/>
      <c r="H561" s="1"/>
      <c r="I561" s="27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279"/>
      <c r="D562" s="1"/>
      <c r="E562" s="1"/>
      <c r="F562" s="280"/>
      <c r="G562" s="1"/>
      <c r="H562" s="1"/>
      <c r="I562" s="27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279"/>
      <c r="D563" s="1"/>
      <c r="E563" s="1"/>
      <c r="F563" s="280"/>
      <c r="G563" s="1"/>
      <c r="H563" s="1"/>
      <c r="I563" s="27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279"/>
      <c r="D564" s="1"/>
      <c r="E564" s="1"/>
      <c r="F564" s="280"/>
      <c r="G564" s="1"/>
      <c r="H564" s="1"/>
      <c r="I564" s="27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279"/>
      <c r="D565" s="1"/>
      <c r="E565" s="1"/>
      <c r="F565" s="280"/>
      <c r="G565" s="1"/>
      <c r="H565" s="1"/>
      <c r="I565" s="27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279"/>
      <c r="D566" s="1"/>
      <c r="E566" s="1"/>
      <c r="F566" s="280"/>
      <c r="G566" s="1"/>
      <c r="H566" s="1"/>
      <c r="I566" s="27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279"/>
      <c r="D567" s="1"/>
      <c r="E567" s="1"/>
      <c r="F567" s="280"/>
      <c r="G567" s="1"/>
      <c r="H567" s="1"/>
      <c r="I567" s="27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279"/>
      <c r="D568" s="1"/>
      <c r="E568" s="1"/>
      <c r="F568" s="280"/>
      <c r="G568" s="1"/>
      <c r="H568" s="1"/>
      <c r="I568" s="27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279"/>
      <c r="D569" s="1"/>
      <c r="E569" s="1"/>
      <c r="F569" s="280"/>
      <c r="G569" s="1"/>
      <c r="H569" s="1"/>
      <c r="I569" s="27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279"/>
      <c r="D570" s="1"/>
      <c r="E570" s="1"/>
      <c r="F570" s="280"/>
      <c r="G570" s="1"/>
      <c r="H570" s="1"/>
      <c r="I570" s="27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279"/>
      <c r="D571" s="1"/>
      <c r="E571" s="1"/>
      <c r="F571" s="280"/>
      <c r="G571" s="1"/>
      <c r="H571" s="1"/>
      <c r="I571" s="27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279"/>
      <c r="D572" s="1"/>
      <c r="E572" s="1"/>
      <c r="F572" s="280"/>
      <c r="G572" s="1"/>
      <c r="H572" s="1"/>
      <c r="I572" s="27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279"/>
      <c r="D573" s="1"/>
      <c r="E573" s="1"/>
      <c r="F573" s="280"/>
      <c r="G573" s="1"/>
      <c r="H573" s="1"/>
      <c r="I573" s="27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279"/>
      <c r="D574" s="1"/>
      <c r="E574" s="1"/>
      <c r="F574" s="280"/>
      <c r="G574" s="1"/>
      <c r="H574" s="1"/>
      <c r="I574" s="27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279"/>
      <c r="D575" s="1"/>
      <c r="E575" s="1"/>
      <c r="F575" s="280"/>
      <c r="G575" s="1"/>
      <c r="H575" s="1"/>
      <c r="I575" s="27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279"/>
      <c r="D576" s="1"/>
      <c r="E576" s="1"/>
      <c r="F576" s="280"/>
      <c r="G576" s="1"/>
      <c r="H576" s="1"/>
      <c r="I576" s="27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279"/>
      <c r="D577" s="1"/>
      <c r="E577" s="1"/>
      <c r="F577" s="280"/>
      <c r="G577" s="1"/>
      <c r="H577" s="1"/>
      <c r="I577" s="27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279"/>
      <c r="D578" s="1"/>
      <c r="E578" s="1"/>
      <c r="F578" s="280"/>
      <c r="G578" s="1"/>
      <c r="H578" s="1"/>
      <c r="I578" s="27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279"/>
      <c r="D579" s="1"/>
      <c r="E579" s="1"/>
      <c r="F579" s="280"/>
      <c r="G579" s="1"/>
      <c r="H579" s="1"/>
      <c r="I579" s="27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279"/>
      <c r="D580" s="1"/>
      <c r="E580" s="1"/>
      <c r="F580" s="280"/>
      <c r="G580" s="1"/>
      <c r="H580" s="1"/>
      <c r="I580" s="27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279"/>
      <c r="D581" s="1"/>
      <c r="E581" s="1"/>
      <c r="F581" s="280"/>
      <c r="G581" s="1"/>
      <c r="H581" s="1"/>
      <c r="I581" s="27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279"/>
      <c r="D582" s="1"/>
      <c r="E582" s="1"/>
      <c r="F582" s="280"/>
      <c r="G582" s="1"/>
      <c r="H582" s="1"/>
      <c r="I582" s="27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279"/>
      <c r="D583" s="1"/>
      <c r="E583" s="1"/>
      <c r="F583" s="280"/>
      <c r="G583" s="1"/>
      <c r="H583" s="1"/>
      <c r="I583" s="27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279"/>
      <c r="D584" s="1"/>
      <c r="E584" s="1"/>
      <c r="F584" s="280"/>
      <c r="G584" s="1"/>
      <c r="H584" s="1"/>
      <c r="I584" s="27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279"/>
      <c r="D585" s="1"/>
      <c r="E585" s="1"/>
      <c r="F585" s="280"/>
      <c r="G585" s="1"/>
      <c r="H585" s="1"/>
      <c r="I585" s="27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279"/>
      <c r="D586" s="1"/>
      <c r="E586" s="1"/>
      <c r="F586" s="280"/>
      <c r="G586" s="1"/>
      <c r="H586" s="1"/>
      <c r="I586" s="27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279"/>
      <c r="D587" s="1"/>
      <c r="E587" s="1"/>
      <c r="F587" s="280"/>
      <c r="G587" s="1"/>
      <c r="H587" s="1"/>
      <c r="I587" s="27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279"/>
      <c r="D588" s="1"/>
      <c r="E588" s="1"/>
      <c r="F588" s="280"/>
      <c r="G588" s="1"/>
      <c r="H588" s="1"/>
      <c r="I588" s="27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279"/>
      <c r="D589" s="1"/>
      <c r="E589" s="1"/>
      <c r="F589" s="280"/>
      <c r="G589" s="1"/>
      <c r="H589" s="1"/>
      <c r="I589" s="27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279"/>
      <c r="D590" s="1"/>
      <c r="E590" s="1"/>
      <c r="F590" s="280"/>
      <c r="G590" s="1"/>
      <c r="H590" s="1"/>
      <c r="I590" s="27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279"/>
      <c r="D591" s="1"/>
      <c r="E591" s="1"/>
      <c r="F591" s="280"/>
      <c r="G591" s="1"/>
      <c r="H591" s="1"/>
      <c r="I591" s="27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279"/>
      <c r="D592" s="1"/>
      <c r="E592" s="1"/>
      <c r="F592" s="280"/>
      <c r="G592" s="1"/>
      <c r="H592" s="1"/>
      <c r="I592" s="27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279"/>
      <c r="D593" s="1"/>
      <c r="E593" s="1"/>
      <c r="F593" s="280"/>
      <c r="G593" s="1"/>
      <c r="H593" s="1"/>
      <c r="I593" s="27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279"/>
      <c r="D594" s="1"/>
      <c r="E594" s="1"/>
      <c r="F594" s="280"/>
      <c r="G594" s="1"/>
      <c r="H594" s="1"/>
      <c r="I594" s="27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279"/>
      <c r="D595" s="1"/>
      <c r="E595" s="1"/>
      <c r="F595" s="280"/>
      <c r="G595" s="1"/>
      <c r="H595" s="1"/>
      <c r="I595" s="27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279"/>
      <c r="D596" s="1"/>
      <c r="E596" s="1"/>
      <c r="F596" s="280"/>
      <c r="G596" s="1"/>
      <c r="H596" s="1"/>
      <c r="I596" s="27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279"/>
      <c r="D597" s="1"/>
      <c r="E597" s="1"/>
      <c r="F597" s="280"/>
      <c r="G597" s="1"/>
      <c r="H597" s="1"/>
      <c r="I597" s="27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279"/>
      <c r="D598" s="1"/>
      <c r="E598" s="1"/>
      <c r="F598" s="280"/>
      <c r="G598" s="1"/>
      <c r="H598" s="1"/>
      <c r="I598" s="27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279"/>
      <c r="D599" s="1"/>
      <c r="E599" s="1"/>
      <c r="F599" s="280"/>
      <c r="G599" s="1"/>
      <c r="H599" s="1"/>
      <c r="I599" s="27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279"/>
      <c r="D600" s="1"/>
      <c r="E600" s="1"/>
      <c r="F600" s="280"/>
      <c r="G600" s="1"/>
      <c r="H600" s="1"/>
      <c r="I600" s="27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279"/>
      <c r="D601" s="1"/>
      <c r="E601" s="1"/>
      <c r="F601" s="280"/>
      <c r="G601" s="1"/>
      <c r="H601" s="1"/>
      <c r="I601" s="27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279"/>
      <c r="D602" s="1"/>
      <c r="E602" s="1"/>
      <c r="F602" s="280"/>
      <c r="G602" s="1"/>
      <c r="H602" s="1"/>
      <c r="I602" s="27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279"/>
      <c r="D603" s="1"/>
      <c r="E603" s="1"/>
      <c r="F603" s="280"/>
      <c r="G603" s="1"/>
      <c r="H603" s="1"/>
      <c r="I603" s="27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279"/>
      <c r="D604" s="1"/>
      <c r="E604" s="1"/>
      <c r="F604" s="280"/>
      <c r="G604" s="1"/>
      <c r="H604" s="1"/>
      <c r="I604" s="27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279"/>
      <c r="D605" s="1"/>
      <c r="E605" s="1"/>
      <c r="F605" s="280"/>
      <c r="G605" s="1"/>
      <c r="H605" s="1"/>
      <c r="I605" s="27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279"/>
      <c r="D606" s="1"/>
      <c r="E606" s="1"/>
      <c r="F606" s="280"/>
      <c r="G606" s="1"/>
      <c r="H606" s="1"/>
      <c r="I606" s="27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279"/>
      <c r="D607" s="1"/>
      <c r="E607" s="1"/>
      <c r="F607" s="280"/>
      <c r="G607" s="1"/>
      <c r="H607" s="1"/>
      <c r="I607" s="27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279"/>
      <c r="D608" s="1"/>
      <c r="E608" s="1"/>
      <c r="F608" s="280"/>
      <c r="G608" s="1"/>
      <c r="H608" s="1"/>
      <c r="I608" s="27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279"/>
      <c r="D609" s="1"/>
      <c r="E609" s="1"/>
      <c r="F609" s="280"/>
      <c r="G609" s="1"/>
      <c r="H609" s="1"/>
      <c r="I609" s="27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279"/>
      <c r="D610" s="1"/>
      <c r="E610" s="1"/>
      <c r="F610" s="280"/>
      <c r="G610" s="1"/>
      <c r="H610" s="1"/>
      <c r="I610" s="27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279"/>
      <c r="D611" s="1"/>
      <c r="E611" s="1"/>
      <c r="F611" s="280"/>
      <c r="G611" s="1"/>
      <c r="H611" s="1"/>
      <c r="I611" s="27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279"/>
      <c r="D612" s="1"/>
      <c r="E612" s="1"/>
      <c r="F612" s="280"/>
      <c r="G612" s="1"/>
      <c r="H612" s="1"/>
      <c r="I612" s="27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279"/>
      <c r="D613" s="1"/>
      <c r="E613" s="1"/>
      <c r="F613" s="280"/>
      <c r="G613" s="1"/>
      <c r="H613" s="1"/>
      <c r="I613" s="27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279"/>
      <c r="D614" s="1"/>
      <c r="E614" s="1"/>
      <c r="F614" s="280"/>
      <c r="G614" s="1"/>
      <c r="H614" s="1"/>
      <c r="I614" s="27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279"/>
      <c r="D615" s="1"/>
      <c r="E615" s="1"/>
      <c r="F615" s="280"/>
      <c r="G615" s="1"/>
      <c r="H615" s="1"/>
      <c r="I615" s="27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279"/>
      <c r="D616" s="1"/>
      <c r="E616" s="1"/>
      <c r="F616" s="280"/>
      <c r="G616" s="1"/>
      <c r="H616" s="1"/>
      <c r="I616" s="27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279"/>
      <c r="D617" s="1"/>
      <c r="E617" s="1"/>
      <c r="F617" s="280"/>
      <c r="G617" s="1"/>
      <c r="H617" s="1"/>
      <c r="I617" s="27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279"/>
      <c r="D618" s="1"/>
      <c r="E618" s="1"/>
      <c r="F618" s="280"/>
      <c r="G618" s="1"/>
      <c r="H618" s="1"/>
      <c r="I618" s="27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279"/>
      <c r="D619" s="1"/>
      <c r="E619" s="1"/>
      <c r="F619" s="280"/>
      <c r="G619" s="1"/>
      <c r="H619" s="1"/>
      <c r="I619" s="27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279"/>
      <c r="D620" s="1"/>
      <c r="E620" s="1"/>
      <c r="F620" s="280"/>
      <c r="G620" s="1"/>
      <c r="H620" s="1"/>
      <c r="I620" s="27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279"/>
      <c r="D621" s="1"/>
      <c r="E621" s="1"/>
      <c r="F621" s="280"/>
      <c r="G621" s="1"/>
      <c r="H621" s="1"/>
      <c r="I621" s="27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279"/>
      <c r="D622" s="1"/>
      <c r="E622" s="1"/>
      <c r="F622" s="280"/>
      <c r="G622" s="1"/>
      <c r="H622" s="1"/>
      <c r="I622" s="27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279"/>
      <c r="D623" s="1"/>
      <c r="E623" s="1"/>
      <c r="F623" s="280"/>
      <c r="G623" s="1"/>
      <c r="H623" s="1"/>
      <c r="I623" s="27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279"/>
      <c r="D624" s="1"/>
      <c r="E624" s="1"/>
      <c r="F624" s="280"/>
      <c r="G624" s="1"/>
      <c r="H624" s="1"/>
      <c r="I624" s="27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279"/>
      <c r="D625" s="1"/>
      <c r="E625" s="1"/>
      <c r="F625" s="280"/>
      <c r="G625" s="1"/>
      <c r="H625" s="1"/>
      <c r="I625" s="27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279"/>
      <c r="D626" s="1"/>
      <c r="E626" s="1"/>
      <c r="F626" s="280"/>
      <c r="G626" s="1"/>
      <c r="H626" s="1"/>
      <c r="I626" s="27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279"/>
      <c r="D627" s="1"/>
      <c r="E627" s="1"/>
      <c r="F627" s="280"/>
      <c r="G627" s="1"/>
      <c r="H627" s="1"/>
      <c r="I627" s="27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279"/>
      <c r="D628" s="1"/>
      <c r="E628" s="1"/>
      <c r="F628" s="280"/>
      <c r="G628" s="1"/>
      <c r="H628" s="1"/>
      <c r="I628" s="27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279"/>
      <c r="D629" s="1"/>
      <c r="E629" s="1"/>
      <c r="F629" s="280"/>
      <c r="G629" s="1"/>
      <c r="H629" s="1"/>
      <c r="I629" s="27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279"/>
      <c r="D630" s="1"/>
      <c r="E630" s="1"/>
      <c r="F630" s="280"/>
      <c r="G630" s="1"/>
      <c r="H630" s="1"/>
      <c r="I630" s="27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279"/>
      <c r="D631" s="1"/>
      <c r="E631" s="1"/>
      <c r="F631" s="280"/>
      <c r="G631" s="1"/>
      <c r="H631" s="1"/>
      <c r="I631" s="27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279"/>
      <c r="D632" s="1"/>
      <c r="E632" s="1"/>
      <c r="F632" s="280"/>
      <c r="G632" s="1"/>
      <c r="H632" s="1"/>
      <c r="I632" s="27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279"/>
      <c r="D633" s="1"/>
      <c r="E633" s="1"/>
      <c r="F633" s="280"/>
      <c r="G633" s="1"/>
      <c r="H633" s="1"/>
      <c r="I633" s="27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279"/>
      <c r="D634" s="1"/>
      <c r="E634" s="1"/>
      <c r="F634" s="280"/>
      <c r="G634" s="1"/>
      <c r="H634" s="1"/>
      <c r="I634" s="27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279"/>
      <c r="D635" s="1"/>
      <c r="E635" s="1"/>
      <c r="F635" s="280"/>
      <c r="G635" s="1"/>
      <c r="H635" s="1"/>
      <c r="I635" s="27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279"/>
      <c r="D636" s="1"/>
      <c r="E636" s="1"/>
      <c r="F636" s="280"/>
      <c r="G636" s="1"/>
      <c r="H636" s="1"/>
      <c r="I636" s="27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279"/>
      <c r="D637" s="1"/>
      <c r="E637" s="1"/>
      <c r="F637" s="280"/>
      <c r="G637" s="1"/>
      <c r="H637" s="1"/>
      <c r="I637" s="27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279"/>
      <c r="D638" s="1"/>
      <c r="E638" s="1"/>
      <c r="F638" s="280"/>
      <c r="G638" s="1"/>
      <c r="H638" s="1"/>
      <c r="I638" s="27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279"/>
      <c r="D639" s="1"/>
      <c r="E639" s="1"/>
      <c r="F639" s="280"/>
      <c r="G639" s="1"/>
      <c r="H639" s="1"/>
      <c r="I639" s="27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279"/>
      <c r="D640" s="1"/>
      <c r="E640" s="1"/>
      <c r="F640" s="280"/>
      <c r="G640" s="1"/>
      <c r="H640" s="1"/>
      <c r="I640" s="27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279"/>
      <c r="D641" s="1"/>
      <c r="E641" s="1"/>
      <c r="F641" s="280"/>
      <c r="G641" s="1"/>
      <c r="H641" s="1"/>
      <c r="I641" s="27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279"/>
      <c r="D642" s="1"/>
      <c r="E642" s="1"/>
      <c r="F642" s="280"/>
      <c r="G642" s="1"/>
      <c r="H642" s="1"/>
      <c r="I642" s="27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279"/>
      <c r="D643" s="1"/>
      <c r="E643" s="1"/>
      <c r="F643" s="280"/>
      <c r="G643" s="1"/>
      <c r="H643" s="1"/>
      <c r="I643" s="27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279"/>
      <c r="D644" s="1"/>
      <c r="E644" s="1"/>
      <c r="F644" s="280"/>
      <c r="G644" s="1"/>
      <c r="H644" s="1"/>
      <c r="I644" s="27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279"/>
      <c r="D645" s="1"/>
      <c r="E645" s="1"/>
      <c r="F645" s="280"/>
      <c r="G645" s="1"/>
      <c r="H645" s="1"/>
      <c r="I645" s="27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279"/>
      <c r="D646" s="1"/>
      <c r="E646" s="1"/>
      <c r="F646" s="280"/>
      <c r="G646" s="1"/>
      <c r="H646" s="1"/>
      <c r="I646" s="27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279"/>
      <c r="D647" s="1"/>
      <c r="E647" s="1"/>
      <c r="F647" s="280"/>
      <c r="G647" s="1"/>
      <c r="H647" s="1"/>
      <c r="I647" s="27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279"/>
      <c r="D648" s="1"/>
      <c r="E648" s="1"/>
      <c r="F648" s="280"/>
      <c r="G648" s="1"/>
      <c r="H648" s="1"/>
      <c r="I648" s="27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279"/>
      <c r="D649" s="1"/>
      <c r="E649" s="1"/>
      <c r="F649" s="280"/>
      <c r="G649" s="1"/>
      <c r="H649" s="1"/>
      <c r="I649" s="27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279"/>
      <c r="D650" s="1"/>
      <c r="E650" s="1"/>
      <c r="F650" s="280"/>
      <c r="G650" s="1"/>
      <c r="H650" s="1"/>
      <c r="I650" s="27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279"/>
      <c r="D651" s="1"/>
      <c r="E651" s="1"/>
      <c r="F651" s="280"/>
      <c r="G651" s="1"/>
      <c r="H651" s="1"/>
      <c r="I651" s="27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279"/>
      <c r="D652" s="1"/>
      <c r="E652" s="1"/>
      <c r="F652" s="280"/>
      <c r="G652" s="1"/>
      <c r="H652" s="1"/>
      <c r="I652" s="27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279"/>
      <c r="D653" s="1"/>
      <c r="E653" s="1"/>
      <c r="F653" s="280"/>
      <c r="G653" s="1"/>
      <c r="H653" s="1"/>
      <c r="I653" s="27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279"/>
      <c r="D654" s="1"/>
      <c r="E654" s="1"/>
      <c r="F654" s="280"/>
      <c r="G654" s="1"/>
      <c r="H654" s="1"/>
      <c r="I654" s="27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279"/>
      <c r="D655" s="1"/>
      <c r="E655" s="1"/>
      <c r="F655" s="280"/>
      <c r="G655" s="1"/>
      <c r="H655" s="1"/>
      <c r="I655" s="27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279"/>
      <c r="D656" s="1"/>
      <c r="E656" s="1"/>
      <c r="F656" s="280"/>
      <c r="G656" s="1"/>
      <c r="H656" s="1"/>
      <c r="I656" s="27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279"/>
      <c r="D657" s="1"/>
      <c r="E657" s="1"/>
      <c r="F657" s="280"/>
      <c r="G657" s="1"/>
      <c r="H657" s="1"/>
      <c r="I657" s="27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279"/>
      <c r="D658" s="1"/>
      <c r="E658" s="1"/>
      <c r="F658" s="280"/>
      <c r="G658" s="1"/>
      <c r="H658" s="1"/>
      <c r="I658" s="27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279"/>
      <c r="D659" s="1"/>
      <c r="E659" s="1"/>
      <c r="F659" s="280"/>
      <c r="G659" s="1"/>
      <c r="H659" s="1"/>
      <c r="I659" s="27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279"/>
      <c r="D660" s="1"/>
      <c r="E660" s="1"/>
      <c r="F660" s="280"/>
      <c r="G660" s="1"/>
      <c r="H660" s="1"/>
      <c r="I660" s="27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279"/>
      <c r="D661" s="1"/>
      <c r="E661" s="1"/>
      <c r="F661" s="280"/>
      <c r="G661" s="1"/>
      <c r="H661" s="1"/>
      <c r="I661" s="27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279"/>
      <c r="D662" s="1"/>
      <c r="E662" s="1"/>
      <c r="F662" s="280"/>
      <c r="G662" s="1"/>
      <c r="H662" s="1"/>
      <c r="I662" s="27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279"/>
      <c r="D663" s="1"/>
      <c r="E663" s="1"/>
      <c r="F663" s="280"/>
      <c r="G663" s="1"/>
      <c r="H663" s="1"/>
      <c r="I663" s="27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279"/>
      <c r="D664" s="1"/>
      <c r="E664" s="1"/>
      <c r="F664" s="280"/>
      <c r="G664" s="1"/>
      <c r="H664" s="1"/>
      <c r="I664" s="27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279"/>
      <c r="D665" s="1"/>
      <c r="E665" s="1"/>
      <c r="F665" s="280"/>
      <c r="G665" s="1"/>
      <c r="H665" s="1"/>
      <c r="I665" s="27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279"/>
      <c r="D666" s="1"/>
      <c r="E666" s="1"/>
      <c r="F666" s="280"/>
      <c r="G666" s="1"/>
      <c r="H666" s="1"/>
      <c r="I666" s="27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279"/>
      <c r="D667" s="1"/>
      <c r="E667" s="1"/>
      <c r="F667" s="280"/>
      <c r="G667" s="1"/>
      <c r="H667" s="1"/>
      <c r="I667" s="27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279"/>
      <c r="D668" s="1"/>
      <c r="E668" s="1"/>
      <c r="F668" s="280"/>
      <c r="G668" s="1"/>
      <c r="H668" s="1"/>
      <c r="I668" s="27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279"/>
      <c r="D669" s="1"/>
      <c r="E669" s="1"/>
      <c r="F669" s="280"/>
      <c r="G669" s="1"/>
      <c r="H669" s="1"/>
      <c r="I669" s="27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279"/>
      <c r="D670" s="1"/>
      <c r="E670" s="1"/>
      <c r="F670" s="280"/>
      <c r="G670" s="1"/>
      <c r="H670" s="1"/>
      <c r="I670" s="27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279"/>
      <c r="D671" s="1"/>
      <c r="E671" s="1"/>
      <c r="F671" s="280"/>
      <c r="G671" s="1"/>
      <c r="H671" s="1"/>
      <c r="I671" s="27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279"/>
      <c r="D672" s="1"/>
      <c r="E672" s="1"/>
      <c r="F672" s="280"/>
      <c r="G672" s="1"/>
      <c r="H672" s="1"/>
      <c r="I672" s="27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279"/>
      <c r="D673" s="1"/>
      <c r="E673" s="1"/>
      <c r="F673" s="280"/>
      <c r="G673" s="1"/>
      <c r="H673" s="1"/>
      <c r="I673" s="27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279"/>
      <c r="D674" s="1"/>
      <c r="E674" s="1"/>
      <c r="F674" s="280"/>
      <c r="G674" s="1"/>
      <c r="H674" s="1"/>
      <c r="I674" s="27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279"/>
      <c r="D675" s="1"/>
      <c r="E675" s="1"/>
      <c r="F675" s="280"/>
      <c r="G675" s="1"/>
      <c r="H675" s="1"/>
      <c r="I675" s="27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279"/>
      <c r="D676" s="1"/>
      <c r="E676" s="1"/>
      <c r="F676" s="280"/>
      <c r="G676" s="1"/>
      <c r="H676" s="1"/>
      <c r="I676" s="27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279"/>
      <c r="D677" s="1"/>
      <c r="E677" s="1"/>
      <c r="F677" s="280"/>
      <c r="G677" s="1"/>
      <c r="H677" s="1"/>
      <c r="I677" s="27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279"/>
      <c r="D678" s="1"/>
      <c r="E678" s="1"/>
      <c r="F678" s="280"/>
      <c r="G678" s="1"/>
      <c r="H678" s="1"/>
      <c r="I678" s="27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279"/>
      <c r="D679" s="1"/>
      <c r="E679" s="1"/>
      <c r="F679" s="280"/>
      <c r="G679" s="1"/>
      <c r="H679" s="1"/>
      <c r="I679" s="27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279"/>
      <c r="D680" s="1"/>
      <c r="E680" s="1"/>
      <c r="F680" s="280"/>
      <c r="G680" s="1"/>
      <c r="H680" s="1"/>
      <c r="I680" s="27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279"/>
      <c r="D681" s="1"/>
      <c r="E681" s="1"/>
      <c r="F681" s="280"/>
      <c r="G681" s="1"/>
      <c r="H681" s="1"/>
      <c r="I681" s="27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279"/>
      <c r="D682" s="1"/>
      <c r="E682" s="1"/>
      <c r="F682" s="280"/>
      <c r="G682" s="1"/>
      <c r="H682" s="1"/>
      <c r="I682" s="27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279"/>
      <c r="D683" s="1"/>
      <c r="E683" s="1"/>
      <c r="F683" s="280"/>
      <c r="G683" s="1"/>
      <c r="H683" s="1"/>
      <c r="I683" s="27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279"/>
      <c r="D684" s="1"/>
      <c r="E684" s="1"/>
      <c r="F684" s="280"/>
      <c r="G684" s="1"/>
      <c r="H684" s="1"/>
      <c r="I684" s="27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279"/>
      <c r="D685" s="1"/>
      <c r="E685" s="1"/>
      <c r="F685" s="280"/>
      <c r="G685" s="1"/>
      <c r="H685" s="1"/>
      <c r="I685" s="27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279"/>
      <c r="D686" s="1"/>
      <c r="E686" s="1"/>
      <c r="F686" s="280"/>
      <c r="G686" s="1"/>
      <c r="H686" s="1"/>
      <c r="I686" s="27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279"/>
      <c r="D687" s="1"/>
      <c r="E687" s="1"/>
      <c r="F687" s="280"/>
      <c r="G687" s="1"/>
      <c r="H687" s="1"/>
      <c r="I687" s="27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279"/>
      <c r="D688" s="1"/>
      <c r="E688" s="1"/>
      <c r="F688" s="280"/>
      <c r="G688" s="1"/>
      <c r="H688" s="1"/>
      <c r="I688" s="27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279"/>
      <c r="D689" s="1"/>
      <c r="E689" s="1"/>
      <c r="F689" s="280"/>
      <c r="G689" s="1"/>
      <c r="H689" s="1"/>
      <c r="I689" s="27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279"/>
      <c r="D690" s="1"/>
      <c r="E690" s="1"/>
      <c r="F690" s="280"/>
      <c r="G690" s="1"/>
      <c r="H690" s="1"/>
      <c r="I690" s="27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279"/>
      <c r="D691" s="1"/>
      <c r="E691" s="1"/>
      <c r="F691" s="280"/>
      <c r="G691" s="1"/>
      <c r="H691" s="1"/>
      <c r="I691" s="27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279"/>
      <c r="D692" s="1"/>
      <c r="E692" s="1"/>
      <c r="F692" s="280"/>
      <c r="G692" s="1"/>
      <c r="H692" s="1"/>
      <c r="I692" s="27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279"/>
      <c r="D693" s="1"/>
      <c r="E693" s="1"/>
      <c r="F693" s="280"/>
      <c r="G693" s="1"/>
      <c r="H693" s="1"/>
      <c r="I693" s="27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279"/>
      <c r="D694" s="1"/>
      <c r="E694" s="1"/>
      <c r="F694" s="280"/>
      <c r="G694" s="1"/>
      <c r="H694" s="1"/>
      <c r="I694" s="27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279"/>
      <c r="D695" s="1"/>
      <c r="E695" s="1"/>
      <c r="F695" s="280"/>
      <c r="G695" s="1"/>
      <c r="H695" s="1"/>
      <c r="I695" s="27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279"/>
      <c r="D696" s="1"/>
      <c r="E696" s="1"/>
      <c r="F696" s="280"/>
      <c r="G696" s="1"/>
      <c r="H696" s="1"/>
      <c r="I696" s="27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279"/>
      <c r="D697" s="1"/>
      <c r="E697" s="1"/>
      <c r="F697" s="280"/>
      <c r="G697" s="1"/>
      <c r="H697" s="1"/>
      <c r="I697" s="27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279"/>
      <c r="D698" s="1"/>
      <c r="E698" s="1"/>
      <c r="F698" s="280"/>
      <c r="G698" s="1"/>
      <c r="H698" s="1"/>
      <c r="I698" s="27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279"/>
      <c r="D699" s="1"/>
      <c r="E699" s="1"/>
      <c r="F699" s="280"/>
      <c r="G699" s="1"/>
      <c r="H699" s="1"/>
      <c r="I699" s="27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279"/>
      <c r="D700" s="1"/>
      <c r="E700" s="1"/>
      <c r="F700" s="280"/>
      <c r="G700" s="1"/>
      <c r="H700" s="1"/>
      <c r="I700" s="27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279"/>
      <c r="D701" s="1"/>
      <c r="E701" s="1"/>
      <c r="F701" s="280"/>
      <c r="G701" s="1"/>
      <c r="H701" s="1"/>
      <c r="I701" s="27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279"/>
      <c r="D702" s="1"/>
      <c r="E702" s="1"/>
      <c r="F702" s="280"/>
      <c r="G702" s="1"/>
      <c r="H702" s="1"/>
      <c r="I702" s="27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279"/>
      <c r="D703" s="1"/>
      <c r="E703" s="1"/>
      <c r="F703" s="280"/>
      <c r="G703" s="1"/>
      <c r="H703" s="1"/>
      <c r="I703" s="27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279"/>
      <c r="D704" s="1"/>
      <c r="E704" s="1"/>
      <c r="F704" s="280"/>
      <c r="G704" s="1"/>
      <c r="H704" s="1"/>
      <c r="I704" s="27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279"/>
      <c r="D705" s="1"/>
      <c r="E705" s="1"/>
      <c r="F705" s="280"/>
      <c r="G705" s="1"/>
      <c r="H705" s="1"/>
      <c r="I705" s="27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279"/>
      <c r="D706" s="1"/>
      <c r="E706" s="1"/>
      <c r="F706" s="280"/>
      <c r="G706" s="1"/>
      <c r="H706" s="1"/>
      <c r="I706" s="27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279"/>
      <c r="D707" s="1"/>
      <c r="E707" s="1"/>
      <c r="F707" s="280"/>
      <c r="G707" s="1"/>
      <c r="H707" s="1"/>
      <c r="I707" s="27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279"/>
      <c r="D708" s="1"/>
      <c r="E708" s="1"/>
      <c r="F708" s="280"/>
      <c r="G708" s="1"/>
      <c r="H708" s="1"/>
      <c r="I708" s="27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279"/>
      <c r="D709" s="1"/>
      <c r="E709" s="1"/>
      <c r="F709" s="280"/>
      <c r="G709" s="1"/>
      <c r="H709" s="1"/>
      <c r="I709" s="27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279"/>
      <c r="D710" s="1"/>
      <c r="E710" s="1"/>
      <c r="F710" s="280"/>
      <c r="G710" s="1"/>
      <c r="H710" s="1"/>
      <c r="I710" s="27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279"/>
      <c r="D711" s="1"/>
      <c r="E711" s="1"/>
      <c r="F711" s="280"/>
      <c r="G711" s="1"/>
      <c r="H711" s="1"/>
      <c r="I711" s="27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279"/>
      <c r="D712" s="1"/>
      <c r="E712" s="1"/>
      <c r="F712" s="280"/>
      <c r="G712" s="1"/>
      <c r="H712" s="1"/>
      <c r="I712" s="27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279"/>
      <c r="D713" s="1"/>
      <c r="E713" s="1"/>
      <c r="F713" s="280"/>
      <c r="G713" s="1"/>
      <c r="H713" s="1"/>
      <c r="I713" s="27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279"/>
      <c r="D714" s="1"/>
      <c r="E714" s="1"/>
      <c r="F714" s="280"/>
      <c r="G714" s="1"/>
      <c r="H714" s="1"/>
      <c r="I714" s="27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279"/>
      <c r="D715" s="1"/>
      <c r="E715" s="1"/>
      <c r="F715" s="280"/>
      <c r="G715" s="1"/>
      <c r="H715" s="1"/>
      <c r="I715" s="27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279"/>
      <c r="D716" s="1"/>
      <c r="E716" s="1"/>
      <c r="F716" s="280"/>
      <c r="G716" s="1"/>
      <c r="H716" s="1"/>
      <c r="I716" s="27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279"/>
      <c r="D717" s="1"/>
      <c r="E717" s="1"/>
      <c r="F717" s="280"/>
      <c r="G717" s="1"/>
      <c r="H717" s="1"/>
      <c r="I717" s="27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279"/>
      <c r="D718" s="1"/>
      <c r="E718" s="1"/>
      <c r="F718" s="280"/>
      <c r="G718" s="1"/>
      <c r="H718" s="1"/>
      <c r="I718" s="27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279"/>
      <c r="D719" s="1"/>
      <c r="E719" s="1"/>
      <c r="F719" s="280"/>
      <c r="G719" s="1"/>
      <c r="H719" s="1"/>
      <c r="I719" s="27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279"/>
      <c r="D720" s="1"/>
      <c r="E720" s="1"/>
      <c r="F720" s="280"/>
      <c r="G720" s="1"/>
      <c r="H720" s="1"/>
      <c r="I720" s="27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279"/>
      <c r="D721" s="1"/>
      <c r="E721" s="1"/>
      <c r="F721" s="280"/>
      <c r="G721" s="1"/>
      <c r="H721" s="1"/>
      <c r="I721" s="27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279"/>
      <c r="D722" s="1"/>
      <c r="E722" s="1"/>
      <c r="F722" s="280"/>
      <c r="G722" s="1"/>
      <c r="H722" s="1"/>
      <c r="I722" s="27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279"/>
      <c r="D723" s="1"/>
      <c r="E723" s="1"/>
      <c r="F723" s="280"/>
      <c r="G723" s="1"/>
      <c r="H723" s="1"/>
      <c r="I723" s="27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279"/>
      <c r="D724" s="1"/>
      <c r="E724" s="1"/>
      <c r="F724" s="280"/>
      <c r="G724" s="1"/>
      <c r="H724" s="1"/>
      <c r="I724" s="27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279"/>
      <c r="D725" s="1"/>
      <c r="E725" s="1"/>
      <c r="F725" s="280"/>
      <c r="G725" s="1"/>
      <c r="H725" s="1"/>
      <c r="I725" s="27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279"/>
      <c r="D726" s="1"/>
      <c r="E726" s="1"/>
      <c r="F726" s="280"/>
      <c r="G726" s="1"/>
      <c r="H726" s="1"/>
      <c r="I726" s="27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279"/>
      <c r="D727" s="1"/>
      <c r="E727" s="1"/>
      <c r="F727" s="280"/>
      <c r="G727" s="1"/>
      <c r="H727" s="1"/>
      <c r="I727" s="27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279"/>
      <c r="D728" s="1"/>
      <c r="E728" s="1"/>
      <c r="F728" s="280"/>
      <c r="G728" s="1"/>
      <c r="H728" s="1"/>
      <c r="I728" s="27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279"/>
      <c r="D729" s="1"/>
      <c r="E729" s="1"/>
      <c r="F729" s="280"/>
      <c r="G729" s="1"/>
      <c r="H729" s="1"/>
      <c r="I729" s="27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279"/>
      <c r="D730" s="1"/>
      <c r="E730" s="1"/>
      <c r="F730" s="280"/>
      <c r="G730" s="1"/>
      <c r="H730" s="1"/>
      <c r="I730" s="27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279"/>
      <c r="D731" s="1"/>
      <c r="E731" s="1"/>
      <c r="F731" s="280"/>
      <c r="G731" s="1"/>
      <c r="H731" s="1"/>
      <c r="I731" s="27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279"/>
      <c r="D732" s="1"/>
      <c r="E732" s="1"/>
      <c r="F732" s="280"/>
      <c r="G732" s="1"/>
      <c r="H732" s="1"/>
      <c r="I732" s="27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279"/>
      <c r="D733" s="1"/>
      <c r="E733" s="1"/>
      <c r="F733" s="280"/>
      <c r="G733" s="1"/>
      <c r="H733" s="1"/>
      <c r="I733" s="27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279"/>
      <c r="D734" s="1"/>
      <c r="E734" s="1"/>
      <c r="F734" s="280"/>
      <c r="G734" s="1"/>
      <c r="H734" s="1"/>
      <c r="I734" s="27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279"/>
      <c r="D735" s="1"/>
      <c r="E735" s="1"/>
      <c r="F735" s="280"/>
      <c r="G735" s="1"/>
      <c r="H735" s="1"/>
      <c r="I735" s="27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279"/>
      <c r="D736" s="1"/>
      <c r="E736" s="1"/>
      <c r="F736" s="280"/>
      <c r="G736" s="1"/>
      <c r="H736" s="1"/>
      <c r="I736" s="27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279"/>
      <c r="D737" s="1"/>
      <c r="E737" s="1"/>
      <c r="F737" s="280"/>
      <c r="G737" s="1"/>
      <c r="H737" s="1"/>
      <c r="I737" s="27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279"/>
      <c r="D738" s="1"/>
      <c r="E738" s="1"/>
      <c r="F738" s="280"/>
      <c r="G738" s="1"/>
      <c r="H738" s="1"/>
      <c r="I738" s="27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279"/>
      <c r="D739" s="1"/>
      <c r="E739" s="1"/>
      <c r="F739" s="280"/>
      <c r="G739" s="1"/>
      <c r="H739" s="1"/>
      <c r="I739" s="27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279"/>
      <c r="D740" s="1"/>
      <c r="E740" s="1"/>
      <c r="F740" s="280"/>
      <c r="G740" s="1"/>
      <c r="H740" s="1"/>
      <c r="I740" s="27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279"/>
      <c r="D741" s="1"/>
      <c r="E741" s="1"/>
      <c r="F741" s="280"/>
      <c r="G741" s="1"/>
      <c r="H741" s="1"/>
      <c r="I741" s="27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279"/>
      <c r="D742" s="1"/>
      <c r="E742" s="1"/>
      <c r="F742" s="280"/>
      <c r="G742" s="1"/>
      <c r="H742" s="1"/>
      <c r="I742" s="27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279"/>
      <c r="D743" s="1"/>
      <c r="E743" s="1"/>
      <c r="F743" s="280"/>
      <c r="G743" s="1"/>
      <c r="H743" s="1"/>
      <c r="I743" s="27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279"/>
      <c r="D744" s="1"/>
      <c r="E744" s="1"/>
      <c r="F744" s="280"/>
      <c r="G744" s="1"/>
      <c r="H744" s="1"/>
      <c r="I744" s="27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279"/>
      <c r="D745" s="1"/>
      <c r="E745" s="1"/>
      <c r="F745" s="280"/>
      <c r="G745" s="1"/>
      <c r="H745" s="1"/>
      <c r="I745" s="27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279"/>
      <c r="D746" s="1"/>
      <c r="E746" s="1"/>
      <c r="F746" s="280"/>
      <c r="G746" s="1"/>
      <c r="H746" s="1"/>
      <c r="I746" s="27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279"/>
      <c r="D747" s="1"/>
      <c r="E747" s="1"/>
      <c r="F747" s="280"/>
      <c r="G747" s="1"/>
      <c r="H747" s="1"/>
      <c r="I747" s="27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279"/>
      <c r="D748" s="1"/>
      <c r="E748" s="1"/>
      <c r="F748" s="280"/>
      <c r="G748" s="1"/>
      <c r="H748" s="1"/>
      <c r="I748" s="27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279"/>
      <c r="D749" s="1"/>
      <c r="E749" s="1"/>
      <c r="F749" s="280"/>
      <c r="G749" s="1"/>
      <c r="H749" s="1"/>
      <c r="I749" s="27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279"/>
      <c r="D750" s="1"/>
      <c r="E750" s="1"/>
      <c r="F750" s="280"/>
      <c r="G750" s="1"/>
      <c r="H750" s="1"/>
      <c r="I750" s="27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279"/>
      <c r="D751" s="1"/>
      <c r="E751" s="1"/>
      <c r="F751" s="280"/>
      <c r="G751" s="1"/>
      <c r="H751" s="1"/>
      <c r="I751" s="27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279"/>
      <c r="D752" s="1"/>
      <c r="E752" s="1"/>
      <c r="F752" s="280"/>
      <c r="G752" s="1"/>
      <c r="H752" s="1"/>
      <c r="I752" s="27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279"/>
      <c r="D753" s="1"/>
      <c r="E753" s="1"/>
      <c r="F753" s="280"/>
      <c r="G753" s="1"/>
      <c r="H753" s="1"/>
      <c r="I753" s="27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279"/>
      <c r="D754" s="1"/>
      <c r="E754" s="1"/>
      <c r="F754" s="280"/>
      <c r="G754" s="1"/>
      <c r="H754" s="1"/>
      <c r="I754" s="27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279"/>
      <c r="D755" s="1"/>
      <c r="E755" s="1"/>
      <c r="F755" s="280"/>
      <c r="G755" s="1"/>
      <c r="H755" s="1"/>
      <c r="I755" s="27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279"/>
      <c r="D756" s="1"/>
      <c r="E756" s="1"/>
      <c r="F756" s="280"/>
      <c r="G756" s="1"/>
      <c r="H756" s="1"/>
      <c r="I756" s="27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279"/>
      <c r="D757" s="1"/>
      <c r="E757" s="1"/>
      <c r="F757" s="280"/>
      <c r="G757" s="1"/>
      <c r="H757" s="1"/>
      <c r="I757" s="27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279"/>
      <c r="D758" s="1"/>
      <c r="E758" s="1"/>
      <c r="F758" s="280"/>
      <c r="G758" s="1"/>
      <c r="H758" s="1"/>
      <c r="I758" s="27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279"/>
      <c r="D759" s="1"/>
      <c r="E759" s="1"/>
      <c r="F759" s="280"/>
      <c r="G759" s="1"/>
      <c r="H759" s="1"/>
      <c r="I759" s="27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279"/>
      <c r="D760" s="1"/>
      <c r="E760" s="1"/>
      <c r="F760" s="280"/>
      <c r="G760" s="1"/>
      <c r="H760" s="1"/>
      <c r="I760" s="27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279"/>
      <c r="D761" s="1"/>
      <c r="E761" s="1"/>
      <c r="F761" s="280"/>
      <c r="G761" s="1"/>
      <c r="H761" s="1"/>
      <c r="I761" s="27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279"/>
      <c r="D762" s="1"/>
      <c r="E762" s="1"/>
      <c r="F762" s="280"/>
      <c r="G762" s="1"/>
      <c r="H762" s="1"/>
      <c r="I762" s="27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279"/>
      <c r="D763" s="1"/>
      <c r="E763" s="1"/>
      <c r="F763" s="280"/>
      <c r="G763" s="1"/>
      <c r="H763" s="1"/>
      <c r="I763" s="27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279"/>
      <c r="D764" s="1"/>
      <c r="E764" s="1"/>
      <c r="F764" s="280"/>
      <c r="G764" s="1"/>
      <c r="H764" s="1"/>
      <c r="I764" s="27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279"/>
      <c r="D765" s="1"/>
      <c r="E765" s="1"/>
      <c r="F765" s="280"/>
      <c r="G765" s="1"/>
      <c r="H765" s="1"/>
      <c r="I765" s="27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279"/>
      <c r="D766" s="1"/>
      <c r="E766" s="1"/>
      <c r="F766" s="280"/>
      <c r="G766" s="1"/>
      <c r="H766" s="1"/>
      <c r="I766" s="27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279"/>
      <c r="D767" s="1"/>
      <c r="E767" s="1"/>
      <c r="F767" s="280"/>
      <c r="G767" s="1"/>
      <c r="H767" s="1"/>
      <c r="I767" s="27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279"/>
      <c r="D768" s="1"/>
      <c r="E768" s="1"/>
      <c r="F768" s="280"/>
      <c r="G768" s="1"/>
      <c r="H768" s="1"/>
      <c r="I768" s="27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279"/>
      <c r="D769" s="1"/>
      <c r="E769" s="1"/>
      <c r="F769" s="280"/>
      <c r="G769" s="1"/>
      <c r="H769" s="1"/>
      <c r="I769" s="27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279"/>
      <c r="D770" s="1"/>
      <c r="E770" s="1"/>
      <c r="F770" s="280"/>
      <c r="G770" s="1"/>
      <c r="H770" s="1"/>
      <c r="I770" s="27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279"/>
      <c r="D771" s="1"/>
      <c r="E771" s="1"/>
      <c r="F771" s="280"/>
      <c r="G771" s="1"/>
      <c r="H771" s="1"/>
      <c r="I771" s="27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279"/>
      <c r="D772" s="1"/>
      <c r="E772" s="1"/>
      <c r="F772" s="280"/>
      <c r="G772" s="1"/>
      <c r="H772" s="1"/>
      <c r="I772" s="27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279"/>
      <c r="D773" s="1"/>
      <c r="E773" s="1"/>
      <c r="F773" s="280"/>
      <c r="G773" s="1"/>
      <c r="H773" s="1"/>
      <c r="I773" s="27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279"/>
      <c r="D774" s="1"/>
      <c r="E774" s="1"/>
      <c r="F774" s="280"/>
      <c r="G774" s="1"/>
      <c r="H774" s="1"/>
      <c r="I774" s="27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279"/>
      <c r="D775" s="1"/>
      <c r="E775" s="1"/>
      <c r="F775" s="280"/>
      <c r="G775" s="1"/>
      <c r="H775" s="1"/>
      <c r="I775" s="27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279"/>
      <c r="D776" s="1"/>
      <c r="E776" s="1"/>
      <c r="F776" s="280"/>
      <c r="G776" s="1"/>
      <c r="H776" s="1"/>
      <c r="I776" s="27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279"/>
      <c r="D777" s="1"/>
      <c r="E777" s="1"/>
      <c r="F777" s="280"/>
      <c r="G777" s="1"/>
      <c r="H777" s="1"/>
      <c r="I777" s="27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279"/>
      <c r="D778" s="1"/>
      <c r="E778" s="1"/>
      <c r="F778" s="280"/>
      <c r="G778" s="1"/>
      <c r="H778" s="1"/>
      <c r="I778" s="27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279"/>
      <c r="D779" s="1"/>
      <c r="E779" s="1"/>
      <c r="F779" s="280"/>
      <c r="G779" s="1"/>
      <c r="H779" s="1"/>
      <c r="I779" s="27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279"/>
      <c r="D780" s="1"/>
      <c r="E780" s="1"/>
      <c r="F780" s="280"/>
      <c r="G780" s="1"/>
      <c r="H780" s="1"/>
      <c r="I780" s="27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279"/>
      <c r="D781" s="1"/>
      <c r="E781" s="1"/>
      <c r="F781" s="280"/>
      <c r="G781" s="1"/>
      <c r="H781" s="1"/>
      <c r="I781" s="27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279"/>
      <c r="D782" s="1"/>
      <c r="E782" s="1"/>
      <c r="F782" s="280"/>
      <c r="G782" s="1"/>
      <c r="H782" s="1"/>
      <c r="I782" s="27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279"/>
      <c r="D783" s="1"/>
      <c r="E783" s="1"/>
      <c r="F783" s="280"/>
      <c r="G783" s="1"/>
      <c r="H783" s="1"/>
      <c r="I783" s="27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279"/>
      <c r="D784" s="1"/>
      <c r="E784" s="1"/>
      <c r="F784" s="280"/>
      <c r="G784" s="1"/>
      <c r="H784" s="1"/>
      <c r="I784" s="27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279"/>
      <c r="D785" s="1"/>
      <c r="E785" s="1"/>
      <c r="F785" s="280"/>
      <c r="G785" s="1"/>
      <c r="H785" s="1"/>
      <c r="I785" s="27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279"/>
      <c r="D786" s="1"/>
      <c r="E786" s="1"/>
      <c r="F786" s="280"/>
      <c r="G786" s="1"/>
      <c r="H786" s="1"/>
      <c r="I786" s="27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279"/>
      <c r="D787" s="1"/>
      <c r="E787" s="1"/>
      <c r="F787" s="280"/>
      <c r="G787" s="1"/>
      <c r="H787" s="1"/>
      <c r="I787" s="27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279"/>
      <c r="D788" s="1"/>
      <c r="E788" s="1"/>
      <c r="F788" s="280"/>
      <c r="G788" s="1"/>
      <c r="H788" s="1"/>
      <c r="I788" s="27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279"/>
      <c r="D789" s="1"/>
      <c r="E789" s="1"/>
      <c r="F789" s="280"/>
      <c r="G789" s="1"/>
      <c r="H789" s="1"/>
      <c r="I789" s="27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279"/>
      <c r="D790" s="1"/>
      <c r="E790" s="1"/>
      <c r="F790" s="280"/>
      <c r="G790" s="1"/>
      <c r="H790" s="1"/>
      <c r="I790" s="27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279"/>
      <c r="D791" s="1"/>
      <c r="E791" s="1"/>
      <c r="F791" s="280"/>
      <c r="G791" s="1"/>
      <c r="H791" s="1"/>
      <c r="I791" s="27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279"/>
      <c r="D792" s="1"/>
      <c r="E792" s="1"/>
      <c r="F792" s="280"/>
      <c r="G792" s="1"/>
      <c r="H792" s="1"/>
      <c r="I792" s="27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279"/>
      <c r="D793" s="1"/>
      <c r="E793" s="1"/>
      <c r="F793" s="280"/>
      <c r="G793" s="1"/>
      <c r="H793" s="1"/>
      <c r="I793" s="27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279"/>
      <c r="D794" s="1"/>
      <c r="E794" s="1"/>
      <c r="F794" s="280"/>
      <c r="G794" s="1"/>
      <c r="H794" s="1"/>
      <c r="I794" s="27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279"/>
      <c r="D795" s="1"/>
      <c r="E795" s="1"/>
      <c r="F795" s="280"/>
      <c r="G795" s="1"/>
      <c r="H795" s="1"/>
      <c r="I795" s="27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279"/>
      <c r="D796" s="1"/>
      <c r="E796" s="1"/>
      <c r="F796" s="280"/>
      <c r="G796" s="1"/>
      <c r="H796" s="1"/>
      <c r="I796" s="27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279"/>
      <c r="D797" s="1"/>
      <c r="E797" s="1"/>
      <c r="F797" s="280"/>
      <c r="G797" s="1"/>
      <c r="H797" s="1"/>
      <c r="I797" s="27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279"/>
      <c r="D798" s="1"/>
      <c r="E798" s="1"/>
      <c r="F798" s="280"/>
      <c r="G798" s="1"/>
      <c r="H798" s="1"/>
      <c r="I798" s="27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279"/>
      <c r="D799" s="1"/>
      <c r="E799" s="1"/>
      <c r="F799" s="280"/>
      <c r="G799" s="1"/>
      <c r="H799" s="1"/>
      <c r="I799" s="27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279"/>
      <c r="D800" s="1"/>
      <c r="E800" s="1"/>
      <c r="F800" s="280"/>
      <c r="G800" s="1"/>
      <c r="H800" s="1"/>
      <c r="I800" s="27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279"/>
      <c r="D801" s="1"/>
      <c r="E801" s="1"/>
      <c r="F801" s="280"/>
      <c r="G801" s="1"/>
      <c r="H801" s="1"/>
      <c r="I801" s="27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279"/>
      <c r="D802" s="1"/>
      <c r="E802" s="1"/>
      <c r="F802" s="280"/>
      <c r="G802" s="1"/>
      <c r="H802" s="1"/>
      <c r="I802" s="27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279"/>
      <c r="D803" s="1"/>
      <c r="E803" s="1"/>
      <c r="F803" s="280"/>
      <c r="G803" s="1"/>
      <c r="H803" s="1"/>
      <c r="I803" s="27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279"/>
      <c r="D804" s="1"/>
      <c r="E804" s="1"/>
      <c r="F804" s="280"/>
      <c r="G804" s="1"/>
      <c r="H804" s="1"/>
      <c r="I804" s="27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279"/>
      <c r="D805" s="1"/>
      <c r="E805" s="1"/>
      <c r="F805" s="280"/>
      <c r="G805" s="1"/>
      <c r="H805" s="1"/>
      <c r="I805" s="27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279"/>
      <c r="D806" s="1"/>
      <c r="E806" s="1"/>
      <c r="F806" s="280"/>
      <c r="G806" s="1"/>
      <c r="H806" s="1"/>
      <c r="I806" s="27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279"/>
      <c r="D807" s="1"/>
      <c r="E807" s="1"/>
      <c r="F807" s="280"/>
      <c r="G807" s="1"/>
      <c r="H807" s="1"/>
      <c r="I807" s="27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279"/>
      <c r="D808" s="1"/>
      <c r="E808" s="1"/>
      <c r="F808" s="280"/>
      <c r="G808" s="1"/>
      <c r="H808" s="1"/>
      <c r="I808" s="27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279"/>
      <c r="D809" s="1"/>
      <c r="E809" s="1"/>
      <c r="F809" s="280"/>
      <c r="G809" s="1"/>
      <c r="H809" s="1"/>
      <c r="I809" s="27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279"/>
      <c r="D810" s="1"/>
      <c r="E810" s="1"/>
      <c r="F810" s="280"/>
      <c r="G810" s="1"/>
      <c r="H810" s="1"/>
      <c r="I810" s="27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279"/>
      <c r="D811" s="1"/>
      <c r="E811" s="1"/>
      <c r="F811" s="280"/>
      <c r="G811" s="1"/>
      <c r="H811" s="1"/>
      <c r="I811" s="27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279"/>
      <c r="D812" s="1"/>
      <c r="E812" s="1"/>
      <c r="F812" s="280"/>
      <c r="G812" s="1"/>
      <c r="H812" s="1"/>
      <c r="I812" s="27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279"/>
      <c r="D813" s="1"/>
      <c r="E813" s="1"/>
      <c r="F813" s="280"/>
      <c r="G813" s="1"/>
      <c r="H813" s="1"/>
      <c r="I813" s="27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279"/>
      <c r="D814" s="1"/>
      <c r="E814" s="1"/>
      <c r="F814" s="280"/>
      <c r="G814" s="1"/>
      <c r="H814" s="1"/>
      <c r="I814" s="27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279"/>
      <c r="D815" s="1"/>
      <c r="E815" s="1"/>
      <c r="F815" s="280"/>
      <c r="G815" s="1"/>
      <c r="H815" s="1"/>
      <c r="I815" s="27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279"/>
      <c r="D816" s="1"/>
      <c r="E816" s="1"/>
      <c r="F816" s="280"/>
      <c r="G816" s="1"/>
      <c r="H816" s="1"/>
      <c r="I816" s="27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279"/>
      <c r="D817" s="1"/>
      <c r="E817" s="1"/>
      <c r="F817" s="280"/>
      <c r="G817" s="1"/>
      <c r="H817" s="1"/>
      <c r="I817" s="27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279"/>
      <c r="D818" s="1"/>
      <c r="E818" s="1"/>
      <c r="F818" s="280"/>
      <c r="G818" s="1"/>
      <c r="H818" s="1"/>
      <c r="I818" s="27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279"/>
      <c r="D819" s="1"/>
      <c r="E819" s="1"/>
      <c r="F819" s="280"/>
      <c r="G819" s="1"/>
      <c r="H819" s="1"/>
      <c r="I819" s="27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279"/>
      <c r="D820" s="1"/>
      <c r="E820" s="1"/>
      <c r="F820" s="280"/>
      <c r="G820" s="1"/>
      <c r="H820" s="1"/>
      <c r="I820" s="27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279"/>
      <c r="D821" s="1"/>
      <c r="E821" s="1"/>
      <c r="F821" s="280"/>
      <c r="G821" s="1"/>
      <c r="H821" s="1"/>
      <c r="I821" s="27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279"/>
      <c r="D822" s="1"/>
      <c r="E822" s="1"/>
      <c r="F822" s="280"/>
      <c r="G822" s="1"/>
      <c r="H822" s="1"/>
      <c r="I822" s="27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279"/>
      <c r="D823" s="1"/>
      <c r="E823" s="1"/>
      <c r="F823" s="280"/>
      <c r="G823" s="1"/>
      <c r="H823" s="1"/>
      <c r="I823" s="27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279"/>
      <c r="D824" s="1"/>
      <c r="E824" s="1"/>
      <c r="F824" s="280"/>
      <c r="G824" s="1"/>
      <c r="H824" s="1"/>
      <c r="I824" s="27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279"/>
      <c r="D825" s="1"/>
      <c r="E825" s="1"/>
      <c r="F825" s="280"/>
      <c r="G825" s="1"/>
      <c r="H825" s="1"/>
      <c r="I825" s="27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279"/>
      <c r="D826" s="1"/>
      <c r="E826" s="1"/>
      <c r="F826" s="280"/>
      <c r="G826" s="1"/>
      <c r="H826" s="1"/>
      <c r="I826" s="27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279"/>
      <c r="D827" s="1"/>
      <c r="E827" s="1"/>
      <c r="F827" s="280"/>
      <c r="G827" s="1"/>
      <c r="H827" s="1"/>
      <c r="I827" s="27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279"/>
      <c r="D828" s="1"/>
      <c r="E828" s="1"/>
      <c r="F828" s="280"/>
      <c r="G828" s="1"/>
      <c r="H828" s="1"/>
      <c r="I828" s="27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279"/>
      <c r="D829" s="1"/>
      <c r="E829" s="1"/>
      <c r="F829" s="280"/>
      <c r="G829" s="1"/>
      <c r="H829" s="1"/>
      <c r="I829" s="27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279"/>
      <c r="D830" s="1"/>
      <c r="E830" s="1"/>
      <c r="F830" s="280"/>
      <c r="G830" s="1"/>
      <c r="H830" s="1"/>
      <c r="I830" s="27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279"/>
      <c r="D831" s="1"/>
      <c r="E831" s="1"/>
      <c r="F831" s="280"/>
      <c r="G831" s="1"/>
      <c r="H831" s="1"/>
      <c r="I831" s="27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279"/>
      <c r="D832" s="1"/>
      <c r="E832" s="1"/>
      <c r="F832" s="280"/>
      <c r="G832" s="1"/>
      <c r="H832" s="1"/>
      <c r="I832" s="27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279"/>
      <c r="D833" s="1"/>
      <c r="E833" s="1"/>
      <c r="F833" s="280"/>
      <c r="G833" s="1"/>
      <c r="H833" s="1"/>
      <c r="I833" s="27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279"/>
      <c r="D834" s="1"/>
      <c r="E834" s="1"/>
      <c r="F834" s="280"/>
      <c r="G834" s="1"/>
      <c r="H834" s="1"/>
      <c r="I834" s="27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279"/>
      <c r="D835" s="1"/>
      <c r="E835" s="1"/>
      <c r="F835" s="280"/>
      <c r="G835" s="1"/>
      <c r="H835" s="1"/>
      <c r="I835" s="27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279"/>
      <c r="D836" s="1"/>
      <c r="E836" s="1"/>
      <c r="F836" s="280"/>
      <c r="G836" s="1"/>
      <c r="H836" s="1"/>
      <c r="I836" s="27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279"/>
      <c r="D837" s="1"/>
      <c r="E837" s="1"/>
      <c r="F837" s="280"/>
      <c r="G837" s="1"/>
      <c r="H837" s="1"/>
      <c r="I837" s="27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279"/>
      <c r="D838" s="1"/>
      <c r="E838" s="1"/>
      <c r="F838" s="280"/>
      <c r="G838" s="1"/>
      <c r="H838" s="1"/>
      <c r="I838" s="27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279"/>
      <c r="D839" s="1"/>
      <c r="E839" s="1"/>
      <c r="F839" s="280"/>
      <c r="G839" s="1"/>
      <c r="H839" s="1"/>
      <c r="I839" s="27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279"/>
      <c r="D840" s="1"/>
      <c r="E840" s="1"/>
      <c r="F840" s="280"/>
      <c r="G840" s="1"/>
      <c r="H840" s="1"/>
      <c r="I840" s="27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279"/>
      <c r="D841" s="1"/>
      <c r="E841" s="1"/>
      <c r="F841" s="280"/>
      <c r="G841" s="1"/>
      <c r="H841" s="1"/>
      <c r="I841" s="27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279"/>
      <c r="D842" s="1"/>
      <c r="E842" s="1"/>
      <c r="F842" s="280"/>
      <c r="G842" s="1"/>
      <c r="H842" s="1"/>
      <c r="I842" s="27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279"/>
      <c r="D843" s="1"/>
      <c r="E843" s="1"/>
      <c r="F843" s="280"/>
      <c r="G843" s="1"/>
      <c r="H843" s="1"/>
      <c r="I843" s="27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279"/>
      <c r="D844" s="1"/>
      <c r="E844" s="1"/>
      <c r="F844" s="280"/>
      <c r="G844" s="1"/>
      <c r="H844" s="1"/>
      <c r="I844" s="27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279"/>
      <c r="D845" s="1"/>
      <c r="E845" s="1"/>
      <c r="F845" s="280"/>
      <c r="G845" s="1"/>
      <c r="H845" s="1"/>
      <c r="I845" s="27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279"/>
      <c r="D846" s="1"/>
      <c r="E846" s="1"/>
      <c r="F846" s="280"/>
      <c r="G846" s="1"/>
      <c r="H846" s="1"/>
      <c r="I846" s="27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279"/>
      <c r="D847" s="1"/>
      <c r="E847" s="1"/>
      <c r="F847" s="280"/>
      <c r="G847" s="1"/>
      <c r="H847" s="1"/>
      <c r="I847" s="27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279"/>
      <c r="D848" s="1"/>
      <c r="E848" s="1"/>
      <c r="F848" s="280"/>
      <c r="G848" s="1"/>
      <c r="H848" s="1"/>
      <c r="I848" s="27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279"/>
      <c r="D849" s="1"/>
      <c r="E849" s="1"/>
      <c r="F849" s="280"/>
      <c r="G849" s="1"/>
      <c r="H849" s="1"/>
      <c r="I849" s="27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279"/>
      <c r="D850" s="1"/>
      <c r="E850" s="1"/>
      <c r="F850" s="280"/>
      <c r="G850" s="1"/>
      <c r="H850" s="1"/>
      <c r="I850" s="27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279"/>
      <c r="D851" s="1"/>
      <c r="E851" s="1"/>
      <c r="F851" s="280"/>
      <c r="G851" s="1"/>
      <c r="H851" s="1"/>
      <c r="I851" s="27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279"/>
      <c r="D852" s="1"/>
      <c r="E852" s="1"/>
      <c r="F852" s="280"/>
      <c r="G852" s="1"/>
      <c r="H852" s="1"/>
      <c r="I852" s="27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279"/>
      <c r="D853" s="1"/>
      <c r="E853" s="1"/>
      <c r="F853" s="280"/>
      <c r="G853" s="1"/>
      <c r="H853" s="1"/>
      <c r="I853" s="27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279"/>
      <c r="D854" s="1"/>
      <c r="E854" s="1"/>
      <c r="F854" s="280"/>
      <c r="G854" s="1"/>
      <c r="H854" s="1"/>
      <c r="I854" s="27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279"/>
      <c r="D855" s="1"/>
      <c r="E855" s="1"/>
      <c r="F855" s="280"/>
      <c r="G855" s="1"/>
      <c r="H855" s="1"/>
      <c r="I855" s="27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279"/>
      <c r="D856" s="1"/>
      <c r="E856" s="1"/>
      <c r="F856" s="280"/>
      <c r="G856" s="1"/>
      <c r="H856" s="1"/>
      <c r="I856" s="27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279"/>
      <c r="D857" s="1"/>
      <c r="E857" s="1"/>
      <c r="F857" s="280"/>
      <c r="G857" s="1"/>
      <c r="H857" s="1"/>
      <c r="I857" s="27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279"/>
      <c r="D858" s="1"/>
      <c r="E858" s="1"/>
      <c r="F858" s="280"/>
      <c r="G858" s="1"/>
      <c r="H858" s="1"/>
      <c r="I858" s="27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279"/>
      <c r="D859" s="1"/>
      <c r="E859" s="1"/>
      <c r="F859" s="280"/>
      <c r="G859" s="1"/>
      <c r="H859" s="1"/>
      <c r="I859" s="27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279"/>
      <c r="D860" s="1"/>
      <c r="E860" s="1"/>
      <c r="F860" s="280"/>
      <c r="G860" s="1"/>
      <c r="H860" s="1"/>
      <c r="I860" s="27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279"/>
      <c r="D861" s="1"/>
      <c r="E861" s="1"/>
      <c r="F861" s="280"/>
      <c r="G861" s="1"/>
      <c r="H861" s="1"/>
      <c r="I861" s="27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279"/>
      <c r="D862" s="1"/>
      <c r="E862" s="1"/>
      <c r="F862" s="280"/>
      <c r="G862" s="1"/>
      <c r="H862" s="1"/>
      <c r="I862" s="27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279"/>
      <c r="D863" s="1"/>
      <c r="E863" s="1"/>
      <c r="F863" s="280"/>
      <c r="G863" s="1"/>
      <c r="H863" s="1"/>
      <c r="I863" s="27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279"/>
      <c r="D864" s="1"/>
      <c r="E864" s="1"/>
      <c r="F864" s="280"/>
      <c r="G864" s="1"/>
      <c r="H864" s="1"/>
      <c r="I864" s="27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279"/>
      <c r="D865" s="1"/>
      <c r="E865" s="1"/>
      <c r="F865" s="280"/>
      <c r="G865" s="1"/>
      <c r="H865" s="1"/>
      <c r="I865" s="27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279"/>
      <c r="D866" s="1"/>
      <c r="E866" s="1"/>
      <c r="F866" s="280"/>
      <c r="G866" s="1"/>
      <c r="H866" s="1"/>
      <c r="I866" s="27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279"/>
      <c r="D867" s="1"/>
      <c r="E867" s="1"/>
      <c r="F867" s="280"/>
      <c r="G867" s="1"/>
      <c r="H867" s="1"/>
      <c r="I867" s="27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279"/>
      <c r="D868" s="1"/>
      <c r="E868" s="1"/>
      <c r="F868" s="280"/>
      <c r="G868" s="1"/>
      <c r="H868" s="1"/>
      <c r="I868" s="27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279"/>
      <c r="D869" s="1"/>
      <c r="E869" s="1"/>
      <c r="F869" s="280"/>
      <c r="G869" s="1"/>
      <c r="H869" s="1"/>
      <c r="I869" s="27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279"/>
      <c r="D870" s="1"/>
      <c r="E870" s="1"/>
      <c r="F870" s="280"/>
      <c r="G870" s="1"/>
      <c r="H870" s="1"/>
      <c r="I870" s="27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279"/>
      <c r="D871" s="1"/>
      <c r="E871" s="1"/>
      <c r="F871" s="280"/>
      <c r="G871" s="1"/>
      <c r="H871" s="1"/>
      <c r="I871" s="27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279"/>
      <c r="D872" s="1"/>
      <c r="E872" s="1"/>
      <c r="F872" s="280"/>
      <c r="G872" s="1"/>
      <c r="H872" s="1"/>
      <c r="I872" s="27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279"/>
      <c r="D873" s="1"/>
      <c r="E873" s="1"/>
      <c r="F873" s="280"/>
      <c r="G873" s="1"/>
      <c r="H873" s="1"/>
      <c r="I873" s="27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279"/>
      <c r="D874" s="1"/>
      <c r="E874" s="1"/>
      <c r="F874" s="280"/>
      <c r="G874" s="1"/>
      <c r="H874" s="1"/>
      <c r="I874" s="27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279"/>
      <c r="D875" s="1"/>
      <c r="E875" s="1"/>
      <c r="F875" s="280"/>
      <c r="G875" s="1"/>
      <c r="H875" s="1"/>
      <c r="I875" s="27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279"/>
      <c r="D876" s="1"/>
      <c r="E876" s="1"/>
      <c r="F876" s="280"/>
      <c r="G876" s="1"/>
      <c r="H876" s="1"/>
      <c r="I876" s="27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279"/>
      <c r="D877" s="1"/>
      <c r="E877" s="1"/>
      <c r="F877" s="280"/>
      <c r="G877" s="1"/>
      <c r="H877" s="1"/>
      <c r="I877" s="27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279"/>
      <c r="D878" s="1"/>
      <c r="E878" s="1"/>
      <c r="F878" s="280"/>
      <c r="G878" s="1"/>
      <c r="H878" s="1"/>
      <c r="I878" s="27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279"/>
      <c r="D879" s="1"/>
      <c r="E879" s="1"/>
      <c r="F879" s="280"/>
      <c r="G879" s="1"/>
      <c r="H879" s="1"/>
      <c r="I879" s="27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279"/>
      <c r="D880" s="1"/>
      <c r="E880" s="1"/>
      <c r="F880" s="280"/>
      <c r="G880" s="1"/>
      <c r="H880" s="1"/>
      <c r="I880" s="27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279"/>
      <c r="D881" s="1"/>
      <c r="E881" s="1"/>
      <c r="F881" s="280"/>
      <c r="G881" s="1"/>
      <c r="H881" s="1"/>
      <c r="I881" s="27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279"/>
      <c r="D882" s="1"/>
      <c r="E882" s="1"/>
      <c r="F882" s="280"/>
      <c r="G882" s="1"/>
      <c r="H882" s="1"/>
      <c r="I882" s="27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279"/>
      <c r="D883" s="1"/>
      <c r="E883" s="1"/>
      <c r="F883" s="280"/>
      <c r="G883" s="1"/>
      <c r="H883" s="1"/>
      <c r="I883" s="27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279"/>
      <c r="D884" s="1"/>
      <c r="E884" s="1"/>
      <c r="F884" s="280"/>
      <c r="G884" s="1"/>
      <c r="H884" s="1"/>
      <c r="I884" s="27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279"/>
      <c r="D885" s="1"/>
      <c r="E885" s="1"/>
      <c r="F885" s="280"/>
      <c r="G885" s="1"/>
      <c r="H885" s="1"/>
      <c r="I885" s="27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279"/>
      <c r="D886" s="1"/>
      <c r="E886" s="1"/>
      <c r="F886" s="280"/>
      <c r="G886" s="1"/>
      <c r="H886" s="1"/>
      <c r="I886" s="27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279"/>
      <c r="D887" s="1"/>
      <c r="E887" s="1"/>
      <c r="F887" s="280"/>
      <c r="G887" s="1"/>
      <c r="H887" s="1"/>
      <c r="I887" s="27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279"/>
      <c r="D888" s="1"/>
      <c r="E888" s="1"/>
      <c r="F888" s="280"/>
      <c r="G888" s="1"/>
      <c r="H888" s="1"/>
      <c r="I888" s="27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279"/>
      <c r="D889" s="1"/>
      <c r="E889" s="1"/>
      <c r="F889" s="280"/>
      <c r="G889" s="1"/>
      <c r="H889" s="1"/>
      <c r="I889" s="27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279"/>
      <c r="D890" s="1"/>
      <c r="E890" s="1"/>
      <c r="F890" s="280"/>
      <c r="G890" s="1"/>
      <c r="H890" s="1"/>
      <c r="I890" s="27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279"/>
      <c r="D891" s="1"/>
      <c r="E891" s="1"/>
      <c r="F891" s="280"/>
      <c r="G891" s="1"/>
      <c r="H891" s="1"/>
      <c r="I891" s="27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279"/>
      <c r="D892" s="1"/>
      <c r="E892" s="1"/>
      <c r="F892" s="280"/>
      <c r="G892" s="1"/>
      <c r="H892" s="1"/>
      <c r="I892" s="27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279"/>
      <c r="D893" s="1"/>
      <c r="E893" s="1"/>
      <c r="F893" s="280"/>
      <c r="G893" s="1"/>
      <c r="H893" s="1"/>
      <c r="I893" s="27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279"/>
      <c r="D894" s="1"/>
      <c r="E894" s="1"/>
      <c r="F894" s="280"/>
      <c r="G894" s="1"/>
      <c r="H894" s="1"/>
      <c r="I894" s="27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279"/>
      <c r="D895" s="1"/>
      <c r="E895" s="1"/>
      <c r="F895" s="280"/>
      <c r="G895" s="1"/>
      <c r="H895" s="1"/>
      <c r="I895" s="27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279"/>
      <c r="D896" s="1"/>
      <c r="E896" s="1"/>
      <c r="F896" s="280"/>
      <c r="G896" s="1"/>
      <c r="H896" s="1"/>
      <c r="I896" s="27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279"/>
      <c r="D897" s="1"/>
      <c r="E897" s="1"/>
      <c r="F897" s="280"/>
      <c r="G897" s="1"/>
      <c r="H897" s="1"/>
      <c r="I897" s="27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279"/>
      <c r="D898" s="1"/>
      <c r="E898" s="1"/>
      <c r="F898" s="280"/>
      <c r="G898" s="1"/>
      <c r="H898" s="1"/>
      <c r="I898" s="27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279"/>
      <c r="D899" s="1"/>
      <c r="E899" s="1"/>
      <c r="F899" s="280"/>
      <c r="G899" s="1"/>
      <c r="H899" s="1"/>
      <c r="I899" s="27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279"/>
      <c r="D900" s="1"/>
      <c r="E900" s="1"/>
      <c r="F900" s="280"/>
      <c r="G900" s="1"/>
      <c r="H900" s="1"/>
      <c r="I900" s="27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279"/>
      <c r="D901" s="1"/>
      <c r="E901" s="1"/>
      <c r="F901" s="280"/>
      <c r="G901" s="1"/>
      <c r="H901" s="1"/>
      <c r="I901" s="27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279"/>
      <c r="D902" s="1"/>
      <c r="E902" s="1"/>
      <c r="F902" s="280"/>
      <c r="G902" s="1"/>
      <c r="H902" s="1"/>
      <c r="I902" s="27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279"/>
      <c r="D903" s="1"/>
      <c r="E903" s="1"/>
      <c r="F903" s="280"/>
      <c r="G903" s="1"/>
      <c r="H903" s="1"/>
      <c r="I903" s="27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279"/>
      <c r="D904" s="1"/>
      <c r="E904" s="1"/>
      <c r="F904" s="280"/>
      <c r="G904" s="1"/>
      <c r="H904" s="1"/>
      <c r="I904" s="27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279"/>
      <c r="D905" s="1"/>
      <c r="E905" s="1"/>
      <c r="F905" s="280"/>
      <c r="G905" s="1"/>
      <c r="H905" s="1"/>
      <c r="I905" s="27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279"/>
      <c r="D906" s="1"/>
      <c r="E906" s="1"/>
      <c r="F906" s="280"/>
      <c r="G906" s="1"/>
      <c r="H906" s="1"/>
      <c r="I906" s="27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279"/>
      <c r="D907" s="1"/>
      <c r="E907" s="1"/>
      <c r="F907" s="280"/>
      <c r="G907" s="1"/>
      <c r="H907" s="1"/>
      <c r="I907" s="27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279"/>
      <c r="D908" s="1"/>
      <c r="E908" s="1"/>
      <c r="F908" s="280"/>
      <c r="G908" s="1"/>
      <c r="H908" s="1"/>
      <c r="I908" s="27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279"/>
      <c r="D909" s="1"/>
      <c r="E909" s="1"/>
      <c r="F909" s="280"/>
      <c r="G909" s="1"/>
      <c r="H909" s="1"/>
      <c r="I909" s="27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279"/>
      <c r="D910" s="1"/>
      <c r="E910" s="1"/>
      <c r="F910" s="280"/>
      <c r="G910" s="1"/>
      <c r="H910" s="1"/>
      <c r="I910" s="27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279"/>
      <c r="D911" s="1"/>
      <c r="E911" s="1"/>
      <c r="F911" s="280"/>
      <c r="G911" s="1"/>
      <c r="H911" s="1"/>
      <c r="I911" s="27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279"/>
      <c r="D912" s="1"/>
      <c r="E912" s="1"/>
      <c r="F912" s="280"/>
      <c r="G912" s="1"/>
      <c r="H912" s="1"/>
      <c r="I912" s="27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279"/>
      <c r="D913" s="1"/>
      <c r="E913" s="1"/>
      <c r="F913" s="280"/>
      <c r="G913" s="1"/>
      <c r="H913" s="1"/>
      <c r="I913" s="27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279"/>
      <c r="D914" s="1"/>
      <c r="E914" s="1"/>
      <c r="F914" s="280"/>
      <c r="G914" s="1"/>
      <c r="H914" s="1"/>
      <c r="I914" s="27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279"/>
      <c r="D915" s="1"/>
      <c r="E915" s="1"/>
      <c r="F915" s="280"/>
      <c r="G915" s="1"/>
      <c r="H915" s="1"/>
      <c r="I915" s="27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279"/>
      <c r="D916" s="1"/>
      <c r="E916" s="1"/>
      <c r="F916" s="280"/>
      <c r="G916" s="1"/>
      <c r="H916" s="1"/>
      <c r="I916" s="27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279"/>
      <c r="D917" s="1"/>
      <c r="E917" s="1"/>
      <c r="F917" s="280"/>
      <c r="G917" s="1"/>
      <c r="H917" s="1"/>
      <c r="I917" s="27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279"/>
      <c r="D918" s="1"/>
      <c r="E918" s="1"/>
      <c r="F918" s="280"/>
      <c r="G918" s="1"/>
      <c r="H918" s="1"/>
      <c r="I918" s="27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279"/>
      <c r="D919" s="1"/>
      <c r="E919" s="1"/>
      <c r="F919" s="280"/>
      <c r="G919" s="1"/>
      <c r="H919" s="1"/>
      <c r="I919" s="27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279"/>
      <c r="D920" s="1"/>
      <c r="E920" s="1"/>
      <c r="F920" s="280"/>
      <c r="G920" s="1"/>
      <c r="H920" s="1"/>
      <c r="I920" s="27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279"/>
      <c r="D921" s="1"/>
      <c r="E921" s="1"/>
      <c r="F921" s="280"/>
      <c r="G921" s="1"/>
      <c r="H921" s="1"/>
      <c r="I921" s="27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279"/>
      <c r="D922" s="1"/>
      <c r="E922" s="1"/>
      <c r="F922" s="280"/>
      <c r="G922" s="1"/>
      <c r="H922" s="1"/>
      <c r="I922" s="27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279"/>
      <c r="D923" s="1"/>
      <c r="E923" s="1"/>
      <c r="F923" s="280"/>
      <c r="G923" s="1"/>
      <c r="H923" s="1"/>
      <c r="I923" s="27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279"/>
      <c r="D924" s="1"/>
      <c r="E924" s="1"/>
      <c r="F924" s="280"/>
      <c r="G924" s="1"/>
      <c r="H924" s="1"/>
      <c r="I924" s="27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279"/>
      <c r="D925" s="1"/>
      <c r="E925" s="1"/>
      <c r="F925" s="280"/>
      <c r="G925" s="1"/>
      <c r="H925" s="1"/>
      <c r="I925" s="27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279"/>
      <c r="D926" s="1"/>
      <c r="E926" s="1"/>
      <c r="F926" s="280"/>
      <c r="G926" s="1"/>
      <c r="H926" s="1"/>
      <c r="I926" s="27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279"/>
      <c r="D927" s="1"/>
      <c r="E927" s="1"/>
      <c r="F927" s="280"/>
      <c r="G927" s="1"/>
      <c r="H927" s="1"/>
      <c r="I927" s="27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279"/>
      <c r="D928" s="1"/>
      <c r="E928" s="1"/>
      <c r="F928" s="280"/>
      <c r="G928" s="1"/>
      <c r="H928" s="1"/>
      <c r="I928" s="27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279"/>
      <c r="D929" s="1"/>
      <c r="E929" s="1"/>
      <c r="F929" s="280"/>
      <c r="G929" s="1"/>
      <c r="H929" s="1"/>
      <c r="I929" s="27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279"/>
      <c r="D930" s="1"/>
      <c r="E930" s="1"/>
      <c r="F930" s="280"/>
      <c r="G930" s="1"/>
      <c r="H930" s="1"/>
      <c r="I930" s="27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279"/>
      <c r="D931" s="1"/>
      <c r="E931" s="1"/>
      <c r="F931" s="280"/>
      <c r="G931" s="1"/>
      <c r="H931" s="1"/>
      <c r="I931" s="27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279"/>
      <c r="D932" s="1"/>
      <c r="E932" s="1"/>
      <c r="F932" s="280"/>
      <c r="G932" s="1"/>
      <c r="H932" s="1"/>
      <c r="I932" s="27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279"/>
      <c r="D933" s="1"/>
      <c r="E933" s="1"/>
      <c r="F933" s="280"/>
      <c r="G933" s="1"/>
      <c r="H933" s="1"/>
      <c r="I933" s="27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279"/>
      <c r="D934" s="1"/>
      <c r="E934" s="1"/>
      <c r="F934" s="280"/>
      <c r="G934" s="1"/>
      <c r="H934" s="1"/>
      <c r="I934" s="27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279"/>
      <c r="D935" s="1"/>
      <c r="E935" s="1"/>
      <c r="F935" s="280"/>
      <c r="G935" s="1"/>
      <c r="H935" s="1"/>
      <c r="I935" s="27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279"/>
      <c r="D936" s="1"/>
      <c r="E936" s="1"/>
      <c r="F936" s="280"/>
      <c r="G936" s="1"/>
      <c r="H936" s="1"/>
      <c r="I936" s="27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279"/>
      <c r="D937" s="1"/>
      <c r="E937" s="1"/>
      <c r="F937" s="280"/>
      <c r="G937" s="1"/>
      <c r="H937" s="1"/>
      <c r="I937" s="27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279"/>
      <c r="D938" s="1"/>
      <c r="E938" s="1"/>
      <c r="F938" s="280"/>
      <c r="G938" s="1"/>
      <c r="H938" s="1"/>
      <c r="I938" s="27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279"/>
      <c r="D939" s="1"/>
      <c r="E939" s="1"/>
      <c r="F939" s="280"/>
      <c r="G939" s="1"/>
      <c r="H939" s="1"/>
      <c r="I939" s="27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279"/>
      <c r="D940" s="1"/>
      <c r="E940" s="1"/>
      <c r="F940" s="280"/>
      <c r="G940" s="1"/>
      <c r="H940" s="1"/>
      <c r="I940" s="27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279"/>
      <c r="D941" s="1"/>
      <c r="E941" s="1"/>
      <c r="F941" s="280"/>
      <c r="G941" s="1"/>
      <c r="H941" s="1"/>
      <c r="I941" s="27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279"/>
      <c r="D942" s="1"/>
      <c r="E942" s="1"/>
      <c r="F942" s="280"/>
      <c r="G942" s="1"/>
      <c r="H942" s="1"/>
      <c r="I942" s="27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279"/>
      <c r="D943" s="1"/>
      <c r="E943" s="1"/>
      <c r="F943" s="280"/>
      <c r="G943" s="1"/>
      <c r="H943" s="1"/>
      <c r="I943" s="27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279"/>
      <c r="D944" s="1"/>
      <c r="E944" s="1"/>
      <c r="F944" s="280"/>
      <c r="G944" s="1"/>
      <c r="H944" s="1"/>
      <c r="I944" s="27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279"/>
      <c r="D945" s="1"/>
      <c r="E945" s="1"/>
      <c r="F945" s="280"/>
      <c r="G945" s="1"/>
      <c r="H945" s="1"/>
      <c r="I945" s="27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279"/>
      <c r="D946" s="1"/>
      <c r="E946" s="1"/>
      <c r="F946" s="280"/>
      <c r="G946" s="1"/>
      <c r="H946" s="1"/>
      <c r="I946" s="27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279"/>
      <c r="D947" s="1"/>
      <c r="E947" s="1"/>
      <c r="F947" s="280"/>
      <c r="G947" s="1"/>
      <c r="H947" s="1"/>
      <c r="I947" s="27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279"/>
      <c r="D948" s="1"/>
      <c r="E948" s="1"/>
      <c r="F948" s="280"/>
      <c r="G948" s="1"/>
      <c r="H948" s="1"/>
      <c r="I948" s="27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279"/>
      <c r="D949" s="1"/>
      <c r="E949" s="1"/>
      <c r="F949" s="280"/>
      <c r="G949" s="1"/>
      <c r="H949" s="1"/>
      <c r="I949" s="27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279"/>
      <c r="D950" s="1"/>
      <c r="E950" s="1"/>
      <c r="F950" s="280"/>
      <c r="G950" s="1"/>
      <c r="H950" s="1"/>
      <c r="I950" s="27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279"/>
      <c r="D951" s="1"/>
      <c r="E951" s="1"/>
      <c r="F951" s="280"/>
      <c r="G951" s="1"/>
      <c r="H951" s="1"/>
      <c r="I951" s="27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279"/>
      <c r="D952" s="1"/>
      <c r="E952" s="1"/>
      <c r="F952" s="280"/>
      <c r="G952" s="1"/>
      <c r="H952" s="1"/>
      <c r="I952" s="27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279"/>
      <c r="D953" s="1"/>
      <c r="E953" s="1"/>
      <c r="F953" s="280"/>
      <c r="G953" s="1"/>
      <c r="H953" s="1"/>
      <c r="I953" s="27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279"/>
      <c r="D954" s="1"/>
      <c r="E954" s="1"/>
      <c r="F954" s="280"/>
      <c r="G954" s="1"/>
      <c r="H954" s="1"/>
      <c r="I954" s="27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279"/>
      <c r="D955" s="1"/>
      <c r="E955" s="1"/>
      <c r="F955" s="280"/>
      <c r="G955" s="1"/>
      <c r="H955" s="1"/>
      <c r="I955" s="27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279"/>
      <c r="D956" s="1"/>
      <c r="E956" s="1"/>
      <c r="F956" s="280"/>
      <c r="G956" s="1"/>
      <c r="H956" s="1"/>
      <c r="I956" s="27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279"/>
      <c r="D957" s="1"/>
      <c r="E957" s="1"/>
      <c r="F957" s="280"/>
      <c r="G957" s="1"/>
      <c r="H957" s="1"/>
      <c r="I957" s="27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279"/>
      <c r="D958" s="1"/>
      <c r="E958" s="1"/>
      <c r="F958" s="280"/>
      <c r="G958" s="1"/>
      <c r="H958" s="1"/>
      <c r="I958" s="27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279"/>
      <c r="D959" s="1"/>
      <c r="E959" s="1"/>
      <c r="F959" s="280"/>
      <c r="G959" s="1"/>
      <c r="H959" s="1"/>
      <c r="I959" s="27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279"/>
      <c r="D960" s="1"/>
      <c r="E960" s="1"/>
      <c r="F960" s="280"/>
      <c r="G960" s="1"/>
      <c r="H960" s="1"/>
      <c r="I960" s="279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279"/>
      <c r="D961" s="1"/>
      <c r="E961" s="1"/>
      <c r="F961" s="280"/>
      <c r="G961" s="1"/>
      <c r="H961" s="1"/>
      <c r="I961" s="279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279"/>
      <c r="D962" s="1"/>
      <c r="E962" s="1"/>
      <c r="F962" s="280"/>
      <c r="G962" s="1"/>
      <c r="H962" s="1"/>
      <c r="I962" s="279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279"/>
      <c r="D963" s="1"/>
      <c r="E963" s="1"/>
      <c r="F963" s="280"/>
      <c r="G963" s="1"/>
      <c r="H963" s="1"/>
      <c r="I963" s="279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279"/>
      <c r="D964" s="1"/>
      <c r="E964" s="1"/>
      <c r="F964" s="280"/>
      <c r="G964" s="1"/>
      <c r="H964" s="1"/>
      <c r="I964" s="279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279"/>
      <c r="D965" s="1"/>
      <c r="E965" s="1"/>
      <c r="F965" s="280"/>
      <c r="G965" s="1"/>
      <c r="H965" s="1"/>
      <c r="I965" s="279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279"/>
      <c r="D966" s="1"/>
      <c r="E966" s="1"/>
      <c r="F966" s="280"/>
      <c r="G966" s="1"/>
      <c r="H966" s="1"/>
      <c r="I966" s="279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279"/>
      <c r="D967" s="1"/>
      <c r="E967" s="1"/>
      <c r="F967" s="280"/>
      <c r="G967" s="1"/>
      <c r="H967" s="1"/>
      <c r="I967" s="279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279"/>
      <c r="D968" s="1"/>
      <c r="E968" s="1"/>
      <c r="F968" s="280"/>
      <c r="G968" s="1"/>
      <c r="H968" s="1"/>
      <c r="I968" s="279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279"/>
      <c r="D969" s="1"/>
      <c r="E969" s="1"/>
      <c r="F969" s="280"/>
      <c r="G969" s="1"/>
      <c r="H969" s="1"/>
      <c r="I969" s="279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279"/>
      <c r="D970" s="1"/>
      <c r="E970" s="1"/>
      <c r="F970" s="280"/>
      <c r="G970" s="1"/>
      <c r="H970" s="1"/>
      <c r="I970" s="279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279"/>
      <c r="D971" s="1"/>
      <c r="E971" s="1"/>
      <c r="F971" s="280"/>
      <c r="G971" s="1"/>
      <c r="H971" s="1"/>
      <c r="I971" s="279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279"/>
      <c r="D972" s="1"/>
      <c r="E972" s="1"/>
      <c r="F972" s="280"/>
      <c r="G972" s="1"/>
      <c r="H972" s="1"/>
      <c r="I972" s="279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279"/>
      <c r="D973" s="1"/>
      <c r="E973" s="1"/>
      <c r="F973" s="280"/>
      <c r="G973" s="1"/>
      <c r="H973" s="1"/>
      <c r="I973" s="279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279"/>
      <c r="D974" s="1"/>
      <c r="E974" s="1"/>
      <c r="F974" s="280"/>
      <c r="G974" s="1"/>
      <c r="H974" s="1"/>
      <c r="I974" s="279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279"/>
      <c r="D975" s="1"/>
      <c r="E975" s="1"/>
      <c r="F975" s="280"/>
      <c r="G975" s="1"/>
      <c r="H975" s="1"/>
      <c r="I975" s="279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279"/>
      <c r="D976" s="1"/>
      <c r="E976" s="1"/>
      <c r="F976" s="280"/>
      <c r="G976" s="1"/>
      <c r="H976" s="1"/>
      <c r="I976" s="279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279"/>
      <c r="D977" s="1"/>
      <c r="E977" s="1"/>
      <c r="F977" s="280"/>
      <c r="G977" s="1"/>
      <c r="H977" s="1"/>
      <c r="I977" s="279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279"/>
      <c r="D978" s="1"/>
      <c r="E978" s="1"/>
      <c r="F978" s="280"/>
      <c r="G978" s="1"/>
      <c r="H978" s="1"/>
      <c r="I978" s="279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279"/>
      <c r="D979" s="1"/>
      <c r="E979" s="1"/>
      <c r="F979" s="280"/>
      <c r="G979" s="1"/>
      <c r="H979" s="1"/>
      <c r="I979" s="279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279"/>
      <c r="D980" s="1"/>
      <c r="E980" s="1"/>
      <c r="F980" s="280"/>
      <c r="G980" s="1"/>
      <c r="H980" s="1"/>
      <c r="I980" s="279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279"/>
      <c r="D981" s="1"/>
      <c r="E981" s="1"/>
      <c r="F981" s="280"/>
      <c r="G981" s="1"/>
      <c r="H981" s="1"/>
      <c r="I981" s="279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279"/>
      <c r="D982" s="1"/>
      <c r="E982" s="1"/>
      <c r="F982" s="280"/>
      <c r="G982" s="1"/>
      <c r="H982" s="1"/>
      <c r="I982" s="279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279"/>
      <c r="D983" s="1"/>
      <c r="E983" s="1"/>
      <c r="F983" s="280"/>
      <c r="G983" s="1"/>
      <c r="H983" s="1"/>
      <c r="I983" s="279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279"/>
      <c r="D984" s="1"/>
      <c r="E984" s="1"/>
      <c r="F984" s="280"/>
      <c r="G984" s="1"/>
      <c r="H984" s="1"/>
      <c r="I984" s="279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279"/>
      <c r="D985" s="1"/>
      <c r="E985" s="1"/>
      <c r="F985" s="280"/>
      <c r="G985" s="1"/>
      <c r="H985" s="1"/>
      <c r="I985" s="279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279"/>
      <c r="D986" s="1"/>
      <c r="E986" s="1"/>
      <c r="F986" s="280"/>
      <c r="G986" s="1"/>
      <c r="H986" s="1"/>
      <c r="I986" s="279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279"/>
      <c r="D987" s="1"/>
      <c r="E987" s="1"/>
      <c r="F987" s="280"/>
      <c r="G987" s="1"/>
      <c r="H987" s="1"/>
      <c r="I987" s="279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279"/>
      <c r="D988" s="1"/>
      <c r="E988" s="1"/>
      <c r="F988" s="280"/>
      <c r="G988" s="1"/>
      <c r="H988" s="1"/>
      <c r="I988" s="279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279"/>
      <c r="D989" s="1"/>
      <c r="E989" s="1"/>
      <c r="F989" s="280"/>
      <c r="G989" s="1"/>
      <c r="H989" s="1"/>
      <c r="I989" s="279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279"/>
      <c r="D990" s="1"/>
      <c r="E990" s="1"/>
      <c r="F990" s="280"/>
      <c r="G990" s="1"/>
      <c r="H990" s="1"/>
      <c r="I990" s="279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279"/>
      <c r="D991" s="1"/>
      <c r="E991" s="1"/>
      <c r="F991" s="280"/>
      <c r="G991" s="1"/>
      <c r="H991" s="1"/>
      <c r="I991" s="279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279"/>
      <c r="D992" s="1"/>
      <c r="E992" s="1"/>
      <c r="F992" s="280"/>
      <c r="G992" s="1"/>
      <c r="H992" s="1"/>
      <c r="I992" s="279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279"/>
      <c r="D993" s="1"/>
      <c r="E993" s="1"/>
      <c r="F993" s="280"/>
      <c r="G993" s="1"/>
      <c r="H993" s="1"/>
      <c r="I993" s="279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279"/>
      <c r="D994" s="1"/>
      <c r="E994" s="1"/>
      <c r="F994" s="280"/>
      <c r="G994" s="1"/>
      <c r="H994" s="1"/>
      <c r="I994" s="279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279"/>
      <c r="D995" s="1"/>
      <c r="E995" s="1"/>
      <c r="F995" s="280"/>
      <c r="G995" s="1"/>
      <c r="H995" s="1"/>
      <c r="I995" s="279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279"/>
      <c r="D996" s="1"/>
      <c r="E996" s="1"/>
      <c r="F996" s="280"/>
      <c r="G996" s="1"/>
      <c r="H996" s="1"/>
      <c r="I996" s="279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279"/>
      <c r="D997" s="1"/>
      <c r="E997" s="1"/>
      <c r="F997" s="280"/>
      <c r="G997" s="1"/>
      <c r="H997" s="1"/>
      <c r="I997" s="279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279"/>
      <c r="D998" s="1"/>
      <c r="E998" s="1"/>
      <c r="F998" s="280"/>
      <c r="G998" s="1"/>
      <c r="H998" s="1"/>
      <c r="I998" s="279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279"/>
      <c r="D999" s="1"/>
      <c r="E999" s="1"/>
      <c r="F999" s="280"/>
      <c r="G999" s="1"/>
      <c r="H999" s="1"/>
      <c r="I999" s="279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279"/>
      <c r="D1000" s="1"/>
      <c r="E1000" s="1"/>
      <c r="F1000" s="280"/>
      <c r="G1000" s="1"/>
      <c r="H1000" s="1"/>
      <c r="I1000" s="279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D107:E107"/>
    <mergeCell ref="G107:H107"/>
    <mergeCell ref="A89:B89"/>
    <mergeCell ref="D89:E89"/>
    <mergeCell ref="G89:H89"/>
    <mergeCell ref="A98:B98"/>
    <mergeCell ref="D98:E98"/>
    <mergeCell ref="G98:H98"/>
    <mergeCell ref="A107:B107"/>
    <mergeCell ref="D135:E135"/>
    <mergeCell ref="G135:H135"/>
    <mergeCell ref="A117:B117"/>
    <mergeCell ref="D117:E117"/>
    <mergeCell ref="G117:H117"/>
    <mergeCell ref="A126:B126"/>
    <mergeCell ref="D126:E126"/>
    <mergeCell ref="G126:H126"/>
    <mergeCell ref="A135:B135"/>
    <mergeCell ref="D163:E163"/>
    <mergeCell ref="G163:H163"/>
    <mergeCell ref="A144:B144"/>
    <mergeCell ref="D144:E144"/>
    <mergeCell ref="G144:H144"/>
    <mergeCell ref="A154:B154"/>
    <mergeCell ref="D154:E154"/>
    <mergeCell ref="G154:H154"/>
    <mergeCell ref="A163:B163"/>
    <mergeCell ref="D24:E24"/>
    <mergeCell ref="G24:H24"/>
    <mergeCell ref="A8:B8"/>
    <mergeCell ref="D8:E8"/>
    <mergeCell ref="G8:H8"/>
    <mergeCell ref="A16:B16"/>
    <mergeCell ref="D16:E16"/>
    <mergeCell ref="G16:H16"/>
    <mergeCell ref="A24:B24"/>
    <mergeCell ref="D52:E52"/>
    <mergeCell ref="G52:H52"/>
    <mergeCell ref="A33:B33"/>
    <mergeCell ref="D33:E33"/>
    <mergeCell ref="G33:H33"/>
    <mergeCell ref="A43:B43"/>
    <mergeCell ref="D43:E43"/>
    <mergeCell ref="G43:H43"/>
    <mergeCell ref="A52:B52"/>
    <mergeCell ref="D80:E80"/>
    <mergeCell ref="G80:H80"/>
    <mergeCell ref="A61:B61"/>
    <mergeCell ref="D61:E61"/>
    <mergeCell ref="G61:H61"/>
    <mergeCell ref="A70:B70"/>
    <mergeCell ref="D70:E70"/>
    <mergeCell ref="G70:H70"/>
    <mergeCell ref="A80:B80"/>
    <mergeCell ref="A172:B172"/>
    <mergeCell ref="D172:E172"/>
    <mergeCell ref="G172:H172"/>
    <mergeCell ref="A181:B181"/>
    <mergeCell ref="D181:E181"/>
    <mergeCell ref="G181:H181"/>
  </mergeCells>
  <printOptions horizontalCentered="1" verticalCentered="1"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1.22" defaultRowHeight="15.0"/>
  <cols>
    <col customWidth="1" min="1" max="1" width="7.11"/>
    <col customWidth="1" min="2" max="2" width="30.11"/>
    <col customWidth="1" min="3" max="3" width="11.67"/>
    <col customWidth="1" min="4" max="17" width="8.11"/>
    <col customWidth="1" min="18" max="18" width="7.67"/>
    <col customWidth="1" min="19" max="31" width="8.11"/>
    <col customWidth="1" min="32" max="33" width="9.11"/>
    <col customWidth="1" min="34" max="52" width="11.11"/>
  </cols>
  <sheetData>
    <row r="1" ht="12.75" customHeight="1">
      <c r="A1" s="199" t="s">
        <v>257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I1" s="1"/>
      <c r="AJ1" s="1"/>
      <c r="AK1" s="1"/>
      <c r="AL1" s="1"/>
      <c r="AM1" s="1"/>
      <c r="AN1" s="1"/>
      <c r="AO1" s="1"/>
      <c r="AP1" s="1"/>
      <c r="AQ1" s="1"/>
      <c r="AR1" s="123"/>
      <c r="AS1" s="123"/>
      <c r="AT1" s="123"/>
      <c r="AU1" s="123"/>
    </row>
    <row r="2" ht="12.0" customHeight="1">
      <c r="A2" s="200"/>
      <c r="B2" s="200"/>
      <c r="C2" s="200"/>
      <c r="D2" s="201" t="s">
        <v>258</v>
      </c>
      <c r="E2" s="10"/>
      <c r="F2" s="10"/>
      <c r="G2" s="10"/>
      <c r="H2" s="10"/>
      <c r="I2" s="10"/>
      <c r="J2" s="10"/>
      <c r="K2" s="13"/>
      <c r="L2" s="202" t="s">
        <v>259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203"/>
      <c r="X2" s="204" t="s">
        <v>260</v>
      </c>
      <c r="Y2" s="23"/>
      <c r="Z2" s="23"/>
      <c r="AA2" s="23"/>
      <c r="AB2" s="23"/>
      <c r="AC2" s="23"/>
      <c r="AD2" s="23"/>
      <c r="AE2" s="200"/>
      <c r="AF2" s="200"/>
      <c r="AG2" s="200"/>
      <c r="AI2" s="1"/>
      <c r="AJ2" s="1">
        <v>2026.0</v>
      </c>
      <c r="AK2" s="1"/>
      <c r="AL2" s="1"/>
      <c r="AM2" s="1"/>
      <c r="AN2" s="1"/>
      <c r="AO2" s="1"/>
      <c r="AP2" s="1"/>
      <c r="AQ2" s="1"/>
      <c r="AR2" s="123"/>
      <c r="AS2" s="123"/>
      <c r="AT2" s="123"/>
      <c r="AU2" s="123"/>
      <c r="AV2" s="205" t="s">
        <v>261</v>
      </c>
      <c r="AW2" s="205"/>
    </row>
    <row r="3" ht="12.0" customHeight="1">
      <c r="A3" s="200"/>
      <c r="B3" s="200"/>
      <c r="C3" s="200"/>
      <c r="D3" s="206" t="s">
        <v>34</v>
      </c>
      <c r="E3" s="206" t="s">
        <v>37</v>
      </c>
      <c r="F3" s="206" t="s">
        <v>38</v>
      </c>
      <c r="G3" s="206" t="s">
        <v>40</v>
      </c>
      <c r="H3" s="206" t="s">
        <v>42</v>
      </c>
      <c r="I3" s="206" t="s">
        <v>43</v>
      </c>
      <c r="J3" s="206" t="s">
        <v>45</v>
      </c>
      <c r="K3" s="206" t="s">
        <v>46</v>
      </c>
      <c r="L3" s="206" t="s">
        <v>262</v>
      </c>
      <c r="M3" s="206" t="s">
        <v>263</v>
      </c>
      <c r="N3" s="206" t="s">
        <v>265</v>
      </c>
      <c r="O3" s="206" t="s">
        <v>33</v>
      </c>
      <c r="P3" s="206" t="s">
        <v>34</v>
      </c>
      <c r="Q3" s="206" t="s">
        <v>37</v>
      </c>
      <c r="R3" s="206" t="s">
        <v>38</v>
      </c>
      <c r="S3" s="206" t="s">
        <v>40</v>
      </c>
      <c r="T3" s="206" t="s">
        <v>42</v>
      </c>
      <c r="U3" s="206" t="s">
        <v>43</v>
      </c>
      <c r="V3" s="206" t="s">
        <v>45</v>
      </c>
      <c r="W3" s="207" t="s">
        <v>46</v>
      </c>
      <c r="X3" s="206" t="s">
        <v>262</v>
      </c>
      <c r="Y3" s="206" t="s">
        <v>263</v>
      </c>
      <c r="Z3" s="206" t="s">
        <v>265</v>
      </c>
      <c r="AA3" s="206" t="s">
        <v>33</v>
      </c>
      <c r="AB3" s="206" t="s">
        <v>34</v>
      </c>
      <c r="AC3" s="206" t="s">
        <v>37</v>
      </c>
      <c r="AD3" s="206" t="s">
        <v>38</v>
      </c>
      <c r="AE3" s="206" t="s">
        <v>40</v>
      </c>
      <c r="AF3" s="206" t="s">
        <v>42</v>
      </c>
      <c r="AG3" s="206" t="s">
        <v>43</v>
      </c>
      <c r="AH3" s="206" t="s">
        <v>45</v>
      </c>
      <c r="AI3" s="206" t="s">
        <v>46</v>
      </c>
      <c r="AJ3" s="206" t="s">
        <v>262</v>
      </c>
      <c r="AK3" s="206" t="s">
        <v>263</v>
      </c>
      <c r="AL3" s="206" t="s">
        <v>265</v>
      </c>
      <c r="AM3" s="206" t="s">
        <v>33</v>
      </c>
      <c r="AN3" s="206" t="s">
        <v>34</v>
      </c>
      <c r="AO3" s="206" t="s">
        <v>37</v>
      </c>
      <c r="AP3" s="206" t="s">
        <v>38</v>
      </c>
      <c r="AQ3" s="206" t="s">
        <v>40</v>
      </c>
      <c r="AR3" s="206" t="s">
        <v>42</v>
      </c>
      <c r="AS3" s="206" t="s">
        <v>43</v>
      </c>
      <c r="AT3" s="206" t="s">
        <v>45</v>
      </c>
      <c r="AU3" s="206" t="s">
        <v>46</v>
      </c>
      <c r="AV3" s="209"/>
      <c r="AW3" s="210"/>
    </row>
    <row r="4" ht="34.5" customHeight="1">
      <c r="A4" s="211" t="s">
        <v>64</v>
      </c>
      <c r="B4" s="212" t="s">
        <v>266</v>
      </c>
      <c r="C4" s="211" t="s">
        <v>267</v>
      </c>
      <c r="D4" s="213" t="s">
        <v>268</v>
      </c>
      <c r="E4" s="213" t="s">
        <v>269</v>
      </c>
      <c r="F4" s="213" t="s">
        <v>270</v>
      </c>
      <c r="G4" s="213" t="s">
        <v>271</v>
      </c>
      <c r="H4" s="213" t="s">
        <v>272</v>
      </c>
      <c r="I4" s="213" t="s">
        <v>273</v>
      </c>
      <c r="J4" s="213" t="s">
        <v>274</v>
      </c>
      <c r="K4" s="213" t="s">
        <v>275</v>
      </c>
      <c r="L4" s="213" t="s">
        <v>276</v>
      </c>
      <c r="M4" s="213" t="s">
        <v>277</v>
      </c>
      <c r="N4" s="213" t="s">
        <v>278</v>
      </c>
      <c r="O4" s="213" t="s">
        <v>279</v>
      </c>
      <c r="P4" s="213" t="s">
        <v>280</v>
      </c>
      <c r="Q4" s="213" t="s">
        <v>281</v>
      </c>
      <c r="R4" s="213" t="s">
        <v>282</v>
      </c>
      <c r="S4" s="213" t="s">
        <v>283</v>
      </c>
      <c r="T4" s="213" t="s">
        <v>284</v>
      </c>
      <c r="U4" s="213" t="s">
        <v>285</v>
      </c>
      <c r="V4" s="213" t="s">
        <v>286</v>
      </c>
      <c r="W4" s="214" t="s">
        <v>287</v>
      </c>
      <c r="X4" s="215" t="s">
        <v>288</v>
      </c>
      <c r="Y4" s="216" t="s">
        <v>289</v>
      </c>
      <c r="Z4" s="216" t="s">
        <v>290</v>
      </c>
      <c r="AA4" s="216" t="s">
        <v>291</v>
      </c>
      <c r="AB4" s="216" t="s">
        <v>292</v>
      </c>
      <c r="AC4" s="217" t="s">
        <v>293</v>
      </c>
      <c r="AD4" s="218" t="s">
        <v>294</v>
      </c>
      <c r="AE4" s="218" t="s">
        <v>295</v>
      </c>
      <c r="AF4" s="218" t="s">
        <v>296</v>
      </c>
      <c r="AG4" s="218" t="s">
        <v>297</v>
      </c>
      <c r="AH4" s="219" t="s">
        <v>298</v>
      </c>
      <c r="AI4" s="220" t="s">
        <v>299</v>
      </c>
      <c r="AJ4" s="220" t="s">
        <v>300</v>
      </c>
      <c r="AK4" s="221" t="s">
        <v>301</v>
      </c>
      <c r="AL4" s="221" t="s">
        <v>302</v>
      </c>
      <c r="AM4" s="221" t="s">
        <v>303</v>
      </c>
      <c r="AN4" s="221" t="s">
        <v>304</v>
      </c>
      <c r="AO4" s="221" t="s">
        <v>305</v>
      </c>
      <c r="AP4" s="221" t="s">
        <v>306</v>
      </c>
      <c r="AQ4" s="221" t="s">
        <v>307</v>
      </c>
      <c r="AR4" s="221" t="s">
        <v>308</v>
      </c>
      <c r="AS4" s="221" t="s">
        <v>309</v>
      </c>
      <c r="AT4" s="221" t="s">
        <v>310</v>
      </c>
      <c r="AU4" s="221" t="s">
        <v>311</v>
      </c>
      <c r="AV4" s="205" t="s">
        <v>312</v>
      </c>
      <c r="AW4" s="205" t="s">
        <v>313</v>
      </c>
      <c r="AX4" s="222" t="s">
        <v>314</v>
      </c>
      <c r="AY4" s="223" t="s">
        <v>315</v>
      </c>
      <c r="AZ4" s="223"/>
    </row>
    <row r="5" ht="12.75" customHeight="1">
      <c r="A5" s="224">
        <v>201.0</v>
      </c>
      <c r="B5" s="225" t="s">
        <v>175</v>
      </c>
      <c r="C5" s="226">
        <v>2034049.0</v>
      </c>
      <c r="D5" s="227">
        <v>0.0</v>
      </c>
      <c r="E5" s="227">
        <v>0.0</v>
      </c>
      <c r="F5" s="227">
        <v>0.0</v>
      </c>
      <c r="G5" s="227">
        <v>0.0</v>
      </c>
      <c r="H5" s="227">
        <v>0.0</v>
      </c>
      <c r="I5" s="227">
        <v>0.0</v>
      </c>
      <c r="J5" s="227">
        <v>0.0</v>
      </c>
      <c r="K5" s="227">
        <v>0.0</v>
      </c>
      <c r="L5" s="227">
        <v>0.0</v>
      </c>
      <c r="M5" s="227">
        <v>0.0</v>
      </c>
      <c r="N5" s="227">
        <v>0.0</v>
      </c>
      <c r="O5" s="227">
        <v>0.0</v>
      </c>
      <c r="P5" s="227">
        <v>0.0</v>
      </c>
      <c r="Q5" s="227">
        <v>0.0</v>
      </c>
      <c r="R5" s="227">
        <v>0.0</v>
      </c>
      <c r="S5" s="227">
        <v>0.0</v>
      </c>
      <c r="T5" s="227">
        <v>0.0</v>
      </c>
      <c r="U5" s="227">
        <v>0.0</v>
      </c>
      <c r="V5" s="227">
        <v>0.0</v>
      </c>
      <c r="W5" s="228">
        <v>0.0</v>
      </c>
      <c r="X5" s="229">
        <v>6.304780928169002</v>
      </c>
      <c r="Y5" s="229">
        <v>4.8160489254218914</v>
      </c>
      <c r="Z5" s="229">
        <v>2.1963221244139026</v>
      </c>
      <c r="AA5" s="229">
        <v>6.9868155464896775</v>
      </c>
      <c r="AB5" s="230">
        <v>11.575182225107314</v>
      </c>
      <c r="AC5" s="229">
        <v>12.150528078749769</v>
      </c>
      <c r="AD5" s="229">
        <v>12.48116110893042</v>
      </c>
      <c r="AE5" s="231">
        <v>10.226758113740226</v>
      </c>
      <c r="AF5" s="231">
        <v>12.880518678604599</v>
      </c>
      <c r="AG5" s="229">
        <v>12.61953466116354</v>
      </c>
      <c r="AH5" s="232">
        <v>1.6588197985027051</v>
      </c>
      <c r="AI5" s="232">
        <f>'Calculo Gas'!AQ6</f>
        <v>0.572898885</v>
      </c>
      <c r="AJ5" s="232">
        <f>'Calculo Gas'!AS6</f>
        <v>2.540639148</v>
      </c>
      <c r="AK5" s="232">
        <f>'Calculo Gas'!AU6</f>
        <v>1.539224676</v>
      </c>
      <c r="AL5" s="232">
        <f>'Calculo Gas'!AW6</f>
        <v>1.06648539</v>
      </c>
      <c r="AM5" s="233">
        <f>'Calculo Gas'!AY6</f>
        <v>2.529685965</v>
      </c>
      <c r="AN5" s="233">
        <f>'Calculo Gas'!BA6</f>
        <v>2.581353755</v>
      </c>
      <c r="AO5" s="233">
        <f>'Calculo Gas'!BC6</f>
        <v>1.408652593</v>
      </c>
      <c r="AP5" s="233">
        <f>'Calculo Gas'!BE6</f>
        <v>5.490214506</v>
      </c>
      <c r="AQ5" s="233" t="str">
        <f>'Calculo Gas'!BG6</f>
        <v>0</v>
      </c>
      <c r="AR5" s="233" t="str">
        <f>'Calculo Gas'!BI6</f>
        <v>0</v>
      </c>
      <c r="AS5" s="233" t="str">
        <f>'Calculo Gas'!BK6</f>
        <v>0</v>
      </c>
      <c r="AT5" s="233" t="str">
        <f>'Calculo Gas'!BM6</f>
        <v>0</v>
      </c>
      <c r="AU5" s="233" t="str">
        <f>'Calculo Gas'!BO6</f>
        <v>0</v>
      </c>
      <c r="AV5" s="234">
        <f>IFERROR(__xludf.DUMMYFUNCTION("IMPORTRANGE(""https://docs.google.com/spreadsheets/d/10tFloYRtoIXf7QU19egYeiIqS7tmghdLzlW5Zg2Rd_E/edit?gid=0#gid=0"", ""2025!m2:m"")"),-6.2)</f>
        <v>-6.2</v>
      </c>
      <c r="AW5" s="234">
        <f>IFERROR(__xludf.DUMMYFUNCTION("IMPORTRANGE(""https://docs.google.com/spreadsheets/d/10tFloYRtoIXf7QU19egYeiIqS7tmghdLzlW5Zg2Rd_E/edit?gid=0#gid=0"", ""2026!o2:o"")"),-99.94)</f>
        <v>-99.94</v>
      </c>
      <c r="AX5" s="235"/>
      <c r="AY5" s="235">
        <f t="shared" ref="AY5:AY8" si="1">SUM(W5:AU5)+(AV5+AW5)</f>
        <v>5.485625107</v>
      </c>
      <c r="AZ5" s="235"/>
    </row>
    <row r="6" ht="12.75" customHeight="1">
      <c r="A6" s="224">
        <v>202.0</v>
      </c>
      <c r="B6" s="225" t="s">
        <v>240</v>
      </c>
      <c r="C6" s="226">
        <v>2034056.0</v>
      </c>
      <c r="D6" s="227">
        <v>0.0</v>
      </c>
      <c r="E6" s="227">
        <v>0.0</v>
      </c>
      <c r="F6" s="227">
        <v>0.0</v>
      </c>
      <c r="G6" s="227">
        <v>0.0</v>
      </c>
      <c r="H6" s="227">
        <v>0.0</v>
      </c>
      <c r="I6" s="227">
        <v>0.0</v>
      </c>
      <c r="J6" s="227">
        <v>0.0</v>
      </c>
      <c r="K6" s="227">
        <v>0.0</v>
      </c>
      <c r="L6" s="227">
        <v>0.0</v>
      </c>
      <c r="M6" s="227">
        <v>0.0</v>
      </c>
      <c r="N6" s="227">
        <v>0.0</v>
      </c>
      <c r="O6" s="227">
        <v>0.0</v>
      </c>
      <c r="P6" s="227">
        <v>0.0</v>
      </c>
      <c r="Q6" s="227">
        <v>0.0</v>
      </c>
      <c r="R6" s="227">
        <v>0.0</v>
      </c>
      <c r="S6" s="227">
        <v>0.0</v>
      </c>
      <c r="T6" s="227">
        <v>0.0</v>
      </c>
      <c r="U6" s="227">
        <v>0.0</v>
      </c>
      <c r="V6" s="227">
        <v>0.0</v>
      </c>
      <c r="W6" s="228">
        <v>0.0</v>
      </c>
      <c r="X6" s="236">
        <v>22.2</v>
      </c>
      <c r="Y6" s="229">
        <v>23.982456831669303</v>
      </c>
      <c r="Z6" s="229">
        <v>21.902549362250912</v>
      </c>
      <c r="AA6" s="229">
        <v>24.327077517715285</v>
      </c>
      <c r="AB6" s="230">
        <v>21.595872719650725</v>
      </c>
      <c r="AC6" s="229">
        <v>16.18812591858366</v>
      </c>
      <c r="AD6" s="231">
        <v>22.28371686571501</v>
      </c>
      <c r="AE6" s="231">
        <v>25.75473369868408</v>
      </c>
      <c r="AF6" s="231">
        <v>24.709272409179864</v>
      </c>
      <c r="AG6" s="231">
        <v>0.19857646988438202</v>
      </c>
      <c r="AH6" s="232">
        <v>0.08131469600539709</v>
      </c>
      <c r="AI6" s="232">
        <f>'Calculo Gas'!AQ7</f>
        <v>9.885836574</v>
      </c>
      <c r="AJ6" s="232">
        <f>'Calculo Gas'!AS7</f>
        <v>14.13304382</v>
      </c>
      <c r="AK6" s="232">
        <f>'Calculo Gas'!AU7</f>
        <v>18.55487246</v>
      </c>
      <c r="AL6" s="232">
        <f>'Calculo Gas'!AW7</f>
        <v>11.67004703</v>
      </c>
      <c r="AM6" s="233">
        <f>'Calculo Gas'!AY7</f>
        <v>0.2552894093</v>
      </c>
      <c r="AN6" s="233">
        <f>'Calculo Gas'!BA7</f>
        <v>0</v>
      </c>
      <c r="AO6" s="233">
        <f>'Calculo Gas'!BC7</f>
        <v>0.05994266354</v>
      </c>
      <c r="AP6" s="233">
        <f>'Calculo Gas'!BE7</f>
        <v>0.6052204967</v>
      </c>
      <c r="AQ6" s="233" t="str">
        <f>'Calculo Gas'!BG7</f>
        <v>0</v>
      </c>
      <c r="AR6" s="233" t="str">
        <f>'Calculo Gas'!BI7</f>
        <v>0</v>
      </c>
      <c r="AS6" s="233" t="str">
        <f>'Calculo Gas'!BK7</f>
        <v>0</v>
      </c>
      <c r="AT6" s="233" t="str">
        <f>'Calculo Gas'!BM7</f>
        <v>0</v>
      </c>
      <c r="AU6" s="233" t="str">
        <f>'Calculo Gas'!BO7</f>
        <v>0</v>
      </c>
      <c r="AV6" s="235">
        <f>IFERROR(__xludf.DUMMYFUNCTION("""COMPUTED_VALUE"""),-87.19)</f>
        <v>-87.19</v>
      </c>
      <c r="AW6" s="235">
        <f>IFERROR(__xludf.DUMMYFUNCTION("""COMPUTED_VALUE"""),-170.53)</f>
        <v>-170.53</v>
      </c>
      <c r="AX6" s="235"/>
      <c r="AY6" s="235">
        <f t="shared" si="1"/>
        <v>0.6679489371</v>
      </c>
      <c r="AZ6" s="235"/>
    </row>
    <row r="7" ht="12.75" customHeight="1">
      <c r="A7" s="237">
        <v>203.0</v>
      </c>
      <c r="B7" s="238" t="s">
        <v>242</v>
      </c>
      <c r="C7" s="239">
        <v>2034020.0</v>
      </c>
      <c r="D7" s="240">
        <v>0.0</v>
      </c>
      <c r="E7" s="240">
        <v>0.0</v>
      </c>
      <c r="F7" s="240">
        <v>0.0</v>
      </c>
      <c r="G7" s="241">
        <v>0.0</v>
      </c>
      <c r="H7" s="240">
        <v>0.0</v>
      </c>
      <c r="I7" s="240">
        <v>0.0</v>
      </c>
      <c r="J7" s="240">
        <v>0.0</v>
      </c>
      <c r="K7" s="240">
        <v>0.0</v>
      </c>
      <c r="L7" s="240">
        <v>0.0</v>
      </c>
      <c r="M7" s="240">
        <v>0.0</v>
      </c>
      <c r="N7" s="240">
        <v>0.0</v>
      </c>
      <c r="O7" s="240">
        <v>0.0</v>
      </c>
      <c r="P7" s="240">
        <v>0.0</v>
      </c>
      <c r="Q7" s="240">
        <v>0.0</v>
      </c>
      <c r="R7" s="240">
        <v>0.0</v>
      </c>
      <c r="S7" s="240">
        <v>0.0</v>
      </c>
      <c r="T7" s="240">
        <v>0.0</v>
      </c>
      <c r="U7" s="240">
        <v>0.0</v>
      </c>
      <c r="V7" s="240">
        <v>0.0</v>
      </c>
      <c r="W7" s="242">
        <v>0.0</v>
      </c>
      <c r="X7" s="243">
        <v>0.0</v>
      </c>
      <c r="Y7" s="243">
        <v>0.0</v>
      </c>
      <c r="Z7" s="243">
        <v>0.0</v>
      </c>
      <c r="AA7" s="243">
        <v>0.0</v>
      </c>
      <c r="AB7" s="244">
        <v>0.0</v>
      </c>
      <c r="AC7" s="243">
        <v>0.0</v>
      </c>
      <c r="AD7" s="245">
        <v>0.0</v>
      </c>
      <c r="AE7" s="245">
        <v>5.009024382240059</v>
      </c>
      <c r="AF7" s="245">
        <v>0.11526191211277943</v>
      </c>
      <c r="AG7" s="245">
        <v>0.04964411747113078</v>
      </c>
      <c r="AH7" s="246">
        <v>0.04878881760300714</v>
      </c>
      <c r="AI7" s="246">
        <f>'Calculo Gas'!AQ8</f>
        <v>1.692050195</v>
      </c>
      <c r="AJ7" s="246">
        <f>'Calculo Gas'!AS8</f>
        <v>2.729709968</v>
      </c>
      <c r="AK7" s="246">
        <f>'Calculo Gas'!AU8</f>
        <v>1.370871977</v>
      </c>
      <c r="AL7" s="246">
        <f>'Calculo Gas'!AW8</f>
        <v>0.02451690552</v>
      </c>
      <c r="AM7" s="247">
        <f>'Calculo Gas'!AY8</f>
        <v>0.03481219218</v>
      </c>
      <c r="AN7" s="247">
        <f>'Calculo Gas'!BA8</f>
        <v>0</v>
      </c>
      <c r="AO7" s="247">
        <f>'Calculo Gas'!BC8</f>
        <v>0.05994266354</v>
      </c>
      <c r="AP7" s="247">
        <f>'Calculo Gas'!BE8</f>
        <v>0.8646007095</v>
      </c>
      <c r="AQ7" s="247" t="str">
        <f>'Calculo Gas'!BG8</f>
        <v>0</v>
      </c>
      <c r="AR7" s="247" t="str">
        <f>'Calculo Gas'!BI8</f>
        <v>0</v>
      </c>
      <c r="AS7" s="247" t="str">
        <f>'Calculo Gas'!BK8</f>
        <v>0</v>
      </c>
      <c r="AT7" s="247" t="str">
        <f>'Calculo Gas'!BM8</f>
        <v>0</v>
      </c>
      <c r="AU7" s="247" t="str">
        <f>'Calculo Gas'!BO8</f>
        <v>0</v>
      </c>
      <c r="AV7" s="248">
        <f>IFERROR(__xludf.DUMMYFUNCTION("""COMPUTED_VALUE"""),-4.7)</f>
        <v>-4.7</v>
      </c>
      <c r="AW7" s="248">
        <f>IFERROR(__xludf.DUMMYFUNCTION("""COMPUTED_VALUE"""),-6.37)</f>
        <v>-6.37</v>
      </c>
      <c r="AX7" s="248"/>
      <c r="AY7" s="235">
        <f t="shared" si="1"/>
        <v>0.9292238406</v>
      </c>
      <c r="AZ7" s="248"/>
    </row>
    <row r="8" ht="12.75" customHeight="1">
      <c r="A8" s="224">
        <v>204.0</v>
      </c>
      <c r="B8" s="225" t="s">
        <v>244</v>
      </c>
      <c r="C8" s="226">
        <v>2034040.0</v>
      </c>
      <c r="D8" s="227">
        <v>0.0</v>
      </c>
      <c r="E8" s="227">
        <v>0.0</v>
      </c>
      <c r="F8" s="227">
        <v>0.0</v>
      </c>
      <c r="G8" s="227">
        <v>0.0</v>
      </c>
      <c r="H8" s="227">
        <v>0.0</v>
      </c>
      <c r="I8" s="227">
        <v>0.0</v>
      </c>
      <c r="J8" s="227">
        <v>0.0</v>
      </c>
      <c r="K8" s="227">
        <v>0.0</v>
      </c>
      <c r="L8" s="227">
        <v>0.0</v>
      </c>
      <c r="M8" s="227">
        <v>0.0</v>
      </c>
      <c r="N8" s="227">
        <v>0.0</v>
      </c>
      <c r="O8" s="227">
        <v>0.0</v>
      </c>
      <c r="P8" s="227">
        <v>0.0</v>
      </c>
      <c r="Q8" s="227">
        <v>0.0</v>
      </c>
      <c r="R8" s="227">
        <v>0.0</v>
      </c>
      <c r="S8" s="227">
        <v>0.0</v>
      </c>
      <c r="T8" s="227">
        <v>0.0</v>
      </c>
      <c r="U8" s="227">
        <v>0.0</v>
      </c>
      <c r="V8" s="227">
        <v>0.0</v>
      </c>
      <c r="W8" s="228">
        <v>0.0</v>
      </c>
      <c r="X8" s="229">
        <v>9.009338763651552</v>
      </c>
      <c r="Y8" s="229">
        <v>6.405100601322438</v>
      </c>
      <c r="Z8" s="229">
        <v>5.375528735444617</v>
      </c>
      <c r="AA8" s="229">
        <v>11.424006871376504</v>
      </c>
      <c r="AB8" s="230">
        <v>9.622432282580712</v>
      </c>
      <c r="AC8" s="229">
        <v>10.20090918412696</v>
      </c>
      <c r="AD8" s="231">
        <v>12.253194695981245</v>
      </c>
      <c r="AE8" s="231">
        <v>9.823253371837213</v>
      </c>
      <c r="AF8" s="231">
        <v>2.3628691983124646</v>
      </c>
      <c r="AG8" s="231">
        <v>12.440815838267708</v>
      </c>
      <c r="AH8" s="232">
        <v>6.277494531587073</v>
      </c>
      <c r="AI8" s="232">
        <f>'Calculo Gas'!AQ9</f>
        <v>3.530655919</v>
      </c>
      <c r="AJ8" s="232">
        <f>'Calculo Gas'!AS9</f>
        <v>15.42108878</v>
      </c>
      <c r="AK8" s="232">
        <f>'Calculo Gas'!AU9</f>
        <v>3.89616246</v>
      </c>
      <c r="AL8" s="232">
        <f>'Calculo Gas'!AW9</f>
        <v>0.5025965632</v>
      </c>
      <c r="AM8" s="233">
        <f>'Calculo Gas'!AY9</f>
        <v>32.07363306</v>
      </c>
      <c r="AN8" s="233">
        <f>'Calculo Gas'!BA9</f>
        <v>61.20707247</v>
      </c>
      <c r="AO8" s="233">
        <f>'Calculo Gas'!BC9</f>
        <v>75.90239771</v>
      </c>
      <c r="AP8" s="233">
        <f>'Calculo Gas'!BE9</f>
        <v>108.8748443</v>
      </c>
      <c r="AQ8" s="233" t="str">
        <f>'Calculo Gas'!BG9</f>
        <v>0</v>
      </c>
      <c r="AR8" s="233" t="str">
        <f>'Calculo Gas'!BI9</f>
        <v>0</v>
      </c>
      <c r="AS8" s="233" t="str">
        <f>'Calculo Gas'!BK9</f>
        <v>0</v>
      </c>
      <c r="AT8" s="233" t="str">
        <f>'Calculo Gas'!BM9</f>
        <v>0</v>
      </c>
      <c r="AU8" s="233" t="str">
        <f>'Calculo Gas'!BO9</f>
        <v>0</v>
      </c>
      <c r="AV8" s="235">
        <f>IFERROR(__xludf.DUMMYFUNCTION("""COMPUTED_VALUE"""),-64.33999999999999)</f>
        <v>-64.34</v>
      </c>
      <c r="AW8" s="235">
        <f>IFERROR(__xludf.DUMMYFUNCTION("""COMPUTED_VALUE"""),-332.26)</f>
        <v>-332.26</v>
      </c>
      <c r="AX8" s="235"/>
      <c r="AY8" s="235">
        <f t="shared" si="1"/>
        <v>0.003395380437</v>
      </c>
      <c r="AZ8" s="235"/>
    </row>
    <row r="9" ht="12.75" customHeight="1">
      <c r="A9" s="224">
        <v>205.0</v>
      </c>
      <c r="B9" s="225" t="s">
        <v>247</v>
      </c>
      <c r="C9" s="226">
        <v>2034039.0</v>
      </c>
      <c r="D9" s="227">
        <v>0.0</v>
      </c>
      <c r="E9" s="227">
        <v>0.0</v>
      </c>
      <c r="F9" s="227">
        <v>0.0</v>
      </c>
      <c r="G9" s="253">
        <v>-12.43</v>
      </c>
      <c r="H9" s="227">
        <v>0.0</v>
      </c>
      <c r="I9" s="227">
        <v>0.0</v>
      </c>
      <c r="J9" s="227">
        <v>0.0</v>
      </c>
      <c r="K9" s="227">
        <v>0.0</v>
      </c>
      <c r="L9" s="227">
        <v>0.0</v>
      </c>
      <c r="M9" s="227">
        <v>0.0</v>
      </c>
      <c r="N9" s="227">
        <v>0.0</v>
      </c>
      <c r="O9" s="227">
        <v>0.0</v>
      </c>
      <c r="P9" s="227">
        <v>0.0</v>
      </c>
      <c r="Q9" s="227">
        <v>0.0</v>
      </c>
      <c r="R9" s="227">
        <v>0.0</v>
      </c>
      <c r="S9" s="227">
        <v>0.0</v>
      </c>
      <c r="T9" s="227">
        <v>0.0</v>
      </c>
      <c r="U9" s="227">
        <v>0.0</v>
      </c>
      <c r="V9" s="227">
        <v>0.0</v>
      </c>
      <c r="W9" s="228">
        <v>0.0</v>
      </c>
      <c r="X9" s="236">
        <v>22.02</v>
      </c>
      <c r="Y9" s="229">
        <v>21.04882296846808</v>
      </c>
      <c r="Z9" s="229">
        <v>23.455749538632336</v>
      </c>
      <c r="AA9" s="229">
        <v>20.242044234485455</v>
      </c>
      <c r="AB9" s="230">
        <v>17.304961661730818</v>
      </c>
      <c r="AC9" s="229">
        <v>19.82322179307507</v>
      </c>
      <c r="AD9" s="231">
        <v>47.28878278600308</v>
      </c>
      <c r="AE9" s="231">
        <v>4.591605683719795</v>
      </c>
      <c r="AF9" s="231">
        <v>6.786045075640689</v>
      </c>
      <c r="AG9" s="231">
        <v>5.977151743525374</v>
      </c>
      <c r="AH9" s="232">
        <v>9.074720074158867</v>
      </c>
      <c r="AI9" s="232">
        <f>'Calculo Gas'!AQ10</f>
        <v>27.33926772</v>
      </c>
      <c r="AJ9" s="232">
        <f>'Calculo Gas'!AS10</f>
        <v>39.95302772</v>
      </c>
      <c r="AK9" s="232">
        <f>'Calculo Gas'!AU10</f>
        <v>48.17292227</v>
      </c>
      <c r="AL9" s="232">
        <f>'Calculo Gas'!AW10</f>
        <v>0</v>
      </c>
      <c r="AM9" s="233">
        <f>'Calculo Gas'!AY10</f>
        <v>192.5926512</v>
      </c>
      <c r="AN9" s="233">
        <f>'Calculo Gas'!BA10</f>
        <v>1.904956247</v>
      </c>
      <c r="AO9" s="233">
        <f>'Calculo Gas'!BC10</f>
        <v>0</v>
      </c>
      <c r="AP9" s="233">
        <f>'Calculo Gas'!BE10</f>
        <v>0</v>
      </c>
      <c r="AQ9" s="233" t="str">
        <f>'Calculo Gas'!BG10</f>
        <v>0</v>
      </c>
      <c r="AR9" s="233" t="str">
        <f>'Calculo Gas'!BI10</f>
        <v>0</v>
      </c>
      <c r="AS9" s="233" t="str">
        <f>'Calculo Gas'!BK10</f>
        <v>0</v>
      </c>
      <c r="AT9" s="233" t="str">
        <f>'Calculo Gas'!BM10</f>
        <v>0</v>
      </c>
      <c r="AU9" s="233" t="str">
        <f>'Calculo Gas'!BO10</f>
        <v>0</v>
      </c>
      <c r="AV9" s="235">
        <f>IFERROR(__xludf.DUMMYFUNCTION("""COMPUTED_VALUE"""),-123.86999999999999)</f>
        <v>-123.87</v>
      </c>
      <c r="AW9" s="235">
        <f>IFERROR(__xludf.DUMMYFUNCTION("""COMPUTED_VALUE"""),-371.37)</f>
        <v>-371.37</v>
      </c>
      <c r="AX9" s="235"/>
      <c r="AY9" s="235">
        <f>SUM(G9:AU9)+(AV9+AW9)</f>
        <v>-0.09406928214</v>
      </c>
      <c r="AZ9" s="235"/>
    </row>
    <row r="10" ht="12.75" customHeight="1">
      <c r="A10" s="224">
        <v>206.0</v>
      </c>
      <c r="B10" s="225" t="s">
        <v>249</v>
      </c>
      <c r="C10" s="226">
        <v>2034052.0</v>
      </c>
      <c r="D10" s="227">
        <v>0.0</v>
      </c>
      <c r="E10" s="227">
        <v>0.0</v>
      </c>
      <c r="F10" s="227">
        <v>0.0</v>
      </c>
      <c r="G10" s="227">
        <v>0.0</v>
      </c>
      <c r="H10" s="227">
        <v>0.0</v>
      </c>
      <c r="I10" s="227">
        <v>0.0</v>
      </c>
      <c r="J10" s="227">
        <v>0.0</v>
      </c>
      <c r="K10" s="227">
        <v>0.0</v>
      </c>
      <c r="L10" s="227">
        <v>0.0</v>
      </c>
      <c r="M10" s="227">
        <v>0.0</v>
      </c>
      <c r="N10" s="227">
        <v>0.0</v>
      </c>
      <c r="O10" s="227">
        <v>0.0</v>
      </c>
      <c r="P10" s="227">
        <v>0.0</v>
      </c>
      <c r="Q10" s="227">
        <v>0.0</v>
      </c>
      <c r="R10" s="227">
        <v>0.0</v>
      </c>
      <c r="S10" s="227">
        <v>0.0</v>
      </c>
      <c r="T10" s="227">
        <v>0.0</v>
      </c>
      <c r="U10" s="227">
        <v>0.0</v>
      </c>
      <c r="V10" s="227">
        <v>0.0</v>
      </c>
      <c r="W10" s="228">
        <v>0.0</v>
      </c>
      <c r="X10" s="229">
        <v>156.14430983942657</v>
      </c>
      <c r="Y10" s="229">
        <v>138.5775296129624</v>
      </c>
      <c r="Z10" s="229">
        <v>142.90655060345185</v>
      </c>
      <c r="AA10" s="229">
        <v>159.3303843676189</v>
      </c>
      <c r="AB10" s="230">
        <v>144.36217831690232</v>
      </c>
      <c r="AC10" s="229">
        <v>143.35359059370464</v>
      </c>
      <c r="AD10" s="231">
        <v>192.81684165199675</v>
      </c>
      <c r="AE10" s="231">
        <v>192.17956879860884</v>
      </c>
      <c r="AF10" s="231">
        <v>198.9852835237204</v>
      </c>
      <c r="AG10" s="231">
        <v>174.38985585262367</v>
      </c>
      <c r="AH10" s="232">
        <v>193.00856243748794</v>
      </c>
      <c r="AI10" s="232">
        <f>'Calculo Gas'!AQ11</f>
        <v>128.9288956</v>
      </c>
      <c r="AJ10" s="232">
        <f>'Calculo Gas'!AS11</f>
        <v>181.2480151</v>
      </c>
      <c r="AK10" s="232">
        <f>'Calculo Gas'!AU11</f>
        <v>147.0801329</v>
      </c>
      <c r="AL10" s="232">
        <f>'Calculo Gas'!AW11</f>
        <v>156.6507678</v>
      </c>
      <c r="AM10" s="233">
        <f>'Calculo Gas'!AY11</f>
        <v>144.6678666</v>
      </c>
      <c r="AN10" s="233">
        <f>'Calculo Gas'!BA11</f>
        <v>183.8558859</v>
      </c>
      <c r="AO10" s="233">
        <f>'Calculo Gas'!BC11</f>
        <v>180.2475893</v>
      </c>
      <c r="AP10" s="233">
        <f>'Calculo Gas'!BE11</f>
        <v>221.2513216</v>
      </c>
      <c r="AQ10" s="233" t="str">
        <f>'Calculo Gas'!BG11</f>
        <v>0</v>
      </c>
      <c r="AR10" s="233" t="str">
        <f>'Calculo Gas'!BI11</f>
        <v>0</v>
      </c>
      <c r="AS10" s="233" t="str">
        <f>'Calculo Gas'!BK11</f>
        <v>0</v>
      </c>
      <c r="AT10" s="233" t="str">
        <f>'Calculo Gas'!BM11</f>
        <v>0</v>
      </c>
      <c r="AU10" s="233" t="str">
        <f>'Calculo Gas'!BO11</f>
        <v>0</v>
      </c>
      <c r="AV10" s="235">
        <f>IFERROR(__xludf.DUMMYFUNCTION("""COMPUTED_VALUE"""),-1077.56)</f>
        <v>-1077.56</v>
      </c>
      <c r="AW10" s="235">
        <f>IFERROR(__xludf.DUMMYFUNCTION("""COMPUTED_VALUE"""),-1881.1699999999998)</f>
        <v>-1881.17</v>
      </c>
      <c r="AX10" s="235"/>
      <c r="AY10" s="235">
        <f t="shared" ref="AY10:AY64" si="2">SUM(W10:AU10)+(AV10+AW10)</f>
        <v>221.2551304</v>
      </c>
      <c r="AZ10" s="235"/>
    </row>
    <row r="11" ht="12.75" customHeight="1">
      <c r="A11" s="254">
        <v>301.0</v>
      </c>
      <c r="B11" s="255" t="s">
        <v>251</v>
      </c>
      <c r="C11" s="256">
        <v>2033964.0</v>
      </c>
      <c r="D11" s="227">
        <v>0.0</v>
      </c>
      <c r="E11" s="227">
        <v>0.0</v>
      </c>
      <c r="F11" s="227">
        <v>0.0</v>
      </c>
      <c r="G11" s="227">
        <v>0.0</v>
      </c>
      <c r="H11" s="227">
        <v>0.0</v>
      </c>
      <c r="I11" s="227">
        <v>0.0</v>
      </c>
      <c r="J11" s="227">
        <v>0.0</v>
      </c>
      <c r="K11" s="227">
        <v>0.0</v>
      </c>
      <c r="L11" s="227">
        <v>0.0</v>
      </c>
      <c r="M11" s="227">
        <v>0.0</v>
      </c>
      <c r="N11" s="227">
        <v>0.0</v>
      </c>
      <c r="O11" s="227">
        <v>0.0</v>
      </c>
      <c r="P11" s="227">
        <v>0.0</v>
      </c>
      <c r="Q11" s="227">
        <v>0.0</v>
      </c>
      <c r="R11" s="227">
        <v>0.0</v>
      </c>
      <c r="S11" s="227">
        <v>0.0</v>
      </c>
      <c r="T11" s="227">
        <v>0.0</v>
      </c>
      <c r="U11" s="227">
        <v>0.0</v>
      </c>
      <c r="V11" s="227">
        <v>0.0</v>
      </c>
      <c r="W11" s="228">
        <v>0.0</v>
      </c>
      <c r="X11" s="229">
        <v>0.0</v>
      </c>
      <c r="Y11" s="229">
        <v>0.0</v>
      </c>
      <c r="Z11" s="229">
        <v>0.0</v>
      </c>
      <c r="AA11" s="229">
        <v>0.0</v>
      </c>
      <c r="AB11" s="230">
        <v>0.0</v>
      </c>
      <c r="AC11" s="229">
        <v>0.0</v>
      </c>
      <c r="AD11" s="231">
        <v>0.0</v>
      </c>
      <c r="AE11" s="231">
        <v>0.0</v>
      </c>
      <c r="AF11" s="231">
        <v>0.0</v>
      </c>
      <c r="AG11" s="231">
        <v>0.0</v>
      </c>
      <c r="AH11" s="232">
        <v>0.0</v>
      </c>
      <c r="AI11" s="232">
        <f>'Calculo Gas'!AQ12</f>
        <v>0</v>
      </c>
      <c r="AJ11" s="232">
        <f>'Calculo Gas'!AS12</f>
        <v>0</v>
      </c>
      <c r="AK11" s="232">
        <f>'Calculo Gas'!AU12</f>
        <v>0</v>
      </c>
      <c r="AL11" s="232">
        <f>'Calculo Gas'!AW12</f>
        <v>0</v>
      </c>
      <c r="AM11" s="233">
        <f>'Calculo Gas'!AY12</f>
        <v>0</v>
      </c>
      <c r="AN11" s="233">
        <f>'Calculo Gas'!BA12</f>
        <v>0</v>
      </c>
      <c r="AO11" s="233">
        <f>'Calculo Gas'!BC12</f>
        <v>0</v>
      </c>
      <c r="AP11" s="233">
        <f>'Calculo Gas'!BE12</f>
        <v>0</v>
      </c>
      <c r="AQ11" s="233" t="str">
        <f>'Calculo Gas'!BG12</f>
        <v>0</v>
      </c>
      <c r="AR11" s="233" t="str">
        <f>'Calculo Gas'!BI12</f>
        <v>0</v>
      </c>
      <c r="AS11" s="233" t="str">
        <f>'Calculo Gas'!BK12</f>
        <v>0</v>
      </c>
      <c r="AT11" s="233" t="str">
        <f>'Calculo Gas'!BM12</f>
        <v>0</v>
      </c>
      <c r="AU11" s="233" t="str">
        <f>'Calculo Gas'!BO12</f>
        <v>0</v>
      </c>
      <c r="AV11" s="235">
        <f>IFERROR(__xludf.DUMMYFUNCTION("""COMPUTED_VALUE"""),0.0)</f>
        <v>0</v>
      </c>
      <c r="AW11" s="235">
        <f>IFERROR(__xludf.DUMMYFUNCTION("""COMPUTED_VALUE"""),0.0)</f>
        <v>0</v>
      </c>
      <c r="AX11" s="235"/>
      <c r="AY11" s="235">
        <f t="shared" si="2"/>
        <v>0</v>
      </c>
      <c r="AZ11" s="235"/>
    </row>
    <row r="12" ht="12.75" customHeight="1">
      <c r="A12" s="254">
        <v>301.0</v>
      </c>
      <c r="B12" s="255" t="s">
        <v>264</v>
      </c>
      <c r="C12" s="256" t="s">
        <v>180</v>
      </c>
      <c r="D12" s="227">
        <v>0.0</v>
      </c>
      <c r="E12" s="227">
        <v>0.0</v>
      </c>
      <c r="F12" s="227">
        <v>0.0</v>
      </c>
      <c r="G12" s="227">
        <v>0.0</v>
      </c>
      <c r="H12" s="227">
        <v>0.0</v>
      </c>
      <c r="I12" s="227">
        <v>0.0</v>
      </c>
      <c r="J12" s="227">
        <v>0.0</v>
      </c>
      <c r="K12" s="227">
        <v>0.0</v>
      </c>
      <c r="L12" s="227">
        <v>0.0</v>
      </c>
      <c r="M12" s="227">
        <v>0.0</v>
      </c>
      <c r="N12" s="227">
        <v>0.0</v>
      </c>
      <c r="O12" s="227">
        <v>0.0</v>
      </c>
      <c r="P12" s="227">
        <v>0.0</v>
      </c>
      <c r="Q12" s="227">
        <v>0.0</v>
      </c>
      <c r="R12" s="227">
        <v>0.0</v>
      </c>
      <c r="S12" s="227">
        <v>0.0</v>
      </c>
      <c r="T12" s="227">
        <v>0.0</v>
      </c>
      <c r="U12" s="227">
        <v>0.0</v>
      </c>
      <c r="V12" s="227">
        <v>0.0</v>
      </c>
      <c r="W12" s="228">
        <v>0.0</v>
      </c>
      <c r="X12" s="229">
        <v>0.0</v>
      </c>
      <c r="Y12" s="229">
        <v>0.0</v>
      </c>
      <c r="Z12" s="229">
        <v>0.0</v>
      </c>
      <c r="AA12" s="229">
        <v>0.0</v>
      </c>
      <c r="AB12" s="230">
        <v>0.0</v>
      </c>
      <c r="AC12" s="229">
        <v>0.0</v>
      </c>
      <c r="AD12" s="231">
        <v>0.0</v>
      </c>
      <c r="AE12" s="231">
        <v>0.0</v>
      </c>
      <c r="AF12" s="231">
        <v>0.0</v>
      </c>
      <c r="AG12" s="231">
        <v>0.0</v>
      </c>
      <c r="AH12" s="232">
        <v>0.0</v>
      </c>
      <c r="AI12" s="232">
        <f>'Calculo Gas'!AQ13</f>
        <v>0</v>
      </c>
      <c r="AJ12" s="232">
        <f>'Calculo Gas'!AS13</f>
        <v>0</v>
      </c>
      <c r="AK12" s="232">
        <f>'Calculo Gas'!AU13</f>
        <v>0</v>
      </c>
      <c r="AL12" s="232">
        <f>'Calculo Gas'!AW13</f>
        <v>0</v>
      </c>
      <c r="AM12" s="233">
        <f>'Calculo Gas'!AY13</f>
        <v>0</v>
      </c>
      <c r="AN12" s="233">
        <f>'Calculo Gas'!BA13</f>
        <v>0</v>
      </c>
      <c r="AO12" s="233">
        <f>'Calculo Gas'!BC13</f>
        <v>0</v>
      </c>
      <c r="AP12" s="233">
        <f>'Calculo Gas'!BE13</f>
        <v>0</v>
      </c>
      <c r="AQ12" s="233" t="str">
        <f>'Calculo Gas'!BG13</f>
        <v>0</v>
      </c>
      <c r="AR12" s="233" t="str">
        <f>'Calculo Gas'!BI13</f>
        <v>0</v>
      </c>
      <c r="AS12" s="233" t="str">
        <f>'Calculo Gas'!BK13</f>
        <v>0</v>
      </c>
      <c r="AT12" s="233" t="str">
        <f>'Calculo Gas'!BM13</f>
        <v>0</v>
      </c>
      <c r="AU12" s="233" t="str">
        <f>'Calculo Gas'!BO13</f>
        <v>0</v>
      </c>
      <c r="AV12" s="235">
        <f>IFERROR(__xludf.DUMMYFUNCTION("""COMPUTED_VALUE"""),0.0)</f>
        <v>0</v>
      </c>
      <c r="AW12" s="235">
        <f>IFERROR(__xludf.DUMMYFUNCTION("""COMPUTED_VALUE"""),0.0)</f>
        <v>0</v>
      </c>
      <c r="AX12" s="235"/>
      <c r="AY12" s="235">
        <f t="shared" si="2"/>
        <v>0</v>
      </c>
      <c r="AZ12" s="235"/>
    </row>
    <row r="13" ht="12.75" customHeight="1">
      <c r="A13" s="224">
        <v>302.0</v>
      </c>
      <c r="B13" s="225" t="s">
        <v>316</v>
      </c>
      <c r="C13" s="226">
        <v>2034062.0</v>
      </c>
      <c r="D13" s="227">
        <v>0.0</v>
      </c>
      <c r="E13" s="227">
        <v>0.0</v>
      </c>
      <c r="F13" s="227">
        <v>0.0</v>
      </c>
      <c r="G13" s="227">
        <v>0.0</v>
      </c>
      <c r="H13" s="227">
        <v>0.0</v>
      </c>
      <c r="I13" s="227">
        <v>0.0</v>
      </c>
      <c r="J13" s="227">
        <v>0.0</v>
      </c>
      <c r="K13" s="227">
        <v>0.0</v>
      </c>
      <c r="L13" s="227">
        <v>0.0</v>
      </c>
      <c r="M13" s="227">
        <v>0.0</v>
      </c>
      <c r="N13" s="227">
        <v>0.0</v>
      </c>
      <c r="O13" s="227">
        <v>0.0</v>
      </c>
      <c r="P13" s="227">
        <v>0.0</v>
      </c>
      <c r="Q13" s="227">
        <v>0.0</v>
      </c>
      <c r="R13" s="227">
        <v>0.0</v>
      </c>
      <c r="S13" s="227">
        <v>0.0</v>
      </c>
      <c r="T13" s="227">
        <v>0.0</v>
      </c>
      <c r="U13" s="227">
        <v>0.0</v>
      </c>
      <c r="V13" s="227">
        <v>0.0</v>
      </c>
      <c r="W13" s="228">
        <v>0.0</v>
      </c>
      <c r="X13" s="229">
        <v>45.69649018132825</v>
      </c>
      <c r="Y13" s="229">
        <v>41.71871822960525</v>
      </c>
      <c r="Z13" s="229">
        <v>36.330322875667946</v>
      </c>
      <c r="AA13" s="229">
        <v>11.19862572471569</v>
      </c>
      <c r="AB13" s="230">
        <v>32.631479302743415</v>
      </c>
      <c r="AC13" s="229">
        <v>29.344908910688368</v>
      </c>
      <c r="AD13" s="231">
        <v>11.640534961182485</v>
      </c>
      <c r="AE13" s="231">
        <v>48.22577363567762</v>
      </c>
      <c r="AF13" s="231">
        <v>61.261706287948336</v>
      </c>
      <c r="AG13" s="231">
        <v>41.84006220467733</v>
      </c>
      <c r="AH13" s="232">
        <v>43.617202937086994</v>
      </c>
      <c r="AI13" s="232">
        <f>'Calculo Gas'!AQ14</f>
        <v>51.40102089</v>
      </c>
      <c r="AJ13" s="232">
        <f>'Calculo Gas'!AS14</f>
        <v>43.58082408</v>
      </c>
      <c r="AK13" s="232">
        <f>'Calculo Gas'!AU14</f>
        <v>34.12749711</v>
      </c>
      <c r="AL13" s="232">
        <f>'Calculo Gas'!AW14</f>
        <v>41.71551474</v>
      </c>
      <c r="AM13" s="233">
        <f>'Calculo Gas'!AY14</f>
        <v>37.31867002</v>
      </c>
      <c r="AN13" s="233">
        <f>'Calculo Gas'!BA14</f>
        <v>57.25911966</v>
      </c>
      <c r="AO13" s="233">
        <f>'Calculo Gas'!BC14</f>
        <v>58.78876727</v>
      </c>
      <c r="AP13" s="233">
        <f>'Calculo Gas'!BE14</f>
        <v>87.9731222</v>
      </c>
      <c r="AQ13" s="233" t="str">
        <f>'Calculo Gas'!BG14</f>
        <v>0</v>
      </c>
      <c r="AR13" s="233" t="str">
        <f>'Calculo Gas'!BI14</f>
        <v>0</v>
      </c>
      <c r="AS13" s="233" t="str">
        <f>'Calculo Gas'!BK14</f>
        <v>0</v>
      </c>
      <c r="AT13" s="233" t="str">
        <f>'Calculo Gas'!BM14</f>
        <v>0</v>
      </c>
      <c r="AU13" s="233" t="str">
        <f>'Calculo Gas'!BO14</f>
        <v>0</v>
      </c>
      <c r="AV13" s="235">
        <f>IFERROR(__xludf.DUMMYFUNCTION("""COMPUTED_VALUE"""),-256.79)</f>
        <v>-256.79</v>
      </c>
      <c r="AW13" s="235">
        <f>IFERROR(__xludf.DUMMYFUNCTION("""COMPUTED_VALUE"""),-470.9100000000001)</f>
        <v>-470.91</v>
      </c>
      <c r="AX13" s="235"/>
      <c r="AY13" s="235">
        <f t="shared" si="2"/>
        <v>87.97036122</v>
      </c>
      <c r="AZ13" s="235"/>
    </row>
    <row r="14" ht="12.75" customHeight="1">
      <c r="A14" s="224">
        <v>303.0</v>
      </c>
      <c r="B14" s="225" t="s">
        <v>324</v>
      </c>
      <c r="C14" s="226">
        <v>2034065.0</v>
      </c>
      <c r="D14" s="227">
        <v>0.0</v>
      </c>
      <c r="E14" s="227">
        <v>0.0</v>
      </c>
      <c r="F14" s="227">
        <v>0.0</v>
      </c>
      <c r="G14" s="227">
        <v>0.0</v>
      </c>
      <c r="H14" s="227">
        <v>0.0</v>
      </c>
      <c r="I14" s="227">
        <v>0.0</v>
      </c>
      <c r="J14" s="227">
        <v>0.0</v>
      </c>
      <c r="K14" s="227">
        <v>0.0</v>
      </c>
      <c r="L14" s="227">
        <v>0.0</v>
      </c>
      <c r="M14" s="227">
        <v>0.0</v>
      </c>
      <c r="N14" s="227">
        <v>0.0</v>
      </c>
      <c r="O14" s="227">
        <v>0.0</v>
      </c>
      <c r="P14" s="227">
        <v>0.0</v>
      </c>
      <c r="Q14" s="227">
        <v>0.0</v>
      </c>
      <c r="R14" s="227">
        <v>0.0</v>
      </c>
      <c r="S14" s="227">
        <v>0.0</v>
      </c>
      <c r="T14" s="227">
        <v>0.0</v>
      </c>
      <c r="U14" s="227">
        <v>0.0</v>
      </c>
      <c r="V14" s="227">
        <v>0.0</v>
      </c>
      <c r="W14" s="228">
        <v>0.0</v>
      </c>
      <c r="X14" s="229">
        <v>18.317232613038072</v>
      </c>
      <c r="Y14" s="229">
        <v>40.74084027520577</v>
      </c>
      <c r="Z14" s="229">
        <v>73.12175205369782</v>
      </c>
      <c r="AA14" s="229">
        <v>110.23955336053267</v>
      </c>
      <c r="AB14" s="230">
        <v>72.39306530352813</v>
      </c>
      <c r="AC14" s="229">
        <v>76.38732610999119</v>
      </c>
      <c r="AD14" s="231">
        <v>26.216137489076242</v>
      </c>
      <c r="AE14" s="231">
        <v>66.689594066879</v>
      </c>
      <c r="AF14" s="231">
        <v>61.866831326540925</v>
      </c>
      <c r="AG14" s="231">
        <v>20.67181051498291</v>
      </c>
      <c r="AH14" s="232">
        <v>21.093032143699702</v>
      </c>
      <c r="AI14" s="232">
        <f>'Calculo Gas'!AQ15</f>
        <v>13.3765228</v>
      </c>
      <c r="AJ14" s="232">
        <f>'Calculo Gas'!AS15</f>
        <v>39.88212616</v>
      </c>
      <c r="AK14" s="232">
        <f>'Calculo Gas'!AU15</f>
        <v>62.49492687</v>
      </c>
      <c r="AL14" s="232">
        <f>'Calculo Gas'!AW15</f>
        <v>12.09909287</v>
      </c>
      <c r="AM14" s="233">
        <f>'Calculo Gas'!AY15</f>
        <v>34.24359304</v>
      </c>
      <c r="AN14" s="233">
        <f>'Calculo Gas'!BA15</f>
        <v>18.63544155</v>
      </c>
      <c r="AO14" s="233">
        <f>'Calculo Gas'!BC15</f>
        <v>61.08157415</v>
      </c>
      <c r="AP14" s="233">
        <f>'Calculo Gas'!BE15</f>
        <v>71.04856331</v>
      </c>
      <c r="AQ14" s="233" t="str">
        <f>'Calculo Gas'!BG15</f>
        <v>0</v>
      </c>
      <c r="AR14" s="233" t="str">
        <f>'Calculo Gas'!BI15</f>
        <v>0</v>
      </c>
      <c r="AS14" s="233" t="str">
        <f>'Calculo Gas'!BK15</f>
        <v>0</v>
      </c>
      <c r="AT14" s="233" t="str">
        <f>'Calculo Gas'!BM15</f>
        <v>0</v>
      </c>
      <c r="AU14" s="233" t="str">
        <f>'Calculo Gas'!BO15</f>
        <v>0</v>
      </c>
      <c r="AV14" s="235">
        <f>IFERROR(__xludf.DUMMYFUNCTION("""COMPUTED_VALUE"""),-417.42)</f>
        <v>-417.42</v>
      </c>
      <c r="AW14" s="235">
        <f>IFERROR(__xludf.DUMMYFUNCTION("""COMPUTED_VALUE"""),-483.18)</f>
        <v>-483.18</v>
      </c>
      <c r="AX14" s="235"/>
      <c r="AY14" s="235">
        <f t="shared" si="2"/>
        <v>-0.0009839907786</v>
      </c>
      <c r="AZ14" s="235"/>
    </row>
    <row r="15" ht="12.75" customHeight="1">
      <c r="A15" s="224">
        <v>304.0</v>
      </c>
      <c r="B15" s="225" t="s">
        <v>328</v>
      </c>
      <c r="C15" s="226">
        <v>2034043.0</v>
      </c>
      <c r="D15" s="227">
        <v>0.0</v>
      </c>
      <c r="E15" s="227">
        <v>0.0</v>
      </c>
      <c r="F15" s="227">
        <v>0.0</v>
      </c>
      <c r="G15" s="227">
        <v>0.0</v>
      </c>
      <c r="H15" s="227">
        <v>0.0</v>
      </c>
      <c r="I15" s="227">
        <v>0.0</v>
      </c>
      <c r="J15" s="227">
        <v>0.0</v>
      </c>
      <c r="K15" s="227">
        <v>0.0</v>
      </c>
      <c r="L15" s="227">
        <v>0.0</v>
      </c>
      <c r="M15" s="227">
        <v>0.0</v>
      </c>
      <c r="N15" s="227">
        <v>0.0</v>
      </c>
      <c r="O15" s="227">
        <v>0.0</v>
      </c>
      <c r="P15" s="227">
        <v>0.0</v>
      </c>
      <c r="Q15" s="227">
        <v>0.0</v>
      </c>
      <c r="R15" s="227">
        <v>0.0</v>
      </c>
      <c r="S15" s="227">
        <v>0.0</v>
      </c>
      <c r="T15" s="227">
        <v>0.0</v>
      </c>
      <c r="U15" s="227">
        <v>0.0</v>
      </c>
      <c r="V15" s="227">
        <v>0.0</v>
      </c>
      <c r="W15" s="228">
        <v>0.0</v>
      </c>
      <c r="X15" s="229">
        <v>0.0351241277334521</v>
      </c>
      <c r="Y15" s="236">
        <v>0.67</v>
      </c>
      <c r="Z15" s="229">
        <v>0.0</v>
      </c>
      <c r="AA15" s="229">
        <v>80.6301052179514</v>
      </c>
      <c r="AB15" s="230">
        <v>47.379880184456496</v>
      </c>
      <c r="AC15" s="229">
        <v>59.90990190381793</v>
      </c>
      <c r="AD15" s="231">
        <v>29.778112691396636</v>
      </c>
      <c r="AE15" s="231">
        <v>0.08348373970400347</v>
      </c>
      <c r="AF15" s="231">
        <v>0.0720386950706343</v>
      </c>
      <c r="AG15" s="231">
        <v>0.019857646988409982</v>
      </c>
      <c r="AH15" s="232">
        <v>37.22586783109306</v>
      </c>
      <c r="AI15" s="232">
        <f>'Calculo Gas'!AQ16</f>
        <v>1.358969448</v>
      </c>
      <c r="AJ15" s="232">
        <f>'Calculo Gas'!AS16</f>
        <v>25.65454693</v>
      </c>
      <c r="AK15" s="232">
        <f>'Calculo Gas'!AU16</f>
        <v>0.01202519278</v>
      </c>
      <c r="AL15" s="232">
        <f>'Calculo Gas'!AW16</f>
        <v>27.55700181</v>
      </c>
      <c r="AM15" s="233">
        <f>'Calculo Gas'!AY16</f>
        <v>47.95959676</v>
      </c>
      <c r="AN15" s="233">
        <f>'Calculo Gas'!BA16</f>
        <v>63.70560204</v>
      </c>
      <c r="AO15" s="233">
        <f>'Calculo Gas'!BC16</f>
        <v>59.77782121</v>
      </c>
      <c r="AP15" s="233">
        <f>'Calculo Gas'!BE16</f>
        <v>43.25165049</v>
      </c>
      <c r="AQ15" s="233" t="str">
        <f>'Calculo Gas'!BG16</f>
        <v>0</v>
      </c>
      <c r="AR15" s="233" t="str">
        <f>'Calculo Gas'!BI16</f>
        <v>0</v>
      </c>
      <c r="AS15" s="233" t="str">
        <f>'Calculo Gas'!BK16</f>
        <v>0</v>
      </c>
      <c r="AT15" s="233" t="str">
        <f>'Calculo Gas'!BM16</f>
        <v>0</v>
      </c>
      <c r="AU15" s="233" t="str">
        <f>'Calculo Gas'!BO16</f>
        <v>0</v>
      </c>
      <c r="AV15" s="235">
        <f>IFERROR(__xludf.DUMMYFUNCTION("""COMPUTED_VALUE"""),-137.9)</f>
        <v>-137.9</v>
      </c>
      <c r="AW15" s="235">
        <f>IFERROR(__xludf.DUMMYFUNCTION("""COMPUTED_VALUE"""),-344.0)</f>
        <v>-344</v>
      </c>
      <c r="AX15" s="235"/>
      <c r="AY15" s="235">
        <f t="shared" si="2"/>
        <v>43.18158592</v>
      </c>
      <c r="AZ15" s="235"/>
    </row>
    <row r="16" ht="12.75" customHeight="1">
      <c r="A16" s="224">
        <v>305.0</v>
      </c>
      <c r="B16" s="225" t="s">
        <v>331</v>
      </c>
      <c r="C16" s="226">
        <v>2034044.0</v>
      </c>
      <c r="D16" s="227">
        <v>0.0</v>
      </c>
      <c r="E16" s="227">
        <v>0.0</v>
      </c>
      <c r="F16" s="227">
        <v>0.0</v>
      </c>
      <c r="G16" s="227">
        <v>0.0</v>
      </c>
      <c r="H16" s="227">
        <v>0.0</v>
      </c>
      <c r="I16" s="227">
        <v>0.0</v>
      </c>
      <c r="J16" s="227">
        <v>0.0</v>
      </c>
      <c r="K16" s="227">
        <v>0.0</v>
      </c>
      <c r="L16" s="227">
        <v>0.0</v>
      </c>
      <c r="M16" s="227">
        <v>0.0</v>
      </c>
      <c r="N16" s="227">
        <v>0.0</v>
      </c>
      <c r="O16" s="227">
        <v>0.0</v>
      </c>
      <c r="P16" s="227">
        <v>0.0</v>
      </c>
      <c r="Q16" s="227">
        <v>0.0</v>
      </c>
      <c r="R16" s="227">
        <v>0.0</v>
      </c>
      <c r="S16" s="227">
        <v>0.0</v>
      </c>
      <c r="T16" s="227">
        <v>0.0</v>
      </c>
      <c r="U16" s="227">
        <v>0.0</v>
      </c>
      <c r="V16" s="227">
        <v>0.0</v>
      </c>
      <c r="W16" s="228">
        <v>0.0</v>
      </c>
      <c r="X16" s="229">
        <v>4.408078030558596</v>
      </c>
      <c r="Y16" s="229">
        <v>5.50056349350212</v>
      </c>
      <c r="Z16" s="229">
        <v>0.0</v>
      </c>
      <c r="AA16" s="229">
        <v>5.437320163195121</v>
      </c>
      <c r="AB16" s="230">
        <v>0.0</v>
      </c>
      <c r="AC16" s="229">
        <v>0.0</v>
      </c>
      <c r="AD16" s="231">
        <v>0.0</v>
      </c>
      <c r="AE16" s="231">
        <v>0.0</v>
      </c>
      <c r="AF16" s="231">
        <v>0.0</v>
      </c>
      <c r="AG16" s="231">
        <v>0.0</v>
      </c>
      <c r="AH16" s="232">
        <v>0.0</v>
      </c>
      <c r="AI16" s="232">
        <f>'Calculo Gas'!AQ17</f>
        <v>0</v>
      </c>
      <c r="AJ16" s="232">
        <f>'Calculo Gas'!AS17</f>
        <v>0</v>
      </c>
      <c r="AK16" s="232">
        <f>'Calculo Gas'!AU17</f>
        <v>0</v>
      </c>
      <c r="AL16" s="232">
        <f>'Calculo Gas'!AW17</f>
        <v>0</v>
      </c>
      <c r="AM16" s="233">
        <f>'Calculo Gas'!AY17</f>
        <v>0</v>
      </c>
      <c r="AN16" s="233">
        <f>'Calculo Gas'!BA17</f>
        <v>0</v>
      </c>
      <c r="AO16" s="233">
        <f>'Calculo Gas'!BC17</f>
        <v>0.01498566588</v>
      </c>
      <c r="AP16" s="233">
        <f>'Calculo Gas'!BE17</f>
        <v>0</v>
      </c>
      <c r="AQ16" s="233" t="str">
        <f>'Calculo Gas'!BG17</f>
        <v>0</v>
      </c>
      <c r="AR16" s="233" t="str">
        <f>'Calculo Gas'!BI17</f>
        <v>0</v>
      </c>
      <c r="AS16" s="233" t="str">
        <f>'Calculo Gas'!BK17</f>
        <v>0</v>
      </c>
      <c r="AT16" s="233" t="str">
        <f>'Calculo Gas'!BM17</f>
        <v>0</v>
      </c>
      <c r="AU16" s="233" t="str">
        <f>'Calculo Gas'!BO17</f>
        <v>0</v>
      </c>
      <c r="AV16" s="235">
        <f>IFERROR(__xludf.DUMMYFUNCTION("""COMPUTED_VALUE"""),0.0)</f>
        <v>0</v>
      </c>
      <c r="AW16" s="235">
        <f>IFERROR(__xludf.DUMMYFUNCTION("""COMPUTED_VALUE"""),0.0)</f>
        <v>0</v>
      </c>
      <c r="AX16" s="235"/>
      <c r="AY16" s="235">
        <f t="shared" si="2"/>
        <v>15.36094735</v>
      </c>
      <c r="AZ16" s="235"/>
    </row>
    <row r="17" ht="12.75" customHeight="1">
      <c r="A17" s="254">
        <v>306.0</v>
      </c>
      <c r="B17" s="255" t="s">
        <v>332</v>
      </c>
      <c r="C17" s="256">
        <v>2034050.0</v>
      </c>
      <c r="D17" s="227">
        <v>0.0</v>
      </c>
      <c r="E17" s="227">
        <v>0.0</v>
      </c>
      <c r="F17" s="227">
        <v>0.0</v>
      </c>
      <c r="G17" s="227">
        <v>0.0</v>
      </c>
      <c r="H17" s="227">
        <v>0.0</v>
      </c>
      <c r="I17" s="227">
        <v>0.0</v>
      </c>
      <c r="J17" s="227">
        <v>0.0</v>
      </c>
      <c r="K17" s="227">
        <v>0.0</v>
      </c>
      <c r="L17" s="227">
        <v>0.0</v>
      </c>
      <c r="M17" s="227">
        <v>0.0</v>
      </c>
      <c r="N17" s="227">
        <v>0.0</v>
      </c>
      <c r="O17" s="227">
        <v>0.0</v>
      </c>
      <c r="P17" s="227">
        <v>0.0</v>
      </c>
      <c r="Q17" s="227">
        <v>0.0</v>
      </c>
      <c r="R17" s="227">
        <v>0.0</v>
      </c>
      <c r="S17" s="227">
        <v>0.0</v>
      </c>
      <c r="T17" s="227">
        <v>0.0</v>
      </c>
      <c r="U17" s="227">
        <v>0.0</v>
      </c>
      <c r="V17" s="227">
        <v>0.0</v>
      </c>
      <c r="W17" s="228">
        <v>0.0</v>
      </c>
      <c r="X17" s="229">
        <v>0.0</v>
      </c>
      <c r="Y17" s="229">
        <v>0.0</v>
      </c>
      <c r="Z17" s="229">
        <v>0.0</v>
      </c>
      <c r="AA17" s="229">
        <v>0.0</v>
      </c>
      <c r="AB17" s="230">
        <v>0.0</v>
      </c>
      <c r="AC17" s="229">
        <v>0.0</v>
      </c>
      <c r="AD17" s="231">
        <v>0.0</v>
      </c>
      <c r="AE17" s="231">
        <v>0.0</v>
      </c>
      <c r="AF17" s="231">
        <v>0.0</v>
      </c>
      <c r="AG17" s="231">
        <v>0.0</v>
      </c>
      <c r="AH17" s="232">
        <v>0.0</v>
      </c>
      <c r="AI17" s="232">
        <f>'Calculo Gas'!AQ18</f>
        <v>0</v>
      </c>
      <c r="AJ17" s="232">
        <f>'Calculo Gas'!AS18</f>
        <v>0</v>
      </c>
      <c r="AK17" s="232">
        <f>'Calculo Gas'!AU18</f>
        <v>0</v>
      </c>
      <c r="AL17" s="232">
        <f>'Calculo Gas'!AW18</f>
        <v>0</v>
      </c>
      <c r="AM17" s="233">
        <f>'Calculo Gas'!AY18</f>
        <v>0</v>
      </c>
      <c r="AN17" s="233">
        <f>'Calculo Gas'!BA18</f>
        <v>0</v>
      </c>
      <c r="AO17" s="233">
        <f>'Calculo Gas'!BC18</f>
        <v>0</v>
      </c>
      <c r="AP17" s="233">
        <f>'Calculo Gas'!BE18</f>
        <v>0</v>
      </c>
      <c r="AQ17" s="233" t="str">
        <f>'Calculo Gas'!BG18</f>
        <v>0</v>
      </c>
      <c r="AR17" s="233" t="str">
        <f>'Calculo Gas'!BI18</f>
        <v>0</v>
      </c>
      <c r="AS17" s="233" t="str">
        <f>'Calculo Gas'!BK18</f>
        <v>0</v>
      </c>
      <c r="AT17" s="233" t="str">
        <f>'Calculo Gas'!BM18</f>
        <v>0</v>
      </c>
      <c r="AU17" s="233" t="str">
        <f>'Calculo Gas'!BO18</f>
        <v>0</v>
      </c>
      <c r="AV17" s="235">
        <f>IFERROR(__xludf.DUMMYFUNCTION("""COMPUTED_VALUE"""),0.0)</f>
        <v>0</v>
      </c>
      <c r="AW17" s="235">
        <f>IFERROR(__xludf.DUMMYFUNCTION("""COMPUTED_VALUE"""),0.0)</f>
        <v>0</v>
      </c>
      <c r="AX17" s="235"/>
      <c r="AY17" s="235">
        <f t="shared" si="2"/>
        <v>0</v>
      </c>
      <c r="AZ17" s="235"/>
    </row>
    <row r="18" ht="12.75" customHeight="1">
      <c r="A18" s="224">
        <v>402.0</v>
      </c>
      <c r="B18" s="225" t="s">
        <v>333</v>
      </c>
      <c r="C18" s="226">
        <v>2034057.0</v>
      </c>
      <c r="D18" s="227">
        <v>0.0</v>
      </c>
      <c r="E18" s="227">
        <v>0.0</v>
      </c>
      <c r="F18" s="227">
        <v>0.0</v>
      </c>
      <c r="G18" s="227">
        <v>0.0</v>
      </c>
      <c r="H18" s="227">
        <v>0.0</v>
      </c>
      <c r="I18" s="227">
        <v>0.0</v>
      </c>
      <c r="J18" s="227">
        <v>0.0</v>
      </c>
      <c r="K18" s="227">
        <v>0.0</v>
      </c>
      <c r="L18" s="227">
        <v>0.0</v>
      </c>
      <c r="M18" s="227">
        <v>0.0</v>
      </c>
      <c r="N18" s="227">
        <v>0.0</v>
      </c>
      <c r="O18" s="227">
        <v>0.0</v>
      </c>
      <c r="P18" s="227">
        <v>0.0</v>
      </c>
      <c r="Q18" s="227">
        <v>0.0</v>
      </c>
      <c r="R18" s="227">
        <v>0.0</v>
      </c>
      <c r="S18" s="227">
        <v>0.0</v>
      </c>
      <c r="T18" s="227">
        <v>0.0</v>
      </c>
      <c r="U18" s="227">
        <v>0.0</v>
      </c>
      <c r="V18" s="227">
        <v>0.0</v>
      </c>
      <c r="W18" s="228">
        <v>0.0</v>
      </c>
      <c r="X18" s="229">
        <v>75.1305092220285</v>
      </c>
      <c r="Y18" s="229">
        <v>56.8758265228118</v>
      </c>
      <c r="Z18" s="229">
        <v>17.364292596887015</v>
      </c>
      <c r="AA18" s="229">
        <v>62.17702383508749</v>
      </c>
      <c r="AB18" s="230">
        <v>66.32926285041935</v>
      </c>
      <c r="AC18" s="229">
        <v>53.935263355778226</v>
      </c>
      <c r="AD18" s="257">
        <v>9.48910193898094</v>
      </c>
      <c r="AE18" s="257">
        <v>47.919666590096405</v>
      </c>
      <c r="AF18" s="257">
        <v>26.250900483688447</v>
      </c>
      <c r="AG18" s="257">
        <v>31.126861654405104</v>
      </c>
      <c r="AH18" s="258">
        <v>23.564998902251755</v>
      </c>
      <c r="AI18" s="258">
        <f>'Calculo Gas'!AQ19</f>
        <v>52.73334388</v>
      </c>
      <c r="AJ18" s="258">
        <f>'Calculo Gas'!AS19</f>
        <v>37.50692398</v>
      </c>
      <c r="AK18" s="258">
        <f>'Calculo Gas'!AU19</f>
        <v>55.73676853</v>
      </c>
      <c r="AL18" s="258">
        <f>'Calculo Gas'!AW19</f>
        <v>59.34316981</v>
      </c>
      <c r="AM18" s="259">
        <f>'Calculo Gas'!AY19</f>
        <v>7.705098536</v>
      </c>
      <c r="AN18" s="233">
        <f>'Calculo Gas'!BA19</f>
        <v>25.0267078</v>
      </c>
      <c r="AO18" s="233">
        <f>'Calculo Gas'!BC19</f>
        <v>40.53622622</v>
      </c>
      <c r="AP18" s="233">
        <f>'Calculo Gas'!BE19</f>
        <v>62.40255621</v>
      </c>
      <c r="AQ18" s="233" t="str">
        <f>'Calculo Gas'!BG19</f>
        <v>0</v>
      </c>
      <c r="AR18" s="233" t="str">
        <f>'Calculo Gas'!BI19</f>
        <v>0</v>
      </c>
      <c r="AS18" s="233" t="str">
        <f>'Calculo Gas'!BK19</f>
        <v>0</v>
      </c>
      <c r="AT18" s="233" t="str">
        <f>'Calculo Gas'!BM19</f>
        <v>0</v>
      </c>
      <c r="AU18" s="233" t="str">
        <f>'Calculo Gas'!BO19</f>
        <v>0</v>
      </c>
      <c r="AV18" s="235">
        <f>IFERROR(__xludf.DUMMYFUNCTION("""COMPUTED_VALUE"""),-334.1)</f>
        <v>-334.1</v>
      </c>
      <c r="AW18" s="235">
        <f>IFERROR(__xludf.DUMMYFUNCTION("""COMPUTED_VALUE"""),-477.05)</f>
        <v>-477.05</v>
      </c>
      <c r="AX18" s="235"/>
      <c r="AY18" s="235">
        <f t="shared" si="2"/>
        <v>0.004502920152</v>
      </c>
      <c r="AZ18" s="235"/>
    </row>
    <row r="19" ht="12.75" customHeight="1">
      <c r="A19" s="224">
        <v>403.0</v>
      </c>
      <c r="B19" s="225" t="s">
        <v>336</v>
      </c>
      <c r="C19" s="226" t="s">
        <v>239</v>
      </c>
      <c r="D19" s="227">
        <v>0.0</v>
      </c>
      <c r="E19" s="227">
        <v>0.0</v>
      </c>
      <c r="F19" s="227">
        <v>0.0</v>
      </c>
      <c r="G19" s="227">
        <v>0.0</v>
      </c>
      <c r="H19" s="227">
        <v>0.0</v>
      </c>
      <c r="I19" s="227">
        <v>0.0</v>
      </c>
      <c r="J19" s="227">
        <v>0.0</v>
      </c>
      <c r="K19" s="227">
        <v>0.0</v>
      </c>
      <c r="L19" s="227">
        <v>0.0</v>
      </c>
      <c r="M19" s="227">
        <v>0.0</v>
      </c>
      <c r="N19" s="227">
        <v>0.0</v>
      </c>
      <c r="O19" s="227">
        <v>0.0</v>
      </c>
      <c r="P19" s="227">
        <v>0.0</v>
      </c>
      <c r="Q19" s="227">
        <v>0.0</v>
      </c>
      <c r="R19" s="227">
        <v>0.0</v>
      </c>
      <c r="S19" s="227">
        <v>0.0</v>
      </c>
      <c r="T19" s="227">
        <v>0.0</v>
      </c>
      <c r="U19" s="227">
        <v>0.0</v>
      </c>
      <c r="V19" s="227">
        <v>0.0</v>
      </c>
      <c r="W19" s="228">
        <v>0.0</v>
      </c>
      <c r="X19" s="229">
        <v>17.17569846169801</v>
      </c>
      <c r="Y19" s="229">
        <v>9.815449967293686</v>
      </c>
      <c r="Z19" s="229">
        <v>16.078048700821533</v>
      </c>
      <c r="AA19" s="229">
        <v>21.90423019111022</v>
      </c>
      <c r="AB19" s="230">
        <v>22.520859534531507</v>
      </c>
      <c r="AC19" s="229">
        <v>15.835936698909661</v>
      </c>
      <c r="AD19" s="231">
        <v>26.05941058017442</v>
      </c>
      <c r="AE19" s="231">
        <v>43.495028385784224</v>
      </c>
      <c r="AF19" s="231">
        <v>32.50385921580738</v>
      </c>
      <c r="AG19" s="231">
        <v>35.43597105090023</v>
      </c>
      <c r="AH19" s="232">
        <v>18.084388391513876</v>
      </c>
      <c r="AI19" s="232">
        <f>'Calculo Gas'!AQ20</f>
        <v>14.82875486</v>
      </c>
      <c r="AJ19" s="232">
        <f>'Calculo Gas'!AS20</f>
        <v>20.99867798</v>
      </c>
      <c r="AK19" s="232">
        <f>'Calculo Gas'!AU20</f>
        <v>15.13971771</v>
      </c>
      <c r="AL19" s="232">
        <f>'Calculo Gas'!AW20</f>
        <v>3.591726659</v>
      </c>
      <c r="AM19" s="233">
        <f>'Calculo Gas'!AY20</f>
        <v>16.70985225</v>
      </c>
      <c r="AN19" s="233">
        <f>'Calculo Gas'!BA20</f>
        <v>72.47116158</v>
      </c>
      <c r="AO19" s="233">
        <f>'Calculo Gas'!BC20</f>
        <v>89.83906698</v>
      </c>
      <c r="AP19" s="233">
        <f>'Calculo Gas'!BE20</f>
        <v>102.4335691</v>
      </c>
      <c r="AQ19" s="233" t="str">
        <f>'Calculo Gas'!BG20</f>
        <v>0</v>
      </c>
      <c r="AR19" s="233" t="str">
        <f>'Calculo Gas'!BI20</f>
        <v>0</v>
      </c>
      <c r="AS19" s="233" t="str">
        <f>'Calculo Gas'!BK20</f>
        <v>0</v>
      </c>
      <c r="AT19" s="233" t="str">
        <f>'Calculo Gas'!BM20</f>
        <v>0</v>
      </c>
      <c r="AU19" s="233" t="str">
        <f>'Calculo Gas'!BO20</f>
        <v>0</v>
      </c>
      <c r="AV19" s="235">
        <f>IFERROR(__xludf.DUMMYFUNCTION("""COMPUTED_VALUE"""),-128.79999999999998)</f>
        <v>-128.8</v>
      </c>
      <c r="AW19" s="235">
        <f>IFERROR(__xludf.DUMMYFUNCTION("""COMPUTED_VALUE"""),-364.68999999999994)</f>
        <v>-364.69</v>
      </c>
      <c r="AX19" s="235"/>
      <c r="AY19" s="235">
        <f t="shared" si="2"/>
        <v>101.4314083</v>
      </c>
      <c r="AZ19" s="235"/>
    </row>
    <row r="20" ht="12.75" customHeight="1">
      <c r="A20" s="224">
        <v>404.0</v>
      </c>
      <c r="B20" s="225" t="s">
        <v>337</v>
      </c>
      <c r="C20" s="226">
        <v>2034042.0</v>
      </c>
      <c r="D20" s="227">
        <v>0.0</v>
      </c>
      <c r="E20" s="227">
        <v>0.0</v>
      </c>
      <c r="F20" s="227">
        <v>0.0</v>
      </c>
      <c r="G20" s="227">
        <v>0.0</v>
      </c>
      <c r="H20" s="227">
        <v>0.0</v>
      </c>
      <c r="I20" s="227">
        <v>0.0</v>
      </c>
      <c r="J20" s="227">
        <v>0.0</v>
      </c>
      <c r="K20" s="227">
        <v>0.0</v>
      </c>
      <c r="L20" s="227">
        <v>0.0</v>
      </c>
      <c r="M20" s="227">
        <v>0.0</v>
      </c>
      <c r="N20" s="227">
        <v>0.0</v>
      </c>
      <c r="O20" s="227">
        <v>0.0</v>
      </c>
      <c r="P20" s="227">
        <v>0.0</v>
      </c>
      <c r="Q20" s="227">
        <v>0.0</v>
      </c>
      <c r="R20" s="227">
        <v>0.0</v>
      </c>
      <c r="S20" s="227">
        <v>0.0</v>
      </c>
      <c r="T20" s="227">
        <v>0.0</v>
      </c>
      <c r="U20" s="227">
        <v>0.0</v>
      </c>
      <c r="V20" s="227">
        <v>0.0</v>
      </c>
      <c r="W20" s="228">
        <v>0.0</v>
      </c>
      <c r="X20" s="229">
        <v>0.0</v>
      </c>
      <c r="Y20" s="229">
        <v>3.2269972495213453</v>
      </c>
      <c r="Z20" s="229">
        <v>0.0</v>
      </c>
      <c r="AA20" s="229">
        <v>0.0</v>
      </c>
      <c r="AB20" s="230">
        <v>1.6701150824238409</v>
      </c>
      <c r="AC20" s="229">
        <v>26.074580442287402</v>
      </c>
      <c r="AD20" s="231">
        <v>40.00810547246027</v>
      </c>
      <c r="AE20" s="231">
        <v>6.567387523381474</v>
      </c>
      <c r="AF20" s="231">
        <v>0.0</v>
      </c>
      <c r="AG20" s="231">
        <v>0.0</v>
      </c>
      <c r="AH20" s="232">
        <v>0.0</v>
      </c>
      <c r="AI20" s="232">
        <f>'Calculo Gas'!AQ21</f>
        <v>0</v>
      </c>
      <c r="AJ20" s="232">
        <f>'Calculo Gas'!AS21</f>
        <v>0</v>
      </c>
      <c r="AK20" s="232">
        <f>'Calculo Gas'!AU21</f>
        <v>61.26835721</v>
      </c>
      <c r="AL20" s="232">
        <f>'Calculo Gas'!AW21</f>
        <v>56.8547039</v>
      </c>
      <c r="AM20" s="233">
        <f>'Calculo Gas'!AY21</f>
        <v>33.52414107</v>
      </c>
      <c r="AN20" s="233">
        <f>'Calculo Gas'!BA21</f>
        <v>69.94502395</v>
      </c>
      <c r="AO20" s="233">
        <f>'Calculo Gas'!BC21</f>
        <v>3.087047172</v>
      </c>
      <c r="AP20" s="233">
        <f>'Calculo Gas'!BE21</f>
        <v>0</v>
      </c>
      <c r="AQ20" s="233" t="str">
        <f>'Calculo Gas'!BG21</f>
        <v>0</v>
      </c>
      <c r="AR20" s="233" t="str">
        <f>'Calculo Gas'!BI21</f>
        <v>0</v>
      </c>
      <c r="AS20" s="233" t="str">
        <f>'Calculo Gas'!BK21</f>
        <v>0</v>
      </c>
      <c r="AT20" s="233" t="str">
        <f>'Calculo Gas'!BM21</f>
        <v>0</v>
      </c>
      <c r="AU20" s="233" t="str">
        <f>'Calculo Gas'!BO21</f>
        <v>0</v>
      </c>
      <c r="AV20" s="235">
        <f>IFERROR(__xludf.DUMMYFUNCTION("""COMPUTED_VALUE"""),-27.8)</f>
        <v>-27.8</v>
      </c>
      <c r="AW20" s="235">
        <f>IFERROR(__xludf.DUMMYFUNCTION("""COMPUTED_VALUE"""),-274.43)</f>
        <v>-274.43</v>
      </c>
      <c r="AX20" s="235"/>
      <c r="AY20" s="235">
        <f t="shared" si="2"/>
        <v>-0.003540931169</v>
      </c>
      <c r="AZ20" s="235"/>
    </row>
    <row r="21" ht="12.75" customHeight="1">
      <c r="A21" s="237">
        <v>405.0</v>
      </c>
      <c r="B21" s="238" t="s">
        <v>342</v>
      </c>
      <c r="C21" s="239">
        <v>2034046.0</v>
      </c>
      <c r="D21" s="240">
        <v>0.0</v>
      </c>
      <c r="E21" s="240">
        <v>0.0</v>
      </c>
      <c r="F21" s="240">
        <v>0.0</v>
      </c>
      <c r="G21" s="240">
        <v>0.0</v>
      </c>
      <c r="H21" s="240">
        <v>0.0</v>
      </c>
      <c r="I21" s="240">
        <v>0.0</v>
      </c>
      <c r="J21" s="240">
        <v>0.0</v>
      </c>
      <c r="K21" s="240">
        <v>0.0</v>
      </c>
      <c r="L21" s="240">
        <v>0.0</v>
      </c>
      <c r="M21" s="240">
        <v>0.0</v>
      </c>
      <c r="N21" s="240">
        <v>0.0</v>
      </c>
      <c r="O21" s="240">
        <v>0.0</v>
      </c>
      <c r="P21" s="240">
        <v>0.0</v>
      </c>
      <c r="Q21" s="240">
        <v>0.0</v>
      </c>
      <c r="R21" s="240">
        <v>0.0</v>
      </c>
      <c r="S21" s="240">
        <v>0.0</v>
      </c>
      <c r="T21" s="240">
        <v>0.0</v>
      </c>
      <c r="U21" s="240">
        <v>0.0</v>
      </c>
      <c r="V21" s="240">
        <v>0.0</v>
      </c>
      <c r="W21" s="242">
        <v>0.0</v>
      </c>
      <c r="X21" s="243">
        <v>0.0</v>
      </c>
      <c r="Y21" s="243">
        <v>0.0</v>
      </c>
      <c r="Z21" s="243">
        <v>0.0</v>
      </c>
      <c r="AA21" s="243">
        <v>0.0</v>
      </c>
      <c r="AB21" s="244">
        <v>0.0</v>
      </c>
      <c r="AC21" s="243">
        <v>0.0</v>
      </c>
      <c r="AD21" s="245">
        <v>0.0</v>
      </c>
      <c r="AE21" s="245">
        <v>0.08348373970400347</v>
      </c>
      <c r="AF21" s="245">
        <v>0.0</v>
      </c>
      <c r="AG21" s="245">
        <v>0.0</v>
      </c>
      <c r="AH21" s="246">
        <v>0.0</v>
      </c>
      <c r="AI21" s="246">
        <f>'Calculo Gas'!AQ22</f>
        <v>0</v>
      </c>
      <c r="AJ21" s="246">
        <f>'Calculo Gas'!AS22</f>
        <v>0</v>
      </c>
      <c r="AK21" s="246">
        <f>'Calculo Gas'!AU22</f>
        <v>0</v>
      </c>
      <c r="AL21" s="246">
        <f>'Calculo Gas'!AW22</f>
        <v>0</v>
      </c>
      <c r="AM21" s="247">
        <f>'Calculo Gas'!AY22</f>
        <v>0</v>
      </c>
      <c r="AN21" s="247">
        <f>'Calculo Gas'!BA22</f>
        <v>0</v>
      </c>
      <c r="AO21" s="247">
        <f>'Calculo Gas'!BC22</f>
        <v>0</v>
      </c>
      <c r="AP21" s="247">
        <f>'Calculo Gas'!BE22</f>
        <v>0</v>
      </c>
      <c r="AQ21" s="247" t="str">
        <f>'Calculo Gas'!BG22</f>
        <v>0</v>
      </c>
      <c r="AR21" s="247" t="str">
        <f>'Calculo Gas'!BI22</f>
        <v>0</v>
      </c>
      <c r="AS21" s="247" t="str">
        <f>'Calculo Gas'!BK22</f>
        <v>0</v>
      </c>
      <c r="AT21" s="247" t="str">
        <f>'Calculo Gas'!BM22</f>
        <v>0</v>
      </c>
      <c r="AU21" s="247" t="str">
        <f>'Calculo Gas'!BO22</f>
        <v>0</v>
      </c>
      <c r="AV21" s="248">
        <f>IFERROR(__xludf.DUMMYFUNCTION("""COMPUTED_VALUE"""),0.0)</f>
        <v>0</v>
      </c>
      <c r="AW21" s="248">
        <f>IFERROR(__xludf.DUMMYFUNCTION("""COMPUTED_VALUE"""),-0.08)</f>
        <v>-0.08</v>
      </c>
      <c r="AX21" s="248"/>
      <c r="AY21" s="235">
        <f t="shared" si="2"/>
        <v>0.003483739704</v>
      </c>
      <c r="AZ21" s="248"/>
    </row>
    <row r="22" ht="12.75" customHeight="1">
      <c r="A22" s="237">
        <v>406.0</v>
      </c>
      <c r="B22" s="238" t="s">
        <v>343</v>
      </c>
      <c r="C22" s="239">
        <v>2034035.0</v>
      </c>
      <c r="D22" s="240">
        <v>0.0</v>
      </c>
      <c r="E22" s="240">
        <v>0.0</v>
      </c>
      <c r="F22" s="240">
        <v>0.0</v>
      </c>
      <c r="G22" s="240">
        <v>0.0</v>
      </c>
      <c r="H22" s="240">
        <v>0.0</v>
      </c>
      <c r="I22" s="240">
        <v>0.0</v>
      </c>
      <c r="J22" s="240">
        <v>0.0</v>
      </c>
      <c r="K22" s="240">
        <v>0.0</v>
      </c>
      <c r="L22" s="240">
        <v>0.0</v>
      </c>
      <c r="M22" s="240">
        <v>0.0</v>
      </c>
      <c r="N22" s="240">
        <v>0.0</v>
      </c>
      <c r="O22" s="240">
        <v>0.0</v>
      </c>
      <c r="P22" s="240">
        <v>0.0</v>
      </c>
      <c r="Q22" s="240">
        <v>0.0</v>
      </c>
      <c r="R22" s="240">
        <v>0.0</v>
      </c>
      <c r="S22" s="240">
        <v>0.0</v>
      </c>
      <c r="T22" s="240">
        <v>0.0</v>
      </c>
      <c r="U22" s="240">
        <v>0.0</v>
      </c>
      <c r="V22" s="240">
        <v>0.0</v>
      </c>
      <c r="W22" s="242">
        <v>0.0</v>
      </c>
      <c r="X22" s="243">
        <v>0.0</v>
      </c>
      <c r="Y22" s="243">
        <v>0.0</v>
      </c>
      <c r="Z22" s="243">
        <v>0.0</v>
      </c>
      <c r="AA22" s="243">
        <v>0.0</v>
      </c>
      <c r="AB22" s="244">
        <v>0.0</v>
      </c>
      <c r="AC22" s="243">
        <v>0.0</v>
      </c>
      <c r="AD22" s="245">
        <v>0.0</v>
      </c>
      <c r="AE22" s="245">
        <v>0.23653726249461057</v>
      </c>
      <c r="AF22" s="245">
        <v>0.028815478028335624</v>
      </c>
      <c r="AG22" s="245">
        <v>0.02978647048282662</v>
      </c>
      <c r="AH22" s="246">
        <v>0.032525878401696615</v>
      </c>
      <c r="AI22" s="246">
        <f>'Calculo Gas'!AQ23</f>
        <v>0.02664645977</v>
      </c>
      <c r="AJ22" s="246">
        <f>'Calculo Gas'!AS23</f>
        <v>0.02363385254</v>
      </c>
      <c r="AK22" s="246">
        <f>'Calculo Gas'!AU23</f>
        <v>0.02405038556</v>
      </c>
      <c r="AL22" s="246">
        <f>'Calculo Gas'!AW23</f>
        <v>0.01225845276</v>
      </c>
      <c r="AM22" s="247">
        <f>'Calculo Gas'!AY23</f>
        <v>0</v>
      </c>
      <c r="AN22" s="247">
        <f>'Calculo Gas'!BA23</f>
        <v>0</v>
      </c>
      <c r="AO22" s="247">
        <f>'Calculo Gas'!BC23</f>
        <v>0.07492832942</v>
      </c>
      <c r="AP22" s="247">
        <f>'Calculo Gas'!BE23</f>
        <v>0.04323003548</v>
      </c>
      <c r="AQ22" s="247" t="str">
        <f>'Calculo Gas'!BG23</f>
        <v>0</v>
      </c>
      <c r="AR22" s="247" t="str">
        <f>'Calculo Gas'!BI23</f>
        <v>0</v>
      </c>
      <c r="AS22" s="247" t="str">
        <f>'Calculo Gas'!BK23</f>
        <v>0</v>
      </c>
      <c r="AT22" s="247" t="str">
        <f>'Calculo Gas'!BM23</f>
        <v>0</v>
      </c>
      <c r="AU22" s="247" t="str">
        <f>'Calculo Gas'!BO23</f>
        <v>0</v>
      </c>
      <c r="AV22" s="248">
        <f>IFERROR(__xludf.DUMMYFUNCTION("""COMPUTED_VALUE"""),0.0)</f>
        <v>0</v>
      </c>
      <c r="AW22" s="248">
        <f>IFERROR(__xludf.DUMMYFUNCTION("""COMPUTED_VALUE"""),-0.41)</f>
        <v>-0.41</v>
      </c>
      <c r="AX22" s="248"/>
      <c r="AY22" s="235">
        <f t="shared" si="2"/>
        <v>0.1224126049</v>
      </c>
      <c r="AZ22" s="248"/>
    </row>
    <row r="23" ht="12.75" customHeight="1">
      <c r="A23" s="237">
        <v>501.0</v>
      </c>
      <c r="B23" s="238" t="s">
        <v>347</v>
      </c>
      <c r="C23" s="239" t="s">
        <v>241</v>
      </c>
      <c r="D23" s="240">
        <v>0.0</v>
      </c>
      <c r="E23" s="240">
        <v>0.0</v>
      </c>
      <c r="F23" s="240">
        <v>0.0</v>
      </c>
      <c r="G23" s="240">
        <v>0.0</v>
      </c>
      <c r="H23" s="240">
        <v>0.0</v>
      </c>
      <c r="I23" s="240">
        <v>0.0</v>
      </c>
      <c r="J23" s="240">
        <v>0.0</v>
      </c>
      <c r="K23" s="240">
        <v>0.0</v>
      </c>
      <c r="L23" s="240">
        <v>0.0</v>
      </c>
      <c r="M23" s="240">
        <v>0.0</v>
      </c>
      <c r="N23" s="240">
        <v>0.0</v>
      </c>
      <c r="O23" s="240">
        <v>0.0</v>
      </c>
      <c r="P23" s="240">
        <v>0.0</v>
      </c>
      <c r="Q23" s="240">
        <v>0.0</v>
      </c>
      <c r="R23" s="240">
        <v>0.0</v>
      </c>
      <c r="S23" s="240">
        <v>0.0</v>
      </c>
      <c r="T23" s="240">
        <v>0.0</v>
      </c>
      <c r="U23" s="240">
        <v>0.0</v>
      </c>
      <c r="V23" s="240">
        <v>0.0</v>
      </c>
      <c r="W23" s="242">
        <v>0.0</v>
      </c>
      <c r="X23" s="243">
        <v>0.0</v>
      </c>
      <c r="Y23" s="243">
        <v>0.0</v>
      </c>
      <c r="Z23" s="243">
        <v>0.0</v>
      </c>
      <c r="AA23" s="243">
        <v>0.0</v>
      </c>
      <c r="AB23" s="244">
        <v>0.0</v>
      </c>
      <c r="AC23" s="243">
        <v>0.0</v>
      </c>
      <c r="AD23" s="245">
        <v>0.014247900809348792</v>
      </c>
      <c r="AE23" s="245">
        <v>0.0</v>
      </c>
      <c r="AF23" s="245">
        <v>0.0</v>
      </c>
      <c r="AG23" s="245">
        <v>0.0</v>
      </c>
      <c r="AH23" s="246">
        <v>0.0</v>
      </c>
      <c r="AI23" s="246">
        <f>'Calculo Gas'!AQ24</f>
        <v>0</v>
      </c>
      <c r="AJ23" s="246">
        <f>'Calculo Gas'!AS24</f>
        <v>0</v>
      </c>
      <c r="AK23" s="246">
        <f>'Calculo Gas'!AU24</f>
        <v>0.01202519278</v>
      </c>
      <c r="AL23" s="246">
        <f>'Calculo Gas'!AW24</f>
        <v>0</v>
      </c>
      <c r="AM23" s="247">
        <f>'Calculo Gas'!AY24</f>
        <v>0</v>
      </c>
      <c r="AN23" s="247">
        <f>'Calculo Gas'!BA24</f>
        <v>0</v>
      </c>
      <c r="AO23" s="247">
        <f>'Calculo Gas'!BC24</f>
        <v>0</v>
      </c>
      <c r="AP23" s="247">
        <f>'Calculo Gas'!BE24</f>
        <v>0</v>
      </c>
      <c r="AQ23" s="247" t="str">
        <f>'Calculo Gas'!BG24</f>
        <v>0</v>
      </c>
      <c r="AR23" s="247" t="str">
        <f>'Calculo Gas'!BI24</f>
        <v>0</v>
      </c>
      <c r="AS23" s="247" t="str">
        <f>'Calculo Gas'!BK24</f>
        <v>0</v>
      </c>
      <c r="AT23" s="247" t="str">
        <f>'Calculo Gas'!BM24</f>
        <v>0</v>
      </c>
      <c r="AU23" s="247" t="str">
        <f>'Calculo Gas'!BO24</f>
        <v>0</v>
      </c>
      <c r="AV23" s="248">
        <f>IFERROR(__xludf.DUMMYFUNCTION("""COMPUTED_VALUE"""),0.0)</f>
        <v>0</v>
      </c>
      <c r="AW23" s="248">
        <f>IFERROR(__xludf.DUMMYFUNCTION("""COMPUTED_VALUE"""),-0.03)</f>
        <v>-0.03</v>
      </c>
      <c r="AX23" s="248"/>
      <c r="AY23" s="235">
        <f t="shared" si="2"/>
        <v>-0.003726906412</v>
      </c>
      <c r="AZ23" s="248"/>
    </row>
    <row r="24" ht="12.75" customHeight="1">
      <c r="A24" s="224">
        <v>502.0</v>
      </c>
      <c r="B24" s="225" t="s">
        <v>351</v>
      </c>
      <c r="C24" s="226">
        <v>2034055.0</v>
      </c>
      <c r="D24" s="227">
        <v>0.0</v>
      </c>
      <c r="E24" s="227">
        <v>0.0</v>
      </c>
      <c r="F24" s="227">
        <v>0.0</v>
      </c>
      <c r="G24" s="227">
        <v>0.0</v>
      </c>
      <c r="H24" s="227">
        <v>0.0</v>
      </c>
      <c r="I24" s="227">
        <v>0.0</v>
      </c>
      <c r="J24" s="227">
        <v>0.0</v>
      </c>
      <c r="K24" s="227">
        <v>0.0</v>
      </c>
      <c r="L24" s="227">
        <v>0.0</v>
      </c>
      <c r="M24" s="227">
        <v>0.0</v>
      </c>
      <c r="N24" s="227">
        <v>0.0</v>
      </c>
      <c r="O24" s="227">
        <v>0.0</v>
      </c>
      <c r="P24" s="227">
        <v>0.0</v>
      </c>
      <c r="Q24" s="227">
        <v>0.0</v>
      </c>
      <c r="R24" s="227">
        <v>0.0</v>
      </c>
      <c r="S24" s="227">
        <v>0.0</v>
      </c>
      <c r="T24" s="227">
        <v>0.0</v>
      </c>
      <c r="U24" s="227">
        <v>0.0</v>
      </c>
      <c r="V24" s="227">
        <v>0.0</v>
      </c>
      <c r="W24" s="228">
        <v>0.0</v>
      </c>
      <c r="X24" s="229">
        <v>61.344289086616975</v>
      </c>
      <c r="Y24" s="229">
        <v>27.661722635100546</v>
      </c>
      <c r="Z24" s="229">
        <v>7.050072675605368</v>
      </c>
      <c r="AA24" s="229">
        <v>29.468584925918112</v>
      </c>
      <c r="AB24" s="230">
        <v>24.704856180778165</v>
      </c>
      <c r="AC24" s="229">
        <v>40.778480363673516</v>
      </c>
      <c r="AD24" s="231">
        <v>26.729061918210775</v>
      </c>
      <c r="AE24" s="231">
        <v>8.835362452006573</v>
      </c>
      <c r="AF24" s="231">
        <v>9.134506534938986</v>
      </c>
      <c r="AG24" s="231">
        <v>0.10921705843646655</v>
      </c>
      <c r="AH24" s="232">
        <v>2.4557038193514367</v>
      </c>
      <c r="AI24" s="232">
        <f>'Calculo Gas'!AQ25</f>
        <v>9.832543654</v>
      </c>
      <c r="AJ24" s="232">
        <f>'Calculo Gas'!AS25</f>
        <v>4.632235098</v>
      </c>
      <c r="AK24" s="232">
        <f>'Calculo Gas'!AU25</f>
        <v>2.368962977</v>
      </c>
      <c r="AL24" s="232">
        <f>'Calculo Gas'!AW25</f>
        <v>1.238103729</v>
      </c>
      <c r="AM24" s="233">
        <f>'Calculo Gas'!AY25</f>
        <v>4.920123161</v>
      </c>
      <c r="AN24" s="233">
        <f>'Calculo Gas'!BA25</f>
        <v>0.3312967386</v>
      </c>
      <c r="AO24" s="233">
        <f>'Calculo Gas'!BC25</f>
        <v>0.7942402919</v>
      </c>
      <c r="AP24" s="233">
        <f>'Calculo Gas'!BE25</f>
        <v>0</v>
      </c>
      <c r="AQ24" s="233" t="str">
        <f>'Calculo Gas'!BG25</f>
        <v>0</v>
      </c>
      <c r="AR24" s="233" t="str">
        <f>'Calculo Gas'!BI25</f>
        <v>0</v>
      </c>
      <c r="AS24" s="233" t="str">
        <f>'Calculo Gas'!BK25</f>
        <v>0</v>
      </c>
      <c r="AT24" s="233" t="str">
        <f>'Calculo Gas'!BM25</f>
        <v>0</v>
      </c>
      <c r="AU24" s="233" t="str">
        <f>'Calculo Gas'!BO25</f>
        <v>0</v>
      </c>
      <c r="AV24" s="235">
        <f>IFERROR(__xludf.DUMMYFUNCTION("""COMPUTED_VALUE"""),-243.22)</f>
        <v>-243.22</v>
      </c>
      <c r="AW24" s="235">
        <f>IFERROR(__xludf.DUMMYFUNCTION("""COMPUTED_VALUE"""),-18.38)</f>
        <v>-18.38</v>
      </c>
      <c r="AX24" s="235"/>
      <c r="AY24" s="235">
        <f t="shared" si="2"/>
        <v>0.7893633009</v>
      </c>
      <c r="AZ24" s="235"/>
    </row>
    <row r="25" ht="12.75" customHeight="1">
      <c r="A25" s="224">
        <v>503.0</v>
      </c>
      <c r="B25" s="225" t="s">
        <v>352</v>
      </c>
      <c r="C25" s="226">
        <v>2034083.0</v>
      </c>
      <c r="D25" s="227">
        <v>0.0</v>
      </c>
      <c r="E25" s="227">
        <v>0.0</v>
      </c>
      <c r="F25" s="227">
        <v>0.0</v>
      </c>
      <c r="G25" s="227">
        <v>0.0</v>
      </c>
      <c r="H25" s="227">
        <v>0.0</v>
      </c>
      <c r="I25" s="227">
        <v>0.0</v>
      </c>
      <c r="J25" s="227">
        <v>0.0</v>
      </c>
      <c r="K25" s="227">
        <v>0.0</v>
      </c>
      <c r="L25" s="227">
        <v>0.0</v>
      </c>
      <c r="M25" s="227">
        <v>0.0</v>
      </c>
      <c r="N25" s="227">
        <v>0.0</v>
      </c>
      <c r="O25" s="227">
        <v>0.0</v>
      </c>
      <c r="P25" s="227">
        <v>0.0</v>
      </c>
      <c r="Q25" s="227">
        <v>0.0</v>
      </c>
      <c r="R25" s="227">
        <v>0.0</v>
      </c>
      <c r="S25" s="227">
        <v>0.0</v>
      </c>
      <c r="T25" s="227">
        <v>0.0</v>
      </c>
      <c r="U25" s="227">
        <v>0.0</v>
      </c>
      <c r="V25" s="227">
        <v>0.0</v>
      </c>
      <c r="W25" s="228">
        <v>0.0</v>
      </c>
      <c r="X25" s="229">
        <v>5.057874393628583</v>
      </c>
      <c r="Y25" s="229">
        <v>13.164681961115313</v>
      </c>
      <c r="Z25" s="229">
        <v>10.350623050415413</v>
      </c>
      <c r="AA25" s="229">
        <v>13.367919261327186</v>
      </c>
      <c r="AB25" s="230">
        <v>26.040948246717093</v>
      </c>
      <c r="AC25" s="229">
        <v>8.301603035171025</v>
      </c>
      <c r="AD25" s="231">
        <v>45.08035816056455</v>
      </c>
      <c r="AE25" s="231">
        <v>36.24585698815332</v>
      </c>
      <c r="AF25" s="231">
        <v>18.71565297931472</v>
      </c>
      <c r="AG25" s="231">
        <v>9.928823494228132</v>
      </c>
      <c r="AH25" s="232">
        <v>47.29262719651338</v>
      </c>
      <c r="AI25" s="232">
        <f>'Calculo Gas'!AQ26</f>
        <v>13.36319957</v>
      </c>
      <c r="AJ25" s="232">
        <f>'Calculo Gas'!AS26</f>
        <v>20.88050872</v>
      </c>
      <c r="AK25" s="232">
        <f>'Calculo Gas'!AU26</f>
        <v>24.78392232</v>
      </c>
      <c r="AL25" s="232">
        <f>'Calculo Gas'!AW26</f>
        <v>5.356943856</v>
      </c>
      <c r="AM25" s="233">
        <f>'Calculo Gas'!AY26</f>
        <v>8.784276493</v>
      </c>
      <c r="AN25" s="233">
        <f>'Calculo Gas'!BA26</f>
        <v>21.76895654</v>
      </c>
      <c r="AO25" s="233">
        <f>'Calculo Gas'!BC26</f>
        <v>19.34649466</v>
      </c>
      <c r="AP25" s="233">
        <f>'Calculo Gas'!BE26</f>
        <v>50.70883161</v>
      </c>
      <c r="AQ25" s="233" t="str">
        <f>'Calculo Gas'!BG26</f>
        <v>0</v>
      </c>
      <c r="AR25" s="233" t="str">
        <f>'Calculo Gas'!BI26</f>
        <v>0</v>
      </c>
      <c r="AS25" s="233" t="str">
        <f>'Calculo Gas'!BK26</f>
        <v>0</v>
      </c>
      <c r="AT25" s="233" t="str">
        <f>'Calculo Gas'!BM26</f>
        <v>0</v>
      </c>
      <c r="AU25" s="233" t="str">
        <f>'Calculo Gas'!BO26</f>
        <v>0</v>
      </c>
      <c r="AV25" s="235">
        <f>IFERROR(__xludf.DUMMYFUNCTION("""COMPUTED_VALUE"""),-8.3)</f>
        <v>-8.3</v>
      </c>
      <c r="AW25" s="235">
        <f>IFERROR(__xludf.DUMMYFUNCTION("""COMPUTED_VALUE"""),-390.24)</f>
        <v>-390.24</v>
      </c>
      <c r="AX25" s="235"/>
      <c r="AY25" s="235">
        <f t="shared" si="2"/>
        <v>0.0001025331266</v>
      </c>
      <c r="AZ25" s="235"/>
    </row>
    <row r="26" ht="12.75" customHeight="1">
      <c r="A26" s="224">
        <v>504.0</v>
      </c>
      <c r="B26" s="225" t="s">
        <v>356</v>
      </c>
      <c r="C26" s="226">
        <v>2034037.0</v>
      </c>
      <c r="D26" s="227">
        <v>0.0</v>
      </c>
      <c r="E26" s="227">
        <v>0.0</v>
      </c>
      <c r="F26" s="227">
        <v>0.0</v>
      </c>
      <c r="G26" s="253">
        <v>0.0</v>
      </c>
      <c r="H26" s="227">
        <v>0.0</v>
      </c>
      <c r="I26" s="227">
        <v>0.0</v>
      </c>
      <c r="J26" s="227">
        <v>0.0</v>
      </c>
      <c r="K26" s="227">
        <v>0.0</v>
      </c>
      <c r="L26" s="227">
        <v>0.0</v>
      </c>
      <c r="M26" s="227">
        <v>0.0</v>
      </c>
      <c r="N26" s="227">
        <v>0.0</v>
      </c>
      <c r="O26" s="227">
        <v>0.0</v>
      </c>
      <c r="P26" s="227">
        <v>0.0</v>
      </c>
      <c r="Q26" s="227">
        <v>0.0</v>
      </c>
      <c r="R26" s="227">
        <v>0.0</v>
      </c>
      <c r="S26" s="227">
        <v>0.0</v>
      </c>
      <c r="T26" s="227">
        <v>0.0</v>
      </c>
      <c r="U26" s="227">
        <v>0.0</v>
      </c>
      <c r="V26" s="227">
        <v>0.0</v>
      </c>
      <c r="W26" s="228">
        <v>0.0</v>
      </c>
      <c r="X26" s="229">
        <v>36.45884458740814</v>
      </c>
      <c r="Y26" s="229">
        <v>25.204804274669698</v>
      </c>
      <c r="Z26" s="229">
        <v>11.636866946481067</v>
      </c>
      <c r="AA26" s="229">
        <v>22.94661799441724</v>
      </c>
      <c r="AB26" s="230">
        <v>30.074918522725863</v>
      </c>
      <c r="AC26" s="229">
        <v>19.710018115322555</v>
      </c>
      <c r="AD26" s="231">
        <v>22.354956369761755</v>
      </c>
      <c r="AE26" s="231">
        <v>17.921176123125154</v>
      </c>
      <c r="AF26" s="231">
        <v>33.253061644540836</v>
      </c>
      <c r="AG26" s="231">
        <v>20.115796399306298</v>
      </c>
      <c r="AH26" s="232">
        <v>20.475040454060533</v>
      </c>
      <c r="AI26" s="232">
        <f>'Calculo Gas'!AQ27</f>
        <v>15.04192654</v>
      </c>
      <c r="AJ26" s="232">
        <f>'Calculo Gas'!AS27</f>
        <v>4.065022637</v>
      </c>
      <c r="AK26" s="232">
        <f>'Calculo Gas'!AU27</f>
        <v>38.64896959</v>
      </c>
      <c r="AL26" s="232">
        <f>'Calculo Gas'!AW27</f>
        <v>22.20005795</v>
      </c>
      <c r="AM26" s="233">
        <f>'Calculo Gas'!AY27</f>
        <v>22.46546802</v>
      </c>
      <c r="AN26" s="233">
        <f>'Calculo Gas'!BA27</f>
        <v>35.7938518</v>
      </c>
      <c r="AO26" s="233">
        <f>'Calculo Gas'!BC27</f>
        <v>25.92520198</v>
      </c>
      <c r="AP26" s="233">
        <f>'Calculo Gas'!BE27</f>
        <v>33.2655123</v>
      </c>
      <c r="AQ26" s="233" t="str">
        <f>'Calculo Gas'!BG27</f>
        <v>0</v>
      </c>
      <c r="AR26" s="233" t="str">
        <f>'Calculo Gas'!BI27</f>
        <v>0</v>
      </c>
      <c r="AS26" s="233" t="str">
        <f>'Calculo Gas'!BK27</f>
        <v>0</v>
      </c>
      <c r="AT26" s="233" t="str">
        <f>'Calculo Gas'!BM27</f>
        <v>0</v>
      </c>
      <c r="AU26" s="233" t="str">
        <f>'Calculo Gas'!BO27</f>
        <v>0</v>
      </c>
      <c r="AV26" s="235">
        <f>IFERROR(__xludf.DUMMYFUNCTION("""COMPUTED_VALUE"""),-109.5)</f>
        <v>-109.5</v>
      </c>
      <c r="AW26" s="235">
        <f>IFERROR(__xludf.DUMMYFUNCTION("""COMPUTED_VALUE"""),-314.79)</f>
        <v>-314.79</v>
      </c>
      <c r="AX26" s="235"/>
      <c r="AY26" s="235">
        <f t="shared" si="2"/>
        <v>33.26811225</v>
      </c>
      <c r="AZ26" s="235"/>
    </row>
    <row r="27" ht="12.75" customHeight="1">
      <c r="A27" s="224">
        <v>505.0</v>
      </c>
      <c r="B27" s="225" t="s">
        <v>358</v>
      </c>
      <c r="C27" s="226">
        <v>2034047.0</v>
      </c>
      <c r="D27" s="227">
        <v>0.0</v>
      </c>
      <c r="E27" s="227">
        <v>0.0</v>
      </c>
      <c r="F27" s="227">
        <v>0.0</v>
      </c>
      <c r="G27" s="227">
        <v>0.0</v>
      </c>
      <c r="H27" s="227">
        <v>0.0</v>
      </c>
      <c r="I27" s="227">
        <v>0.0</v>
      </c>
      <c r="J27" s="227">
        <v>0.0</v>
      </c>
      <c r="K27" s="227">
        <v>0.0</v>
      </c>
      <c r="L27" s="227">
        <v>0.0</v>
      </c>
      <c r="M27" s="227">
        <v>0.0</v>
      </c>
      <c r="N27" s="227">
        <v>0.0</v>
      </c>
      <c r="O27" s="227">
        <v>0.0</v>
      </c>
      <c r="P27" s="227">
        <v>0.0</v>
      </c>
      <c r="Q27" s="227">
        <v>0.0</v>
      </c>
      <c r="R27" s="227">
        <v>0.0</v>
      </c>
      <c r="S27" s="227">
        <v>0.0</v>
      </c>
      <c r="T27" s="227">
        <v>0.0</v>
      </c>
      <c r="U27" s="227">
        <v>0.0</v>
      </c>
      <c r="V27" s="227">
        <v>0.0</v>
      </c>
      <c r="W27" s="228">
        <v>0.0</v>
      </c>
      <c r="X27" s="229">
        <v>73.91872681522227</v>
      </c>
      <c r="Y27" s="229">
        <v>54.1377682504902</v>
      </c>
      <c r="Z27" s="229">
        <v>56.78888144893942</v>
      </c>
      <c r="AA27" s="229">
        <v>80.29203349795978</v>
      </c>
      <c r="AB27" s="230">
        <v>77.3905635117044</v>
      </c>
      <c r="AC27" s="229">
        <v>65.24305294459458</v>
      </c>
      <c r="AD27" s="231">
        <v>99.39335604554257</v>
      </c>
      <c r="AE27" s="231">
        <v>84.49945853706535</v>
      </c>
      <c r="AF27" s="231">
        <v>86.67695790881996</v>
      </c>
      <c r="AG27" s="231">
        <v>67.55571505472794</v>
      </c>
      <c r="AH27" s="232">
        <v>75.55761552785536</v>
      </c>
      <c r="AI27" s="232">
        <f>'Calculo Gas'!AQ28</f>
        <v>69.02765403</v>
      </c>
      <c r="AJ27" s="232">
        <f>'Calculo Gas'!AS28</f>
        <v>68.07731224</v>
      </c>
      <c r="AK27" s="232">
        <f>'Calculo Gas'!AU28</f>
        <v>62.20632225</v>
      </c>
      <c r="AL27" s="232">
        <f>'Calculo Gas'!AW28</f>
        <v>57.2714913</v>
      </c>
      <c r="AM27" s="233">
        <f>'Calculo Gas'!AY28</f>
        <v>58.13636094</v>
      </c>
      <c r="AN27" s="233">
        <f>'Calculo Gas'!BA28</f>
        <v>70.31773278</v>
      </c>
      <c r="AO27" s="233">
        <f>'Calculo Gas'!BC28</f>
        <v>69.92311702</v>
      </c>
      <c r="AP27" s="233">
        <f>'Calculo Gas'!BE28</f>
        <v>99.60200174</v>
      </c>
      <c r="AQ27" s="233" t="str">
        <f>'Calculo Gas'!BG28</f>
        <v>0</v>
      </c>
      <c r="AR27" s="233" t="str">
        <f>'Calculo Gas'!BI28</f>
        <v>0</v>
      </c>
      <c r="AS27" s="233" t="str">
        <f>'Calculo Gas'!BK28</f>
        <v>0</v>
      </c>
      <c r="AT27" s="233" t="str">
        <f>'Calculo Gas'!BM28</f>
        <v>0</v>
      </c>
      <c r="AU27" s="233" t="str">
        <f>'Calculo Gas'!BO28</f>
        <v>0</v>
      </c>
      <c r="AV27" s="235">
        <f>IFERROR(__xludf.DUMMYFUNCTION("""COMPUTED_VALUE"""),-507.24)</f>
        <v>-507.24</v>
      </c>
      <c r="AW27" s="235">
        <f>IFERROR(__xludf.DUMMYFUNCTION("""COMPUTED_VALUE"""),-769.17)</f>
        <v>-769.17</v>
      </c>
      <c r="AX27" s="235"/>
      <c r="AY27" s="235">
        <f t="shared" si="2"/>
        <v>99.60612183</v>
      </c>
      <c r="AZ27" s="235"/>
    </row>
    <row r="28" ht="12.75" customHeight="1">
      <c r="A28" s="224">
        <v>506.0</v>
      </c>
      <c r="B28" s="269" t="s">
        <v>362</v>
      </c>
      <c r="C28" s="226">
        <v>2034045.0</v>
      </c>
      <c r="D28" s="227">
        <v>0.0</v>
      </c>
      <c r="E28" s="227">
        <v>0.0</v>
      </c>
      <c r="F28" s="227">
        <v>0.0</v>
      </c>
      <c r="G28" s="227">
        <v>0.0</v>
      </c>
      <c r="H28" s="227">
        <v>0.0</v>
      </c>
      <c r="I28" s="227">
        <v>0.0</v>
      </c>
      <c r="J28" s="227">
        <v>0.0</v>
      </c>
      <c r="K28" s="227">
        <v>0.0</v>
      </c>
      <c r="L28" s="227">
        <v>0.0</v>
      </c>
      <c r="M28" s="227">
        <v>0.0</v>
      </c>
      <c r="N28" s="227">
        <v>0.0</v>
      </c>
      <c r="O28" s="227">
        <v>0.0</v>
      </c>
      <c r="P28" s="227">
        <v>0.0</v>
      </c>
      <c r="Q28" s="227">
        <v>0.0</v>
      </c>
      <c r="R28" s="227">
        <v>0.0</v>
      </c>
      <c r="S28" s="227">
        <v>0.0</v>
      </c>
      <c r="T28" s="227">
        <v>0.0</v>
      </c>
      <c r="U28" s="227">
        <v>0.0</v>
      </c>
      <c r="V28" s="227">
        <v>0.0</v>
      </c>
      <c r="W28" s="228">
        <v>0.0</v>
      </c>
      <c r="X28" s="229">
        <v>10.906041661262458</v>
      </c>
      <c r="Y28" s="229">
        <v>5.879491200832161</v>
      </c>
      <c r="Z28" s="229">
        <v>5.181378713396897</v>
      </c>
      <c r="AA28" s="229">
        <v>8.944814258105936</v>
      </c>
      <c r="AB28" s="230">
        <v>5.871096866674885</v>
      </c>
      <c r="AC28" s="229">
        <v>11.861229791161058</v>
      </c>
      <c r="AD28" s="231">
        <v>14.746577337605538</v>
      </c>
      <c r="AE28" s="231">
        <v>18.811669346634787</v>
      </c>
      <c r="AF28" s="231">
        <v>14.695893794381144</v>
      </c>
      <c r="AG28" s="231">
        <v>6.771457623063466</v>
      </c>
      <c r="AH28" s="232">
        <v>9.8390782166059</v>
      </c>
      <c r="AI28" s="232">
        <f>'Calculo Gas'!AQ29</f>
        <v>13.08341175</v>
      </c>
      <c r="AJ28" s="232">
        <f>'Calculo Gas'!AS29</f>
        <v>7.72826978</v>
      </c>
      <c r="AK28" s="232">
        <f>'Calculo Gas'!AU29</f>
        <v>9.139146512</v>
      </c>
      <c r="AL28" s="232">
        <f>'Calculo Gas'!AW29</f>
        <v>46.20210845</v>
      </c>
      <c r="AM28" s="233">
        <f>'Calculo Gas'!AY29</f>
        <v>51.05788186</v>
      </c>
      <c r="AN28" s="233">
        <f>'Calculo Gas'!BA29</f>
        <v>82.20300328</v>
      </c>
      <c r="AO28" s="233">
        <f>'Calculo Gas'!BC29</f>
        <v>83.79984363</v>
      </c>
      <c r="AP28" s="233">
        <f>'Calculo Gas'!BE29</f>
        <v>90.61015436</v>
      </c>
      <c r="AQ28" s="233" t="str">
        <f>'Calculo Gas'!BG29</f>
        <v>0</v>
      </c>
      <c r="AR28" s="233" t="str">
        <f>'Calculo Gas'!BI29</f>
        <v>0</v>
      </c>
      <c r="AS28" s="233" t="str">
        <f>'Calculo Gas'!BK29</f>
        <v>0</v>
      </c>
      <c r="AT28" s="233" t="str">
        <f>'Calculo Gas'!BM29</f>
        <v>0</v>
      </c>
      <c r="AU28" s="233" t="str">
        <f>'Calculo Gas'!BO29</f>
        <v>0</v>
      </c>
      <c r="AV28" s="235">
        <f>IFERROR(__xludf.DUMMYFUNCTION("""COMPUTED_VALUE"""),-99.7)</f>
        <v>-99.7</v>
      </c>
      <c r="AW28" s="235">
        <f>IFERROR(__xludf.DUMMYFUNCTION("""COMPUTED_VALUE"""),-397.63)</f>
        <v>-397.63</v>
      </c>
      <c r="AX28" s="235"/>
      <c r="AY28" s="235">
        <f t="shared" si="2"/>
        <v>0.002548428988</v>
      </c>
      <c r="AZ28" s="235"/>
    </row>
    <row r="29" ht="12.75" customHeight="1">
      <c r="A29" s="224">
        <v>601.0</v>
      </c>
      <c r="B29" s="225" t="s">
        <v>366</v>
      </c>
      <c r="C29" s="226">
        <v>2034053.0</v>
      </c>
      <c r="D29" s="227">
        <v>0.0</v>
      </c>
      <c r="E29" s="227">
        <v>0.0</v>
      </c>
      <c r="F29" s="227">
        <v>0.0</v>
      </c>
      <c r="G29" s="227">
        <v>0.0</v>
      </c>
      <c r="H29" s="227">
        <v>0.0</v>
      </c>
      <c r="I29" s="227">
        <v>0.0</v>
      </c>
      <c r="J29" s="227">
        <v>0.0</v>
      </c>
      <c r="K29" s="227">
        <v>0.0</v>
      </c>
      <c r="L29" s="227">
        <v>0.0</v>
      </c>
      <c r="M29" s="227">
        <v>0.0</v>
      </c>
      <c r="N29" s="227">
        <v>0.0</v>
      </c>
      <c r="O29" s="227">
        <v>0.0</v>
      </c>
      <c r="P29" s="227">
        <v>0.0</v>
      </c>
      <c r="Q29" s="227">
        <v>0.0</v>
      </c>
      <c r="R29" s="227">
        <v>0.0</v>
      </c>
      <c r="S29" s="227">
        <v>0.0</v>
      </c>
      <c r="T29" s="227">
        <v>0.0</v>
      </c>
      <c r="U29" s="227">
        <v>0.0</v>
      </c>
      <c r="V29" s="227">
        <v>0.0</v>
      </c>
      <c r="W29" s="228">
        <v>0.0</v>
      </c>
      <c r="X29" s="229">
        <v>43.975407922384356</v>
      </c>
      <c r="Y29" s="229">
        <v>9.363181413383614</v>
      </c>
      <c r="Z29" s="229">
        <v>1.079959497640069</v>
      </c>
      <c r="AA29" s="229">
        <v>29.524930212583214</v>
      </c>
      <c r="AB29" s="230">
        <v>0.0</v>
      </c>
      <c r="AC29" s="229">
        <v>0.0</v>
      </c>
      <c r="AD29" s="231">
        <v>19.13493078686391</v>
      </c>
      <c r="AE29" s="231">
        <v>10.894628031372056</v>
      </c>
      <c r="AF29" s="231">
        <v>11.281259648039548</v>
      </c>
      <c r="AG29" s="231">
        <v>6.66224056462714</v>
      </c>
      <c r="AH29" s="232">
        <v>0.03252587840192772</v>
      </c>
      <c r="AI29" s="232">
        <f>'Calculo Gas'!AQ30</f>
        <v>15.52156281</v>
      </c>
      <c r="AJ29" s="232">
        <f>'Calculo Gas'!AS30</f>
        <v>8.224580684</v>
      </c>
      <c r="AK29" s="232">
        <f>'Calculo Gas'!AU30</f>
        <v>0.4449321328</v>
      </c>
      <c r="AL29" s="232">
        <f>'Calculo Gas'!AW30</f>
        <v>39.23930729</v>
      </c>
      <c r="AM29" s="233">
        <f>'Calculo Gas'!AY30</f>
        <v>0.02320812812</v>
      </c>
      <c r="AN29" s="233">
        <f>'Calculo Gas'!BA30</f>
        <v>0</v>
      </c>
      <c r="AO29" s="233">
        <f>'Calculo Gas'!BC30</f>
        <v>49.8573104</v>
      </c>
      <c r="AP29" s="233">
        <f>'Calculo Gas'!BE30</f>
        <v>4.020393299</v>
      </c>
      <c r="AQ29" s="233" t="str">
        <f>'Calculo Gas'!BG30</f>
        <v>0</v>
      </c>
      <c r="AR29" s="233" t="str">
        <f>'Calculo Gas'!BI30</f>
        <v>0</v>
      </c>
      <c r="AS29" s="233" t="str">
        <f>'Calculo Gas'!BK30</f>
        <v>0</v>
      </c>
      <c r="AT29" s="233" t="str">
        <f>'Calculo Gas'!BM30</f>
        <v>0</v>
      </c>
      <c r="AU29" s="233" t="str">
        <f>'Calculo Gas'!BO30</f>
        <v>0</v>
      </c>
      <c r="AV29" s="235">
        <f>IFERROR(__xludf.DUMMYFUNCTION("""COMPUTED_VALUE"""),-103.03999999999999)</f>
        <v>-103.04</v>
      </c>
      <c r="AW29" s="235">
        <f>IFERROR(__xludf.DUMMYFUNCTION("""COMPUTED_VALUE"""),-142.4)</f>
        <v>-142.4</v>
      </c>
      <c r="AX29" s="235"/>
      <c r="AY29" s="235">
        <f t="shared" si="2"/>
        <v>3.840358699</v>
      </c>
      <c r="AZ29" s="235"/>
    </row>
    <row r="30" ht="12.75" customHeight="1">
      <c r="A30" s="224">
        <v>602.0</v>
      </c>
      <c r="B30" s="225" t="s">
        <v>367</v>
      </c>
      <c r="C30" s="226" t="s">
        <v>243</v>
      </c>
      <c r="D30" s="227">
        <v>0.0</v>
      </c>
      <c r="E30" s="227">
        <v>0.0</v>
      </c>
      <c r="F30" s="227">
        <v>0.0</v>
      </c>
      <c r="G30" s="227">
        <v>0.0</v>
      </c>
      <c r="H30" s="227">
        <v>0.0</v>
      </c>
      <c r="I30" s="227">
        <v>0.0</v>
      </c>
      <c r="J30" s="227">
        <v>0.0</v>
      </c>
      <c r="K30" s="227">
        <v>0.0</v>
      </c>
      <c r="L30" s="227">
        <v>0.0</v>
      </c>
      <c r="M30" s="227">
        <v>0.0</v>
      </c>
      <c r="N30" s="227">
        <v>0.0</v>
      </c>
      <c r="O30" s="227">
        <v>0.0</v>
      </c>
      <c r="P30" s="227">
        <v>0.0</v>
      </c>
      <c r="Q30" s="227">
        <v>0.0</v>
      </c>
      <c r="R30" s="227">
        <v>0.0</v>
      </c>
      <c r="S30" s="227">
        <v>0.0</v>
      </c>
      <c r="T30" s="227">
        <v>0.0</v>
      </c>
      <c r="U30" s="227">
        <v>0.0</v>
      </c>
      <c r="V30" s="227">
        <v>0.0</v>
      </c>
      <c r="W30" s="228">
        <v>0.0</v>
      </c>
      <c r="X30" s="229">
        <v>109.46434408155866</v>
      </c>
      <c r="Y30" s="229">
        <v>95.62424046592633</v>
      </c>
      <c r="Z30" s="229">
        <v>95.02430141594942</v>
      </c>
      <c r="AA30" s="229">
        <v>107.1687352372771</v>
      </c>
      <c r="AB30" s="230">
        <v>95.87745277022731</v>
      </c>
      <c r="AC30" s="229">
        <v>90.8019277437877</v>
      </c>
      <c r="AD30" s="231">
        <v>114.82383262199403</v>
      </c>
      <c r="AE30" s="231">
        <v>114.5396908738884</v>
      </c>
      <c r="AF30" s="231">
        <v>115.52125141504551</v>
      </c>
      <c r="AG30" s="231">
        <v>95.36634966206138</v>
      </c>
      <c r="AH30" s="232">
        <v>99.83818375495</v>
      </c>
      <c r="AI30" s="232">
        <f>'Calculo Gas'!AQ31</f>
        <v>94.52831603</v>
      </c>
      <c r="AJ30" s="232">
        <f>'Calculo Gas'!AS31</f>
        <v>66.18660404</v>
      </c>
      <c r="AK30" s="232">
        <f>'Calculo Gas'!AU31</f>
        <v>77.37009034</v>
      </c>
      <c r="AL30" s="232">
        <f>'Calculo Gas'!AW31</f>
        <v>83.93362605</v>
      </c>
      <c r="AM30" s="233">
        <f>'Calculo Gas'!AY31</f>
        <v>82.13356541</v>
      </c>
      <c r="AN30" s="233">
        <f>'Calculo Gas'!BA31</f>
        <v>104.1376082</v>
      </c>
      <c r="AO30" s="233">
        <f>'Calculo Gas'!BC31</f>
        <v>95.1439927</v>
      </c>
      <c r="AP30" s="233">
        <f>'Calculo Gas'!BE31</f>
        <v>151.7158095</v>
      </c>
      <c r="AQ30" s="233" t="str">
        <f>'Calculo Gas'!BG31</f>
        <v>0</v>
      </c>
      <c r="AR30" s="233" t="str">
        <f>'Calculo Gas'!BI31</f>
        <v>0</v>
      </c>
      <c r="AS30" s="233" t="str">
        <f>'Calculo Gas'!BK31</f>
        <v>0</v>
      </c>
      <c r="AT30" s="233" t="str">
        <f>'Calculo Gas'!BM31</f>
        <v>0</v>
      </c>
      <c r="AU30" s="233" t="str">
        <f>'Calculo Gas'!BO31</f>
        <v>0</v>
      </c>
      <c r="AV30" s="235">
        <f>IFERROR(__xludf.DUMMYFUNCTION("""COMPUTED_VALUE"""),-708.7499999999999)</f>
        <v>-708.75</v>
      </c>
      <c r="AW30" s="235">
        <f>IFERROR(__xludf.DUMMYFUNCTION("""COMPUTED_VALUE"""),-1028.73)</f>
        <v>-1028.73</v>
      </c>
      <c r="AX30" s="235"/>
      <c r="AY30" s="235">
        <f t="shared" si="2"/>
        <v>151.7199223</v>
      </c>
      <c r="AZ30" s="235"/>
    </row>
    <row r="31" ht="12.75" customHeight="1">
      <c r="A31" s="224">
        <v>603.0</v>
      </c>
      <c r="B31" s="225" t="s">
        <v>371</v>
      </c>
      <c r="C31" s="226">
        <v>2034072.0</v>
      </c>
      <c r="D31" s="227">
        <v>0.0</v>
      </c>
      <c r="E31" s="227">
        <v>0.0</v>
      </c>
      <c r="F31" s="227">
        <v>0.0</v>
      </c>
      <c r="G31" s="227">
        <v>0.0</v>
      </c>
      <c r="H31" s="227">
        <v>0.0</v>
      </c>
      <c r="I31" s="227">
        <v>0.0</v>
      </c>
      <c r="J31" s="227">
        <v>0.0</v>
      </c>
      <c r="K31" s="227">
        <v>0.0</v>
      </c>
      <c r="L31" s="227">
        <v>0.0</v>
      </c>
      <c r="M31" s="227">
        <v>0.0</v>
      </c>
      <c r="N31" s="227">
        <v>0.0</v>
      </c>
      <c r="O31" s="227">
        <v>0.0</v>
      </c>
      <c r="P31" s="227">
        <v>0.0</v>
      </c>
      <c r="Q31" s="227">
        <v>0.0</v>
      </c>
      <c r="R31" s="227">
        <v>0.0</v>
      </c>
      <c r="S31" s="227">
        <v>0.0</v>
      </c>
      <c r="T31" s="227">
        <v>0.0</v>
      </c>
      <c r="U31" s="227">
        <v>0.0</v>
      </c>
      <c r="V31" s="227">
        <v>0.0</v>
      </c>
      <c r="W31" s="228">
        <v>0.0</v>
      </c>
      <c r="X31" s="229">
        <v>122.19684038496612</v>
      </c>
      <c r="Y31" s="229">
        <v>93.03286388676652</v>
      </c>
      <c r="Z31" s="229">
        <v>102.08650846793317</v>
      </c>
      <c r="AA31" s="229">
        <v>123.31165986686555</v>
      </c>
      <c r="AB31" s="230">
        <v>119.43892247150028</v>
      </c>
      <c r="AC31" s="229">
        <v>117.59346481183901</v>
      </c>
      <c r="AD31" s="231">
        <v>141.8378525563922</v>
      </c>
      <c r="AE31" s="231">
        <v>145.0390837790829</v>
      </c>
      <c r="AF31" s="231">
        <v>147.01656889986566</v>
      </c>
      <c r="AG31" s="231">
        <v>117.45798193671807</v>
      </c>
      <c r="AH31" s="232">
        <v>150.3183470348583</v>
      </c>
      <c r="AI31" s="232">
        <f>'Calculo Gas'!AQ32</f>
        <v>105.999617</v>
      </c>
      <c r="AJ31" s="232">
        <f>'Calculo Gas'!AS32</f>
        <v>144.2846698</v>
      </c>
      <c r="AK31" s="232">
        <f>'Calculo Gas'!AU32</f>
        <v>87.62757978</v>
      </c>
      <c r="AL31" s="232">
        <f>'Calculo Gas'!AW32</f>
        <v>95.19914414</v>
      </c>
      <c r="AM31" s="233">
        <f>'Calculo Gas'!AY32</f>
        <v>89.39770952</v>
      </c>
      <c r="AN31" s="233">
        <f>'Calculo Gas'!BA32</f>
        <v>126.1688413</v>
      </c>
      <c r="AO31" s="233">
        <f>'Calculo Gas'!BC32</f>
        <v>139.2468074</v>
      </c>
      <c r="AP31" s="233">
        <f>'Calculo Gas'!BE32</f>
        <v>204.4132228</v>
      </c>
      <c r="AQ31" s="233" t="str">
        <f>'Calculo Gas'!BG32</f>
        <v>0</v>
      </c>
      <c r="AR31" s="233" t="str">
        <f>'Calculo Gas'!BI32</f>
        <v>0</v>
      </c>
      <c r="AS31" s="233" t="str">
        <f>'Calculo Gas'!BK32</f>
        <v>0</v>
      </c>
      <c r="AT31" s="233" t="str">
        <f>'Calculo Gas'!BM32</f>
        <v>0</v>
      </c>
      <c r="AU31" s="233" t="str">
        <f>'Calculo Gas'!BO32</f>
        <v>0</v>
      </c>
      <c r="AV31" s="235">
        <f>IFERROR(__xludf.DUMMYFUNCTION("""COMPUTED_VALUE"""),-819.47)</f>
        <v>-819.47</v>
      </c>
      <c r="AW31" s="235">
        <f>IFERROR(__xludf.DUMMYFUNCTION("""COMPUTED_VALUE"""),-1347.78)</f>
        <v>-1347.78</v>
      </c>
      <c r="AX31" s="235"/>
      <c r="AY31" s="235">
        <f t="shared" si="2"/>
        <v>204.4176857</v>
      </c>
      <c r="AZ31" s="235"/>
    </row>
    <row r="32" ht="12.75" customHeight="1">
      <c r="A32" s="224">
        <v>604.0</v>
      </c>
      <c r="B32" s="225" t="s">
        <v>375</v>
      </c>
      <c r="C32" s="226">
        <v>2034041.0</v>
      </c>
      <c r="D32" s="227">
        <v>0.0</v>
      </c>
      <c r="E32" s="227">
        <v>0.0</v>
      </c>
      <c r="F32" s="227">
        <v>0.0</v>
      </c>
      <c r="G32" s="227">
        <v>0.0</v>
      </c>
      <c r="H32" s="227">
        <v>0.0</v>
      </c>
      <c r="I32" s="227">
        <v>0.0</v>
      </c>
      <c r="J32" s="227">
        <v>0.0</v>
      </c>
      <c r="K32" s="227">
        <v>0.0</v>
      </c>
      <c r="L32" s="227">
        <v>0.0</v>
      </c>
      <c r="M32" s="227">
        <v>0.0</v>
      </c>
      <c r="N32" s="227">
        <v>0.0</v>
      </c>
      <c r="O32" s="227">
        <v>0.0</v>
      </c>
      <c r="P32" s="227">
        <v>0.0</v>
      </c>
      <c r="Q32" s="227">
        <v>0.0</v>
      </c>
      <c r="R32" s="227">
        <v>0.0</v>
      </c>
      <c r="S32" s="227">
        <v>0.0</v>
      </c>
      <c r="T32" s="227">
        <v>0.0</v>
      </c>
      <c r="U32" s="227">
        <v>0.0</v>
      </c>
      <c r="V32" s="227">
        <v>0.0</v>
      </c>
      <c r="W32" s="228">
        <v>0.0</v>
      </c>
      <c r="X32" s="229">
        <v>19.072401359309165</v>
      </c>
      <c r="Y32" s="229">
        <v>12.027898839124319</v>
      </c>
      <c r="Z32" s="229">
        <v>13.444889026800217</v>
      </c>
      <c r="AA32" s="229">
        <v>16.551427957912953</v>
      </c>
      <c r="AB32" s="230">
        <v>29.201319864227052</v>
      </c>
      <c r="AC32" s="229">
        <v>23.131284820726638</v>
      </c>
      <c r="AD32" s="231">
        <v>35.67674362643889</v>
      </c>
      <c r="AE32" s="231">
        <v>39.543464706461656</v>
      </c>
      <c r="AF32" s="231">
        <v>11.56941442832147</v>
      </c>
      <c r="AG32" s="231">
        <v>29.577965189305456</v>
      </c>
      <c r="AH32" s="232">
        <v>34.88400458614895</v>
      </c>
      <c r="AI32" s="232">
        <f>'Calculo Gas'!AQ33</f>
        <v>25.06099541</v>
      </c>
      <c r="AJ32" s="232">
        <f>'Calculo Gas'!AS33</f>
        <v>12.51412492</v>
      </c>
      <c r="AK32" s="232">
        <f>'Calculo Gas'!AU33</f>
        <v>14.00934959</v>
      </c>
      <c r="AL32" s="232">
        <f>'Calculo Gas'!AW33</f>
        <v>22.27360867</v>
      </c>
      <c r="AM32" s="233">
        <f>'Calculo Gas'!AY33</f>
        <v>17.96309116</v>
      </c>
      <c r="AN32" s="233">
        <f>'Calculo Gas'!BA33</f>
        <v>22.04503715</v>
      </c>
      <c r="AO32" s="233">
        <f>'Calculo Gas'!BC33</f>
        <v>23.48253844</v>
      </c>
      <c r="AP32" s="233">
        <f>'Calculo Gas'!BE33</f>
        <v>35.62154923</v>
      </c>
      <c r="AQ32" s="233" t="str">
        <f>'Calculo Gas'!BG33</f>
        <v>0</v>
      </c>
      <c r="AR32" s="233" t="str">
        <f>'Calculo Gas'!BI33</f>
        <v>0</v>
      </c>
      <c r="AS32" s="233" t="str">
        <f>'Calculo Gas'!BK33</f>
        <v>0</v>
      </c>
      <c r="AT32" s="233" t="str">
        <f>'Calculo Gas'!BM33</f>
        <v>0</v>
      </c>
      <c r="AU32" s="233" t="str">
        <f>'Calculo Gas'!BO33</f>
        <v>0</v>
      </c>
      <c r="AV32" s="235">
        <f>IFERROR(__xludf.DUMMYFUNCTION("""COMPUTED_VALUE"""),-174.70000000000002)</f>
        <v>-174.7</v>
      </c>
      <c r="AW32" s="235">
        <f>IFERROR(__xludf.DUMMYFUNCTION("""COMPUTED_VALUE"""),-227.32999999999998)</f>
        <v>-227.33</v>
      </c>
      <c r="AX32" s="235"/>
      <c r="AY32" s="235">
        <f t="shared" si="2"/>
        <v>35.62110898</v>
      </c>
      <c r="AZ32" s="235"/>
    </row>
    <row r="33" ht="12.75" customHeight="1">
      <c r="A33" s="272">
        <v>605.0</v>
      </c>
      <c r="B33" s="273" t="s">
        <v>377</v>
      </c>
      <c r="C33" s="274">
        <v>2034051.0</v>
      </c>
      <c r="D33" s="227">
        <v>0.0</v>
      </c>
      <c r="E33" s="227">
        <v>0.0</v>
      </c>
      <c r="F33" s="227">
        <v>0.0</v>
      </c>
      <c r="G33" s="227">
        <v>0.0</v>
      </c>
      <c r="H33" s="227">
        <v>0.0</v>
      </c>
      <c r="I33" s="227">
        <v>0.0</v>
      </c>
      <c r="J33" s="227">
        <v>0.0</v>
      </c>
      <c r="K33" s="227">
        <v>0.0</v>
      </c>
      <c r="L33" s="227">
        <v>0.0</v>
      </c>
      <c r="M33" s="227">
        <v>0.0</v>
      </c>
      <c r="N33" s="227">
        <v>0.0</v>
      </c>
      <c r="O33" s="227">
        <v>0.0</v>
      </c>
      <c r="P33" s="227">
        <v>0.0</v>
      </c>
      <c r="Q33" s="227">
        <v>0.0</v>
      </c>
      <c r="R33" s="227">
        <v>0.0</v>
      </c>
      <c r="S33" s="227">
        <v>0.0</v>
      </c>
      <c r="T33" s="227">
        <v>0.0</v>
      </c>
      <c r="U33" s="227">
        <v>0.0</v>
      </c>
      <c r="V33" s="227">
        <v>0.0</v>
      </c>
      <c r="W33" s="228">
        <v>0.0</v>
      </c>
      <c r="X33" s="275">
        <v>0.0</v>
      </c>
      <c r="Y33" s="275">
        <v>0.0</v>
      </c>
      <c r="Z33" s="275">
        <v>0.0</v>
      </c>
      <c r="AA33" s="275">
        <v>0.0</v>
      </c>
      <c r="AB33" s="276">
        <v>0.0</v>
      </c>
      <c r="AC33" s="229">
        <v>0.0</v>
      </c>
      <c r="AD33" s="231">
        <v>0.0</v>
      </c>
      <c r="AE33" s="231">
        <v>0.0</v>
      </c>
      <c r="AF33" s="231">
        <v>0.0</v>
      </c>
      <c r="AG33" s="231">
        <v>0.0</v>
      </c>
      <c r="AH33" s="232">
        <v>0.0</v>
      </c>
      <c r="AI33" s="232">
        <f>'Calculo Gas'!AQ34</f>
        <v>0</v>
      </c>
      <c r="AJ33" s="232">
        <f>'Calculo Gas'!AS34</f>
        <v>0</v>
      </c>
      <c r="AK33" s="232">
        <f>'Calculo Gas'!AU34</f>
        <v>0</v>
      </c>
      <c r="AL33" s="232">
        <f>'Calculo Gas'!AW34</f>
        <v>0</v>
      </c>
      <c r="AM33" s="233">
        <f>'Calculo Gas'!AY34</f>
        <v>0</v>
      </c>
      <c r="AN33" s="233">
        <f>'Calculo Gas'!BA34</f>
        <v>0</v>
      </c>
      <c r="AO33" s="233">
        <f>'Calculo Gas'!BC34</f>
        <v>0</v>
      </c>
      <c r="AP33" s="233">
        <f>'Calculo Gas'!BE34</f>
        <v>0</v>
      </c>
      <c r="AQ33" s="233" t="str">
        <f>'Calculo Gas'!BG34</f>
        <v>0</v>
      </c>
      <c r="AR33" s="233" t="str">
        <f>'Calculo Gas'!BI34</f>
        <v>0</v>
      </c>
      <c r="AS33" s="233" t="str">
        <f>'Calculo Gas'!BK34</f>
        <v>0</v>
      </c>
      <c r="AT33" s="233" t="str">
        <f>'Calculo Gas'!BM34</f>
        <v>0</v>
      </c>
      <c r="AU33" s="233" t="str">
        <f>'Calculo Gas'!BO34</f>
        <v>0</v>
      </c>
      <c r="AV33" s="235">
        <f>IFERROR(__xludf.DUMMYFUNCTION("""COMPUTED_VALUE"""),0.0)</f>
        <v>0</v>
      </c>
      <c r="AW33" s="235">
        <f>IFERROR(__xludf.DUMMYFUNCTION("""COMPUTED_VALUE"""),0.0)</f>
        <v>0</v>
      </c>
      <c r="AX33" s="235"/>
      <c r="AY33" s="235">
        <f t="shared" si="2"/>
        <v>0</v>
      </c>
      <c r="AZ33" s="235"/>
    </row>
    <row r="34" ht="12.75" customHeight="1">
      <c r="A34" s="224">
        <v>702.0</v>
      </c>
      <c r="B34" s="225" t="s">
        <v>380</v>
      </c>
      <c r="C34" s="226">
        <v>2034075.0</v>
      </c>
      <c r="D34" s="227">
        <v>0.0</v>
      </c>
      <c r="E34" s="227">
        <v>0.0</v>
      </c>
      <c r="F34" s="227">
        <v>0.0</v>
      </c>
      <c r="G34" s="227">
        <v>0.0</v>
      </c>
      <c r="H34" s="227">
        <v>0.0</v>
      </c>
      <c r="I34" s="227">
        <v>0.0</v>
      </c>
      <c r="J34" s="227">
        <v>0.0</v>
      </c>
      <c r="K34" s="227">
        <v>0.0</v>
      </c>
      <c r="L34" s="227">
        <v>0.0</v>
      </c>
      <c r="M34" s="227">
        <v>0.0</v>
      </c>
      <c r="N34" s="227">
        <v>0.0</v>
      </c>
      <c r="O34" s="227">
        <v>0.0</v>
      </c>
      <c r="P34" s="227">
        <v>0.0</v>
      </c>
      <c r="Q34" s="227">
        <v>0.0</v>
      </c>
      <c r="R34" s="227">
        <v>0.0</v>
      </c>
      <c r="S34" s="227">
        <v>0.0</v>
      </c>
      <c r="T34" s="227">
        <v>0.0</v>
      </c>
      <c r="U34" s="227">
        <v>0.0</v>
      </c>
      <c r="V34" s="227">
        <v>0.0</v>
      </c>
      <c r="W34" s="228">
        <v>0.0</v>
      </c>
      <c r="X34" s="229">
        <v>14.787257775818025</v>
      </c>
      <c r="Y34" s="229">
        <v>16.941735559986366</v>
      </c>
      <c r="Z34" s="229">
        <v>15.143701719717386</v>
      </c>
      <c r="AA34" s="229">
        <v>15.663989692935269</v>
      </c>
      <c r="AB34" s="230">
        <v>18.152866242038005</v>
      </c>
      <c r="AC34" s="229">
        <v>17.043442594934767</v>
      </c>
      <c r="AD34" s="231">
        <v>21.115388999354078</v>
      </c>
      <c r="AE34" s="231">
        <v>17.65681094739614</v>
      </c>
      <c r="AF34" s="231">
        <v>12.995780590717123</v>
      </c>
      <c r="AG34" s="231">
        <v>15.01238112327294</v>
      </c>
      <c r="AH34" s="232">
        <v>15.677473389765678</v>
      </c>
      <c r="AI34" s="232">
        <f>'Calculo Gas'!AQ35</f>
        <v>14.44238119</v>
      </c>
      <c r="AJ34" s="232">
        <f>'Calculo Gas'!AS35</f>
        <v>10.83612139</v>
      </c>
      <c r="AK34" s="232">
        <f>'Calculo Gas'!AU35</f>
        <v>12.38594856</v>
      </c>
      <c r="AL34" s="232">
        <f>'Calculo Gas'!AW35</f>
        <v>13.95011924</v>
      </c>
      <c r="AM34" s="233">
        <f>'Calculo Gas'!AY35</f>
        <v>9.956286963</v>
      </c>
      <c r="AN34" s="233">
        <f>'Calculo Gas'!BA35</f>
        <v>15.14302176</v>
      </c>
      <c r="AO34" s="233">
        <f>'Calculo Gas'!BC35</f>
        <v>15.80987751</v>
      </c>
      <c r="AP34" s="233">
        <f>'Calculo Gas'!BE35</f>
        <v>27.99144797</v>
      </c>
      <c r="AQ34" s="233" t="str">
        <f>'Calculo Gas'!BG35</f>
        <v>0</v>
      </c>
      <c r="AR34" s="233" t="str">
        <f>'Calculo Gas'!BI35</f>
        <v>0</v>
      </c>
      <c r="AS34" s="233" t="str">
        <f>'Calculo Gas'!BK35</f>
        <v>0</v>
      </c>
      <c r="AT34" s="233" t="str">
        <f>'Calculo Gas'!BM35</f>
        <v>0</v>
      </c>
      <c r="AU34" s="233" t="str">
        <f>'Calculo Gas'!BO35</f>
        <v>0</v>
      </c>
      <c r="AV34" s="235">
        <f>IFERROR(__xludf.DUMMYFUNCTION("""COMPUTED_VALUE"""),-32.599999999999994)</f>
        <v>-32.6</v>
      </c>
      <c r="AW34" s="235">
        <f>IFERROR(__xludf.DUMMYFUNCTION("""COMPUTED_VALUE"""),-240.11)</f>
        <v>-240.11</v>
      </c>
      <c r="AX34" s="235"/>
      <c r="AY34" s="235">
        <f t="shared" si="2"/>
        <v>27.99603323</v>
      </c>
      <c r="AZ34" s="235"/>
    </row>
    <row r="35" ht="12.75" customHeight="1">
      <c r="A35" s="224">
        <v>703.0</v>
      </c>
      <c r="B35" s="225" t="s">
        <v>382</v>
      </c>
      <c r="C35" s="226">
        <v>2034079.0</v>
      </c>
      <c r="D35" s="227">
        <v>0.0</v>
      </c>
      <c r="E35" s="227">
        <v>0.0</v>
      </c>
      <c r="F35" s="227">
        <v>0.0</v>
      </c>
      <c r="G35" s="227">
        <v>0.0</v>
      </c>
      <c r="H35" s="227">
        <v>0.0</v>
      </c>
      <c r="I35" s="227">
        <v>0.0</v>
      </c>
      <c r="J35" s="227">
        <v>0.0</v>
      </c>
      <c r="K35" s="227">
        <v>0.0</v>
      </c>
      <c r="L35" s="227">
        <v>0.0</v>
      </c>
      <c r="M35" s="227">
        <v>0.0</v>
      </c>
      <c r="N35" s="227">
        <v>0.0</v>
      </c>
      <c r="O35" s="227">
        <v>0.0</v>
      </c>
      <c r="P35" s="227">
        <v>0.0</v>
      </c>
      <c r="Q35" s="227">
        <v>0.0</v>
      </c>
      <c r="R35" s="227">
        <v>0.0</v>
      </c>
      <c r="S35" s="227">
        <v>0.0</v>
      </c>
      <c r="T35" s="227">
        <v>0.0</v>
      </c>
      <c r="U35" s="227">
        <v>0.0</v>
      </c>
      <c r="V35" s="227">
        <v>0.0</v>
      </c>
      <c r="W35" s="228">
        <v>0.0</v>
      </c>
      <c r="X35" s="229">
        <v>17.614750058367534</v>
      </c>
      <c r="Y35" s="229">
        <v>9.876567339443653</v>
      </c>
      <c r="Z35" s="229">
        <v>4.89015368032523</v>
      </c>
      <c r="AA35" s="229">
        <v>3.4088898432469827</v>
      </c>
      <c r="AB35" s="230">
        <v>3.3659242430389416</v>
      </c>
      <c r="AC35" s="229">
        <v>2.830091943808247</v>
      </c>
      <c r="AD35" s="231">
        <v>3.875429020124244</v>
      </c>
      <c r="AE35" s="231">
        <v>1.4192235749680588</v>
      </c>
      <c r="AF35" s="231">
        <v>4.552845528455325</v>
      </c>
      <c r="AG35" s="231">
        <v>4.656618218792935</v>
      </c>
      <c r="AH35" s="232">
        <v>7.611055546068652</v>
      </c>
      <c r="AI35" s="232">
        <f>'Calculo Gas'!AQ36</f>
        <v>5.609079781</v>
      </c>
      <c r="AJ35" s="232">
        <f>'Calculo Gas'!AS36</f>
        <v>3.651430217</v>
      </c>
      <c r="AK35" s="232">
        <f>'Calculo Gas'!AU36</f>
        <v>5.904369654</v>
      </c>
      <c r="AL35" s="232">
        <f>'Calculo Gas'!AW36</f>
        <v>3.947221789</v>
      </c>
      <c r="AM35" s="233">
        <f>'Calculo Gas'!AY36</f>
        <v>6.765169347</v>
      </c>
      <c r="AN35" s="233">
        <f>'Calculo Gas'!BA36</f>
        <v>4.941843018</v>
      </c>
      <c r="AO35" s="233">
        <f>'Calculo Gas'!BC36</f>
        <v>5.24498306</v>
      </c>
      <c r="AP35" s="233">
        <f>'Calculo Gas'!BE36</f>
        <v>8.537932007</v>
      </c>
      <c r="AQ35" s="233" t="str">
        <f>'Calculo Gas'!BG36</f>
        <v>0</v>
      </c>
      <c r="AR35" s="233" t="str">
        <f>'Calculo Gas'!BI36</f>
        <v>0</v>
      </c>
      <c r="AS35" s="233" t="str">
        <f>'Calculo Gas'!BK36</f>
        <v>0</v>
      </c>
      <c r="AT35" s="233" t="str">
        <f>'Calculo Gas'!BM36</f>
        <v>0</v>
      </c>
      <c r="AU35" s="233" t="str">
        <f>'Calculo Gas'!BO36</f>
        <v>0</v>
      </c>
      <c r="AV35" s="235">
        <f>IFERROR(__xludf.DUMMYFUNCTION("""COMPUTED_VALUE"""),0.0)</f>
        <v>0</v>
      </c>
      <c r="AW35" s="235">
        <f>IFERROR(__xludf.DUMMYFUNCTION("""COMPUTED_VALUE"""),-100.17)</f>
        <v>-100.17</v>
      </c>
      <c r="AX35" s="235"/>
      <c r="AY35" s="235">
        <f t="shared" si="2"/>
        <v>8.53357787</v>
      </c>
      <c r="AZ35" s="235"/>
    </row>
    <row r="36" ht="12.75" customHeight="1">
      <c r="A36" s="224">
        <v>704.0</v>
      </c>
      <c r="B36" s="225" t="s">
        <v>386</v>
      </c>
      <c r="C36" s="226">
        <v>2034036.0</v>
      </c>
      <c r="D36" s="227">
        <v>0.0</v>
      </c>
      <c r="E36" s="227">
        <v>0.0</v>
      </c>
      <c r="F36" s="227">
        <v>0.0</v>
      </c>
      <c r="G36" s="227">
        <v>0.0</v>
      </c>
      <c r="H36" s="227">
        <v>0.0</v>
      </c>
      <c r="I36" s="227">
        <v>0.0</v>
      </c>
      <c r="J36" s="227">
        <v>0.0</v>
      </c>
      <c r="K36" s="227">
        <v>0.0</v>
      </c>
      <c r="L36" s="227">
        <v>0.0</v>
      </c>
      <c r="M36" s="227">
        <v>0.0</v>
      </c>
      <c r="N36" s="227">
        <v>0.0</v>
      </c>
      <c r="O36" s="227">
        <v>0.0</v>
      </c>
      <c r="P36" s="227">
        <v>0.0</v>
      </c>
      <c r="Q36" s="227">
        <v>0.0</v>
      </c>
      <c r="R36" s="227">
        <v>0.0</v>
      </c>
      <c r="S36" s="227">
        <v>0.0</v>
      </c>
      <c r="T36" s="227">
        <v>0.0</v>
      </c>
      <c r="U36" s="227">
        <v>0.0</v>
      </c>
      <c r="V36" s="227">
        <v>0.0</v>
      </c>
      <c r="W36" s="228">
        <v>0.0</v>
      </c>
      <c r="X36" s="229">
        <v>10.7479830864613</v>
      </c>
      <c r="Y36" s="229">
        <v>6.894039578522526</v>
      </c>
      <c r="Z36" s="229">
        <v>5.81236628505186</v>
      </c>
      <c r="AA36" s="229">
        <v>6.775520721494437</v>
      </c>
      <c r="AB36" s="230">
        <v>5.2287449118964995</v>
      </c>
      <c r="AC36" s="229">
        <v>5.031274566770415</v>
      </c>
      <c r="AD36" s="231">
        <v>8.805202700135439</v>
      </c>
      <c r="AE36" s="231">
        <v>13.329570439405359</v>
      </c>
      <c r="AF36" s="231">
        <v>10.69054234846133</v>
      </c>
      <c r="AG36" s="231">
        <v>12.40110054429089</v>
      </c>
      <c r="AH36" s="232">
        <v>10.457069906244145</v>
      </c>
      <c r="AI36" s="232">
        <f>'Calculo Gas'!AQ37</f>
        <v>9.512786137</v>
      </c>
      <c r="AJ36" s="232">
        <f>'Calculo Gas'!AS37</f>
        <v>4.289544236</v>
      </c>
      <c r="AK36" s="232">
        <f>'Calculo Gas'!AU37</f>
        <v>6.649931607</v>
      </c>
      <c r="AL36" s="232">
        <f>'Calculo Gas'!AW37</f>
        <v>7.673791428</v>
      </c>
      <c r="AM36" s="233">
        <f>'Calculo Gas'!AY37</f>
        <v>6.150153952</v>
      </c>
      <c r="AN36" s="233">
        <f>'Calculo Gas'!BA37</f>
        <v>11.30550121</v>
      </c>
      <c r="AO36" s="233">
        <f>'Calculo Gas'!BC37</f>
        <v>9.620797498</v>
      </c>
      <c r="AP36" s="233">
        <f>'Calculo Gas'!BE37</f>
        <v>9.661912929</v>
      </c>
      <c r="AQ36" s="233" t="str">
        <f>'Calculo Gas'!BG37</f>
        <v>0</v>
      </c>
      <c r="AR36" s="233" t="str">
        <f>'Calculo Gas'!BI37</f>
        <v>0</v>
      </c>
      <c r="AS36" s="233" t="str">
        <f>'Calculo Gas'!BK37</f>
        <v>0</v>
      </c>
      <c r="AT36" s="233" t="str">
        <f>'Calculo Gas'!BM37</f>
        <v>0</v>
      </c>
      <c r="AU36" s="233" t="str">
        <f>'Calculo Gas'!BO37</f>
        <v>0</v>
      </c>
      <c r="AV36" s="235">
        <f>IFERROR(__xludf.DUMMYFUNCTION("""COMPUTED_VALUE"""),-24.0)</f>
        <v>-24</v>
      </c>
      <c r="AW36" s="235">
        <f>IFERROR(__xludf.DUMMYFUNCTION("""COMPUTED_VALUE"""),-127.91)</f>
        <v>-127.91</v>
      </c>
      <c r="AX36" s="235"/>
      <c r="AY36" s="235">
        <f t="shared" si="2"/>
        <v>9.127834082</v>
      </c>
      <c r="AZ36" s="235"/>
    </row>
    <row r="37" ht="12.75" customHeight="1">
      <c r="A37" s="224">
        <v>801.0</v>
      </c>
      <c r="B37" s="225" t="s">
        <v>387</v>
      </c>
      <c r="C37" s="226">
        <v>2034023.0</v>
      </c>
      <c r="D37" s="227">
        <v>0.0</v>
      </c>
      <c r="E37" s="227">
        <v>0.0</v>
      </c>
      <c r="F37" s="227">
        <v>0.0</v>
      </c>
      <c r="G37" s="227">
        <v>0.0</v>
      </c>
      <c r="H37" s="227">
        <v>0.0</v>
      </c>
      <c r="I37" s="227">
        <v>0.0</v>
      </c>
      <c r="J37" s="227">
        <v>0.0</v>
      </c>
      <c r="K37" s="227">
        <v>0.0</v>
      </c>
      <c r="L37" s="227">
        <v>0.0</v>
      </c>
      <c r="M37" s="227">
        <v>0.0</v>
      </c>
      <c r="N37" s="227">
        <v>0.0</v>
      </c>
      <c r="O37" s="227">
        <v>0.0</v>
      </c>
      <c r="P37" s="227">
        <v>0.0</v>
      </c>
      <c r="Q37" s="227">
        <v>0.0</v>
      </c>
      <c r="R37" s="227">
        <v>0.0</v>
      </c>
      <c r="S37" s="227">
        <v>0.0</v>
      </c>
      <c r="T37" s="227">
        <v>0.0</v>
      </c>
      <c r="U37" s="227">
        <v>0.0</v>
      </c>
      <c r="V37" s="227">
        <v>0.0</v>
      </c>
      <c r="W37" s="228">
        <v>0.0</v>
      </c>
      <c r="X37" s="229">
        <v>90.91880463825203</v>
      </c>
      <c r="Y37" s="229">
        <v>85.89435481964308</v>
      </c>
      <c r="Z37" s="229">
        <v>75.87625549149934</v>
      </c>
      <c r="AA37" s="229">
        <v>91.7582993343354</v>
      </c>
      <c r="AB37" s="230">
        <v>86.3064086440284</v>
      </c>
      <c r="AC37" s="229">
        <v>71.65792801722665</v>
      </c>
      <c r="AD37" s="231">
        <v>114.11143758152983</v>
      </c>
      <c r="AE37" s="231">
        <v>99.73524103304578</v>
      </c>
      <c r="AF37" s="231">
        <v>100.95502727179107</v>
      </c>
      <c r="AG37" s="231">
        <v>79.51994736527325</v>
      </c>
      <c r="AH37" s="232">
        <v>91.08872246481087</v>
      </c>
      <c r="AI37" s="232">
        <f>'Calculo Gas'!AQ38</f>
        <v>96.39356821</v>
      </c>
      <c r="AJ37" s="232">
        <f>'Calculo Gas'!AS38</f>
        <v>49.5720057</v>
      </c>
      <c r="AK37" s="232">
        <f>'Calculo Gas'!AU38</f>
        <v>78.4403325</v>
      </c>
      <c r="AL37" s="232">
        <f>'Calculo Gas'!AW38</f>
        <v>69.33380881</v>
      </c>
      <c r="AM37" s="233">
        <f>'Calculo Gas'!AY38</f>
        <v>59.65649333</v>
      </c>
      <c r="AN37" s="233">
        <f>'Calculo Gas'!BA38</f>
        <v>73.36842358</v>
      </c>
      <c r="AO37" s="233">
        <f>'Calculo Gas'!BC38</f>
        <v>82.55603336</v>
      </c>
      <c r="AP37" s="233">
        <f>'Calculo Gas'!BE38</f>
        <v>84.27695416</v>
      </c>
      <c r="AQ37" s="233" t="str">
        <f>'Calculo Gas'!BG38</f>
        <v>0</v>
      </c>
      <c r="AR37" s="233" t="str">
        <f>'Calculo Gas'!BI38</f>
        <v>0</v>
      </c>
      <c r="AS37" s="233" t="str">
        <f>'Calculo Gas'!BK38</f>
        <v>0</v>
      </c>
      <c r="AT37" s="233" t="str">
        <f>'Calculo Gas'!BM38</f>
        <v>0</v>
      </c>
      <c r="AU37" s="233" t="str">
        <f>'Calculo Gas'!BO38</f>
        <v>0</v>
      </c>
      <c r="AV37" s="235">
        <f>IFERROR(__xludf.DUMMYFUNCTION("""COMPUTED_VALUE"""),-724.6000000000001)</f>
        <v>-724.6</v>
      </c>
      <c r="AW37" s="235">
        <f>IFERROR(__xludf.DUMMYFUNCTION("""COMPUTED_VALUE"""),-772.54)</f>
        <v>-772.54</v>
      </c>
      <c r="AX37" s="235"/>
      <c r="AY37" s="235">
        <f t="shared" si="2"/>
        <v>84.28004632</v>
      </c>
      <c r="AZ37" s="235"/>
    </row>
    <row r="38" ht="12.75" customHeight="1">
      <c r="A38" s="224">
        <v>802.0</v>
      </c>
      <c r="B38" s="225" t="s">
        <v>391</v>
      </c>
      <c r="C38" s="226">
        <v>2034084.0</v>
      </c>
      <c r="D38" s="227">
        <v>0.0</v>
      </c>
      <c r="E38" s="227">
        <v>0.0</v>
      </c>
      <c r="F38" s="227">
        <v>0.0</v>
      </c>
      <c r="G38" s="227">
        <v>0.0</v>
      </c>
      <c r="H38" s="227">
        <v>0.0</v>
      </c>
      <c r="I38" s="227">
        <v>0.0</v>
      </c>
      <c r="J38" s="227">
        <v>0.0</v>
      </c>
      <c r="K38" s="227">
        <v>0.0</v>
      </c>
      <c r="L38" s="227">
        <v>0.0</v>
      </c>
      <c r="M38" s="227">
        <v>0.0</v>
      </c>
      <c r="N38" s="227">
        <v>0.0</v>
      </c>
      <c r="O38" s="227">
        <v>0.0</v>
      </c>
      <c r="P38" s="227">
        <v>0.0</v>
      </c>
      <c r="Q38" s="227">
        <v>0.0</v>
      </c>
      <c r="R38" s="227">
        <v>0.0</v>
      </c>
      <c r="S38" s="227">
        <v>0.0</v>
      </c>
      <c r="T38" s="227">
        <v>0.0</v>
      </c>
      <c r="U38" s="227">
        <v>0.0</v>
      </c>
      <c r="V38" s="227">
        <v>0.0</v>
      </c>
      <c r="W38" s="228">
        <v>0.0</v>
      </c>
      <c r="X38" s="229">
        <v>19.915380424914012</v>
      </c>
      <c r="Y38" s="229">
        <v>19.716464255597465</v>
      </c>
      <c r="Z38" s="229">
        <v>14.415639137038303</v>
      </c>
      <c r="AA38" s="229">
        <v>33.56770453081391</v>
      </c>
      <c r="AB38" s="230">
        <v>17.304961661730456</v>
      </c>
      <c r="AC38" s="229">
        <v>14.100146973374006</v>
      </c>
      <c r="AD38" s="231">
        <v>17.1117288719461</v>
      </c>
      <c r="AE38" s="231">
        <v>22.025793325238723</v>
      </c>
      <c r="AF38" s="231">
        <v>32.63352886693448</v>
      </c>
      <c r="AG38" s="231">
        <v>34.09557987917938</v>
      </c>
      <c r="AH38" s="232">
        <v>26.671220289642672</v>
      </c>
      <c r="AI38" s="232">
        <f>'Calculo Gas'!AQ39</f>
        <v>18.30611786</v>
      </c>
      <c r="AJ38" s="232">
        <f>'Calculo Gas'!AS39</f>
        <v>4.868573623</v>
      </c>
      <c r="AK38" s="232">
        <f>'Calculo Gas'!AU39</f>
        <v>13.86504727</v>
      </c>
      <c r="AL38" s="232">
        <f>'Calculo Gas'!AW39</f>
        <v>17.13731696</v>
      </c>
      <c r="AM38" s="233">
        <f>'Calculo Gas'!AY39</f>
        <v>17.01155791</v>
      </c>
      <c r="AN38" s="233">
        <f>'Calculo Gas'!BA39</f>
        <v>22.70763063</v>
      </c>
      <c r="AO38" s="233">
        <f>'Calculo Gas'!BC39</f>
        <v>21.95400052</v>
      </c>
      <c r="AP38" s="233">
        <f>'Calculo Gas'!BE39</f>
        <v>27.5375326</v>
      </c>
      <c r="AQ38" s="233" t="str">
        <f>'Calculo Gas'!BG39</f>
        <v>0</v>
      </c>
      <c r="AR38" s="233" t="str">
        <f>'Calculo Gas'!BI39</f>
        <v>0</v>
      </c>
      <c r="AS38" s="233" t="str">
        <f>'Calculo Gas'!BK39</f>
        <v>0</v>
      </c>
      <c r="AT38" s="233" t="str">
        <f>'Calculo Gas'!BM39</f>
        <v>0</v>
      </c>
      <c r="AU38" s="233" t="str">
        <f>'Calculo Gas'!BO39</f>
        <v>0</v>
      </c>
      <c r="AV38" s="235">
        <f>IFERROR(__xludf.DUMMYFUNCTION("""COMPUTED_VALUE"""),-136.13)</f>
        <v>-136.13</v>
      </c>
      <c r="AW38" s="235">
        <f>IFERROR(__xludf.DUMMYFUNCTION("""COMPUTED_VALUE"""),-231.28)</f>
        <v>-231.28</v>
      </c>
      <c r="AX38" s="235"/>
      <c r="AY38" s="235">
        <f t="shared" si="2"/>
        <v>27.53592559</v>
      </c>
      <c r="AZ38" s="235"/>
    </row>
    <row r="39" ht="12.75" customHeight="1">
      <c r="A39" s="254">
        <v>804.0</v>
      </c>
      <c r="B39" s="255" t="s">
        <v>392</v>
      </c>
      <c r="C39" s="256">
        <v>1.70800161E8</v>
      </c>
      <c r="D39" s="227">
        <v>0.0</v>
      </c>
      <c r="E39" s="227">
        <v>0.0</v>
      </c>
      <c r="F39" s="227">
        <v>0.0</v>
      </c>
      <c r="G39" s="227">
        <v>0.0</v>
      </c>
      <c r="H39" s="227">
        <v>0.0</v>
      </c>
      <c r="I39" s="227">
        <v>0.0</v>
      </c>
      <c r="J39" s="227">
        <v>0.0</v>
      </c>
      <c r="K39" s="227">
        <v>0.0</v>
      </c>
      <c r="L39" s="227">
        <v>0.0</v>
      </c>
      <c r="M39" s="227">
        <v>0.0</v>
      </c>
      <c r="N39" s="227">
        <v>0.0</v>
      </c>
      <c r="O39" s="227">
        <v>0.0</v>
      </c>
      <c r="P39" s="227">
        <v>0.0</v>
      </c>
      <c r="Q39" s="227">
        <v>0.0</v>
      </c>
      <c r="R39" s="227">
        <v>0.0</v>
      </c>
      <c r="S39" s="227">
        <v>0.0</v>
      </c>
      <c r="T39" s="227">
        <v>0.0</v>
      </c>
      <c r="U39" s="227">
        <v>0.0</v>
      </c>
      <c r="V39" s="227">
        <v>0.0</v>
      </c>
      <c r="W39" s="228">
        <v>0.0</v>
      </c>
      <c r="X39" s="229">
        <v>0.0</v>
      </c>
      <c r="Y39" s="229">
        <v>0.0</v>
      </c>
      <c r="Z39" s="229">
        <v>0.0</v>
      </c>
      <c r="AA39" s="229">
        <v>0.0</v>
      </c>
      <c r="AB39" s="230">
        <v>0.0</v>
      </c>
      <c r="AC39" s="229">
        <v>0.0</v>
      </c>
      <c r="AD39" s="231">
        <v>0.0</v>
      </c>
      <c r="AE39" s="231">
        <v>0.0</v>
      </c>
      <c r="AF39" s="231">
        <v>0.0</v>
      </c>
      <c r="AG39" s="231">
        <v>0.0</v>
      </c>
      <c r="AH39" s="232">
        <v>0.0</v>
      </c>
      <c r="AI39" s="232">
        <f>'Calculo Gas'!AQ40</f>
        <v>0</v>
      </c>
      <c r="AJ39" s="232">
        <f>'Calculo Gas'!AS40</f>
        <v>0</v>
      </c>
      <c r="AK39" s="232">
        <f>'Calculo Gas'!AU40</f>
        <v>0</v>
      </c>
      <c r="AL39" s="232">
        <f>'Calculo Gas'!AW40</f>
        <v>0</v>
      </c>
      <c r="AM39" s="233">
        <f>'Calculo Gas'!AY40</f>
        <v>0</v>
      </c>
      <c r="AN39" s="233">
        <f>'Calculo Gas'!BA40</f>
        <v>0</v>
      </c>
      <c r="AO39" s="233">
        <f>'Calculo Gas'!BC40</f>
        <v>0</v>
      </c>
      <c r="AP39" s="233">
        <f>'Calculo Gas'!BE40</f>
        <v>0</v>
      </c>
      <c r="AQ39" s="233" t="str">
        <f>'Calculo Gas'!BG40</f>
        <v>0</v>
      </c>
      <c r="AR39" s="233" t="str">
        <f>'Calculo Gas'!BI40</f>
        <v>0</v>
      </c>
      <c r="AS39" s="233" t="str">
        <f>'Calculo Gas'!BK40</f>
        <v>0</v>
      </c>
      <c r="AT39" s="233" t="str">
        <f>'Calculo Gas'!BM40</f>
        <v>0</v>
      </c>
      <c r="AU39" s="233" t="str">
        <f>'Calculo Gas'!BO40</f>
        <v>0</v>
      </c>
      <c r="AV39" s="235">
        <f>IFERROR(__xludf.DUMMYFUNCTION("""COMPUTED_VALUE"""),0.0)</f>
        <v>0</v>
      </c>
      <c r="AW39" s="235">
        <f>IFERROR(__xludf.DUMMYFUNCTION("""COMPUTED_VALUE"""),0.0)</f>
        <v>0</v>
      </c>
      <c r="AX39" s="235"/>
      <c r="AY39" s="235">
        <f t="shared" si="2"/>
        <v>0</v>
      </c>
      <c r="AZ39" s="235"/>
    </row>
    <row r="40" ht="12.75" customHeight="1">
      <c r="A40" s="224">
        <v>901.0</v>
      </c>
      <c r="B40" s="225" t="s">
        <v>396</v>
      </c>
      <c r="C40" s="226">
        <v>2033963.0</v>
      </c>
      <c r="D40" s="227">
        <v>0.0</v>
      </c>
      <c r="E40" s="227">
        <v>0.0</v>
      </c>
      <c r="F40" s="227">
        <v>0.0</v>
      </c>
      <c r="G40" s="227">
        <v>0.0</v>
      </c>
      <c r="H40" s="227">
        <v>0.0</v>
      </c>
      <c r="I40" s="227">
        <v>0.0</v>
      </c>
      <c r="J40" s="227">
        <v>0.0</v>
      </c>
      <c r="K40" s="227">
        <v>0.0</v>
      </c>
      <c r="L40" s="227">
        <v>0.0</v>
      </c>
      <c r="M40" s="227">
        <v>0.0</v>
      </c>
      <c r="N40" s="227">
        <v>0.0</v>
      </c>
      <c r="O40" s="227">
        <v>0.0</v>
      </c>
      <c r="P40" s="227">
        <v>0.0</v>
      </c>
      <c r="Q40" s="227">
        <v>0.0</v>
      </c>
      <c r="R40" s="227">
        <v>0.0</v>
      </c>
      <c r="S40" s="227">
        <v>0.0</v>
      </c>
      <c r="T40" s="227">
        <v>0.0</v>
      </c>
      <c r="U40" s="227">
        <v>0.0</v>
      </c>
      <c r="V40" s="227">
        <v>0.0</v>
      </c>
      <c r="W40" s="228">
        <v>0.0</v>
      </c>
      <c r="X40" s="229">
        <v>59.043658720070496</v>
      </c>
      <c r="Y40" s="229">
        <v>44.8601511581172</v>
      </c>
      <c r="Z40" s="229">
        <v>38.64798876386152</v>
      </c>
      <c r="AA40" s="229">
        <v>66.30431608331524</v>
      </c>
      <c r="AB40" s="230">
        <v>79.20199602417944</v>
      </c>
      <c r="AC40" s="229">
        <v>98.12243223843883</v>
      </c>
      <c r="AD40" s="231">
        <v>153.7063539305206</v>
      </c>
      <c r="AE40" s="231">
        <v>133.4070160469928</v>
      </c>
      <c r="AF40" s="231">
        <v>126.32705567561977</v>
      </c>
      <c r="AG40" s="231">
        <v>100.2116155272447</v>
      </c>
      <c r="AH40" s="232">
        <v>18.279543661925445</v>
      </c>
      <c r="AI40" s="232">
        <f>'Calculo Gas'!AQ41</f>
        <v>18.42602693</v>
      </c>
      <c r="AJ40" s="232">
        <f>'Calculo Gas'!AS41</f>
        <v>5.305799895</v>
      </c>
      <c r="AK40" s="232">
        <f>'Calculo Gas'!AU41</f>
        <v>9.90875885</v>
      </c>
      <c r="AL40" s="232">
        <f>'Calculo Gas'!AW41</f>
        <v>13.21461208</v>
      </c>
      <c r="AM40" s="233">
        <f>'Calculo Gas'!AY41</f>
        <v>9.770621938</v>
      </c>
      <c r="AN40" s="233">
        <f>'Calculo Gas'!BA41</f>
        <v>13.21045745</v>
      </c>
      <c r="AO40" s="233">
        <f>'Calculo Gas'!BC41</f>
        <v>12.57297368</v>
      </c>
      <c r="AP40" s="233">
        <f>'Calculo Gas'!BE41</f>
        <v>19.43190095</v>
      </c>
      <c r="AQ40" s="233" t="str">
        <f>'Calculo Gas'!BG41</f>
        <v>0</v>
      </c>
      <c r="AR40" s="233" t="str">
        <f>'Calculo Gas'!BI41</f>
        <v>0</v>
      </c>
      <c r="AS40" s="233" t="str">
        <f>'Calculo Gas'!BK41</f>
        <v>0</v>
      </c>
      <c r="AT40" s="233" t="str">
        <f>'Calculo Gas'!BM41</f>
        <v>0</v>
      </c>
      <c r="AU40" s="233" t="str">
        <f>'Calculo Gas'!BO41</f>
        <v>0</v>
      </c>
      <c r="AV40" s="235">
        <f>IFERROR(__xludf.DUMMYFUNCTION("""COMPUTED_VALUE"""),-539.8399999999999)</f>
        <v>-539.84</v>
      </c>
      <c r="AW40" s="235">
        <f>IFERROR(__xludf.DUMMYFUNCTION("""COMPUTED_VALUE"""),-460.68)</f>
        <v>-460.68</v>
      </c>
      <c r="AX40" s="235"/>
      <c r="AY40" s="235">
        <f t="shared" si="2"/>
        <v>19.4332796</v>
      </c>
      <c r="AZ40" s="235"/>
    </row>
    <row r="41" ht="12.75" customHeight="1">
      <c r="A41" s="224">
        <v>902.0</v>
      </c>
      <c r="B41" s="225" t="s">
        <v>397</v>
      </c>
      <c r="C41" s="226" t="s">
        <v>246</v>
      </c>
      <c r="D41" s="227">
        <v>0.0</v>
      </c>
      <c r="E41" s="227">
        <v>0.0</v>
      </c>
      <c r="F41" s="227">
        <v>0.0</v>
      </c>
      <c r="G41" s="227">
        <v>0.0</v>
      </c>
      <c r="H41" s="227">
        <v>0.0</v>
      </c>
      <c r="I41" s="227">
        <v>0.0</v>
      </c>
      <c r="J41" s="227">
        <v>0.0</v>
      </c>
      <c r="K41" s="227">
        <v>0.0</v>
      </c>
      <c r="L41" s="227">
        <v>0.0</v>
      </c>
      <c r="M41" s="227">
        <v>0.0</v>
      </c>
      <c r="N41" s="227">
        <v>0.0</v>
      </c>
      <c r="O41" s="227">
        <v>0.0</v>
      </c>
      <c r="P41" s="227">
        <v>0.0</v>
      </c>
      <c r="Q41" s="227">
        <v>0.0</v>
      </c>
      <c r="R41" s="227">
        <v>0.0</v>
      </c>
      <c r="S41" s="227">
        <v>0.0</v>
      </c>
      <c r="T41" s="227">
        <v>0.0</v>
      </c>
      <c r="U41" s="227">
        <v>0.0</v>
      </c>
      <c r="V41" s="227">
        <v>0.0</v>
      </c>
      <c r="W41" s="228">
        <v>0.0</v>
      </c>
      <c r="X41" s="229">
        <v>0.0</v>
      </c>
      <c r="Y41" s="229">
        <v>0.0</v>
      </c>
      <c r="Z41" s="229">
        <v>0.0</v>
      </c>
      <c r="AA41" s="229">
        <v>0.0</v>
      </c>
      <c r="AB41" s="230">
        <v>0.0</v>
      </c>
      <c r="AC41" s="229">
        <v>0.0</v>
      </c>
      <c r="AD41" s="231">
        <v>0.0</v>
      </c>
      <c r="AE41" s="231">
        <v>0.18088143602533413</v>
      </c>
      <c r="AF41" s="231">
        <v>0.0</v>
      </c>
      <c r="AG41" s="231">
        <v>0.0</v>
      </c>
      <c r="AH41" s="232">
        <v>0.0</v>
      </c>
      <c r="AI41" s="232">
        <f>'Calculo Gas'!AQ42</f>
        <v>0</v>
      </c>
      <c r="AJ41" s="232">
        <f>'Calculo Gas'!AS42</f>
        <v>0.01181692627</v>
      </c>
      <c r="AK41" s="232">
        <f>'Calculo Gas'!AU42</f>
        <v>0.8658138801</v>
      </c>
      <c r="AL41" s="232">
        <f>'Calculo Gas'!AW42</f>
        <v>2.439432099</v>
      </c>
      <c r="AM41" s="233">
        <f>'Calculo Gas'!AY42</f>
        <v>1.427299879</v>
      </c>
      <c r="AN41" s="233">
        <f>'Calculo Gas'!BA42</f>
        <v>2.719394063</v>
      </c>
      <c r="AO41" s="233">
        <f>'Calculo Gas'!BC42</f>
        <v>34.94657284</v>
      </c>
      <c r="AP41" s="233">
        <f>'Calculo Gas'!BE42</f>
        <v>76.43070272</v>
      </c>
      <c r="AQ41" s="233" t="str">
        <f>'Calculo Gas'!BG42</f>
        <v>0</v>
      </c>
      <c r="AR41" s="233" t="str">
        <f>'Calculo Gas'!BI42</f>
        <v>0</v>
      </c>
      <c r="AS41" s="233" t="str">
        <f>'Calculo Gas'!BK42</f>
        <v>0</v>
      </c>
      <c r="AT41" s="233" t="str">
        <f>'Calculo Gas'!BM42</f>
        <v>0</v>
      </c>
      <c r="AU41" s="233" t="str">
        <f>'Calculo Gas'!BO42</f>
        <v>0</v>
      </c>
      <c r="AV41" s="235">
        <f>IFERROR(__xludf.DUMMYFUNCTION("""COMPUTED_VALUE"""),0.0)</f>
        <v>0</v>
      </c>
      <c r="AW41" s="235">
        <f>IFERROR(__xludf.DUMMYFUNCTION("""COMPUTED_VALUE"""),-42.6)</f>
        <v>-42.6</v>
      </c>
      <c r="AX41" s="235"/>
      <c r="AY41" s="235">
        <f t="shared" si="2"/>
        <v>76.42191385</v>
      </c>
      <c r="AZ41" s="235"/>
    </row>
    <row r="42" ht="12.75" customHeight="1">
      <c r="A42" s="224">
        <v>903.0</v>
      </c>
      <c r="B42" s="225" t="s">
        <v>398</v>
      </c>
      <c r="C42" s="226">
        <v>2034024.0</v>
      </c>
      <c r="D42" s="227">
        <v>0.0</v>
      </c>
      <c r="E42" s="227">
        <v>0.0</v>
      </c>
      <c r="F42" s="227">
        <v>0.0</v>
      </c>
      <c r="G42" s="227">
        <v>0.0</v>
      </c>
      <c r="H42" s="227">
        <v>0.0</v>
      </c>
      <c r="I42" s="227">
        <v>0.0</v>
      </c>
      <c r="J42" s="227">
        <v>0.0</v>
      </c>
      <c r="K42" s="227">
        <v>0.0</v>
      </c>
      <c r="L42" s="227">
        <v>0.0</v>
      </c>
      <c r="M42" s="227">
        <v>0.0</v>
      </c>
      <c r="N42" s="227">
        <v>0.0</v>
      </c>
      <c r="O42" s="227">
        <v>0.0</v>
      </c>
      <c r="P42" s="227">
        <v>0.0</v>
      </c>
      <c r="Q42" s="227">
        <v>0.0</v>
      </c>
      <c r="R42" s="227">
        <v>0.0</v>
      </c>
      <c r="S42" s="227">
        <v>0.0</v>
      </c>
      <c r="T42" s="227">
        <v>0.0</v>
      </c>
      <c r="U42" s="227">
        <v>0.0</v>
      </c>
      <c r="V42" s="227">
        <v>0.0</v>
      </c>
      <c r="W42" s="228">
        <v>0.0</v>
      </c>
      <c r="X42" s="229">
        <v>23.427793198267207</v>
      </c>
      <c r="Y42" s="229">
        <v>18.824150622206687</v>
      </c>
      <c r="Z42" s="229">
        <v>28.382306348092364</v>
      </c>
      <c r="AA42" s="229">
        <v>35.596134850762056</v>
      </c>
      <c r="AB42" s="230">
        <v>24.25520981243295</v>
      </c>
      <c r="AC42" s="229">
        <v>23.08097207505941</v>
      </c>
      <c r="AD42" s="231">
        <v>20.31750655403419</v>
      </c>
      <c r="AE42" s="231">
        <v>24.488563646506627</v>
      </c>
      <c r="AF42" s="231">
        <v>21.064114438612606</v>
      </c>
      <c r="AG42" s="231">
        <v>21.03917698426969</v>
      </c>
      <c r="AH42" s="232">
        <v>17.905496060302927</v>
      </c>
      <c r="AI42" s="232">
        <f>'Calculo Gas'!AQ43</f>
        <v>10.6985536</v>
      </c>
      <c r="AJ42" s="232">
        <f>'Calculo Gas'!AS43</f>
        <v>14.81842554</v>
      </c>
      <c r="AK42" s="232">
        <f>'Calculo Gas'!AU43</f>
        <v>43.24259323</v>
      </c>
      <c r="AL42" s="232">
        <f>'Calculo Gas'!AW43</f>
        <v>23.41364477</v>
      </c>
      <c r="AM42" s="233">
        <f>'Calculo Gas'!AY43</f>
        <v>13.61156714</v>
      </c>
      <c r="AN42" s="233">
        <f>'Calculo Gas'!BA43</f>
        <v>22.83186691</v>
      </c>
      <c r="AO42" s="233">
        <f>'Calculo Gas'!BC43</f>
        <v>25.07101903</v>
      </c>
      <c r="AP42" s="233">
        <f>'Calculo Gas'!BE43</f>
        <v>33.74104269</v>
      </c>
      <c r="AQ42" s="233" t="str">
        <f>'Calculo Gas'!BG43</f>
        <v>0</v>
      </c>
      <c r="AR42" s="233" t="str">
        <f>'Calculo Gas'!BI43</f>
        <v>0</v>
      </c>
      <c r="AS42" s="233" t="str">
        <f>'Calculo Gas'!BK43</f>
        <v>0</v>
      </c>
      <c r="AT42" s="233" t="str">
        <f>'Calculo Gas'!BM43</f>
        <v>0</v>
      </c>
      <c r="AU42" s="233" t="str">
        <f>'Calculo Gas'!BO43</f>
        <v>0</v>
      </c>
      <c r="AV42" s="235">
        <f>IFERROR(__xludf.DUMMYFUNCTION("""COMPUTED_VALUE"""),-173.89)</f>
        <v>-173.89</v>
      </c>
      <c r="AW42" s="235">
        <f>IFERROR(__xludf.DUMMYFUNCTION("""COMPUTED_VALUE"""),-238.18)</f>
        <v>-238.18</v>
      </c>
      <c r="AX42" s="235"/>
      <c r="AY42" s="235">
        <f t="shared" si="2"/>
        <v>33.7401375</v>
      </c>
      <c r="AZ42" s="235"/>
    </row>
    <row r="43" ht="12.75" customHeight="1">
      <c r="A43" s="281">
        <v>1002.0</v>
      </c>
      <c r="B43" s="282" t="s">
        <v>399</v>
      </c>
      <c r="C43" s="158">
        <v>2034091.0</v>
      </c>
      <c r="D43" s="283">
        <v>0.0</v>
      </c>
      <c r="E43" s="283">
        <v>0.0</v>
      </c>
      <c r="F43" s="283">
        <v>0.0</v>
      </c>
      <c r="G43" s="283">
        <v>0.0</v>
      </c>
      <c r="H43" s="283">
        <v>0.0</v>
      </c>
      <c r="I43" s="283">
        <v>0.0</v>
      </c>
      <c r="J43" s="283">
        <v>0.0</v>
      </c>
      <c r="K43" s="283">
        <v>0.0</v>
      </c>
      <c r="L43" s="283">
        <v>0.0</v>
      </c>
      <c r="M43" s="283">
        <v>0.0</v>
      </c>
      <c r="N43" s="283">
        <v>0.0</v>
      </c>
      <c r="O43" s="283">
        <v>0.0</v>
      </c>
      <c r="P43" s="283">
        <v>0.0</v>
      </c>
      <c r="Q43" s="283">
        <v>0.0</v>
      </c>
      <c r="R43" s="283">
        <v>0.0</v>
      </c>
      <c r="S43" s="283">
        <v>0.0</v>
      </c>
      <c r="T43" s="283">
        <v>0.0</v>
      </c>
      <c r="U43" s="283">
        <v>0.0</v>
      </c>
      <c r="V43" s="283">
        <v>0.0</v>
      </c>
      <c r="W43" s="284">
        <v>0.0</v>
      </c>
      <c r="X43" s="285">
        <v>41.39378453396976</v>
      </c>
      <c r="Y43" s="285">
        <v>39.995208334975054</v>
      </c>
      <c r="Z43" s="285">
        <v>45.309761395371794</v>
      </c>
      <c r="AA43" s="285">
        <v>47.03422804380493</v>
      </c>
      <c r="AB43" s="285">
        <v>32.79849081098624</v>
      </c>
      <c r="AC43" s="285">
        <v>43.558259561814175</v>
      </c>
      <c r="AD43" s="285">
        <v>48.685077065312385</v>
      </c>
      <c r="AE43" s="285">
        <v>44.27420995635466</v>
      </c>
      <c r="AF43" s="285">
        <v>44.073273644128854</v>
      </c>
      <c r="AG43" s="285">
        <v>44.590346312578674</v>
      </c>
      <c r="AH43" s="286">
        <v>44.17014286992092</v>
      </c>
      <c r="AI43" s="287">
        <f>'Calculo Gas'!AQ44</f>
        <v>12.23072503</v>
      </c>
      <c r="AJ43" s="287">
        <f>'Calculo Gas'!AS44</f>
        <v>17.04000768</v>
      </c>
      <c r="AK43" s="287">
        <f>'Calculo Gas'!AU44</f>
        <v>2.308837014</v>
      </c>
      <c r="AL43" s="287">
        <f>'Calculo Gas'!AW44</f>
        <v>151.7719036</v>
      </c>
      <c r="AM43" s="288">
        <f>'Calculo Gas'!AY44</f>
        <v>51.18552657</v>
      </c>
      <c r="AN43" s="288">
        <f>'Calculo Gas'!BA44</f>
        <v>61.91107803</v>
      </c>
      <c r="AO43" s="288">
        <f>'Calculo Gas'!BC44</f>
        <v>24.81626271</v>
      </c>
      <c r="AP43" s="288">
        <f>'Calculo Gas'!BE44</f>
        <v>26.67293189</v>
      </c>
      <c r="AQ43" s="288" t="str">
        <f>'Calculo Gas'!BG44</f>
        <v>0</v>
      </c>
      <c r="AR43" s="288" t="str">
        <f>'Calculo Gas'!BI44</f>
        <v>0</v>
      </c>
      <c r="AS43" s="288" t="str">
        <f>'Calculo Gas'!BK44</f>
        <v>0</v>
      </c>
      <c r="AT43" s="288" t="str">
        <f>'Calculo Gas'!BM44</f>
        <v>0</v>
      </c>
      <c r="AU43" s="288" t="str">
        <f>'Calculo Gas'!BO44</f>
        <v>0</v>
      </c>
      <c r="AV43" s="289">
        <f>IFERROR(__xludf.DUMMYFUNCTION("""COMPUTED_VALUE"""),-250.1)</f>
        <v>-250.1</v>
      </c>
      <c r="AW43" s="289">
        <f>IFERROR(__xludf.DUMMYFUNCTION("""COMPUTED_VALUE"""),-547.0500000000001)</f>
        <v>-547.05</v>
      </c>
      <c r="AX43" s="289"/>
      <c r="AY43" s="235">
        <f t="shared" si="2"/>
        <v>26.67005508</v>
      </c>
      <c r="AZ43" s="289"/>
    </row>
    <row r="44" ht="12.75" customHeight="1">
      <c r="A44" s="281">
        <v>1001.0</v>
      </c>
      <c r="B44" s="282" t="s">
        <v>400</v>
      </c>
      <c r="C44" s="158">
        <v>2034086.0</v>
      </c>
      <c r="D44" s="283">
        <v>0.0</v>
      </c>
      <c r="E44" s="283">
        <v>0.0</v>
      </c>
      <c r="F44" s="283">
        <v>0.0</v>
      </c>
      <c r="G44" s="283">
        <v>0.0</v>
      </c>
      <c r="H44" s="283">
        <v>0.0</v>
      </c>
      <c r="I44" s="283">
        <v>0.0</v>
      </c>
      <c r="J44" s="283">
        <v>0.0</v>
      </c>
      <c r="K44" s="283">
        <v>0.0</v>
      </c>
      <c r="L44" s="283">
        <v>0.0</v>
      </c>
      <c r="M44" s="283">
        <v>0.0</v>
      </c>
      <c r="N44" s="283">
        <v>0.0</v>
      </c>
      <c r="O44" s="283">
        <v>0.0</v>
      </c>
      <c r="P44" s="283">
        <v>0.0</v>
      </c>
      <c r="Q44" s="283">
        <v>0.0</v>
      </c>
      <c r="R44" s="283">
        <v>0.0</v>
      </c>
      <c r="S44" s="283">
        <v>0.0</v>
      </c>
      <c r="T44" s="283">
        <v>0.0</v>
      </c>
      <c r="U44" s="283">
        <v>0.0</v>
      </c>
      <c r="V44" s="283">
        <v>0.0</v>
      </c>
      <c r="W44" s="284">
        <v>0.0</v>
      </c>
      <c r="X44" s="275">
        <v>97.99631637655847</v>
      </c>
      <c r="Y44" s="275">
        <v>110.63466706597247</v>
      </c>
      <c r="Z44" s="275">
        <v>136.30544985383176</v>
      </c>
      <c r="AA44" s="275">
        <v>144.11715696800485</v>
      </c>
      <c r="AB44" s="290">
        <v>144.87605988072605</v>
      </c>
      <c r="AC44" s="275">
        <v>128.17171958847518</v>
      </c>
      <c r="AD44" s="291">
        <v>185.2512063222678</v>
      </c>
      <c r="AE44" s="291">
        <v>153.61008105536004</v>
      </c>
      <c r="AF44" s="291">
        <v>145.57579499845707</v>
      </c>
      <c r="AG44" s="291">
        <v>96.92517495065447</v>
      </c>
      <c r="AH44" s="287">
        <v>160.71036518430043</v>
      </c>
      <c r="AI44" s="287">
        <f>'Calculo Gas'!AQ45</f>
        <v>135.4972479</v>
      </c>
      <c r="AJ44" s="287">
        <f>'Calculo Gas'!AS45</f>
        <v>82.68303311</v>
      </c>
      <c r="AK44" s="287">
        <f>'Calculo Gas'!AU45</f>
        <v>153.2250064</v>
      </c>
      <c r="AL44" s="287">
        <f>'Calculo Gas'!AW45</f>
        <v>154.5300555</v>
      </c>
      <c r="AM44" s="288">
        <f>'Calculo Gas'!AY45</f>
        <v>129.698624</v>
      </c>
      <c r="AN44" s="288">
        <f>'Calculo Gas'!BA45</f>
        <v>176.2084529</v>
      </c>
      <c r="AO44" s="288">
        <f>'Calculo Gas'!BC45</f>
        <v>173.8487099</v>
      </c>
      <c r="AP44" s="288">
        <f>'Calculo Gas'!BE45</f>
        <v>161.2696473</v>
      </c>
      <c r="AQ44" s="288" t="str">
        <f>'Calculo Gas'!BG45</f>
        <v>0</v>
      </c>
      <c r="AR44" s="288" t="str">
        <f>'Calculo Gas'!BI45</f>
        <v>0</v>
      </c>
      <c r="AS44" s="288" t="str">
        <f>'Calculo Gas'!BK45</f>
        <v>0</v>
      </c>
      <c r="AT44" s="288" t="str">
        <f>'Calculo Gas'!BM45</f>
        <v>0</v>
      </c>
      <c r="AU44" s="288" t="str">
        <f>'Calculo Gas'!BO45</f>
        <v>0</v>
      </c>
      <c r="AV44" s="289">
        <f>IFERROR(__xludf.DUMMYFUNCTION("""COMPUTED_VALUE"""),-1049.8999999999999)</f>
        <v>-1049.9</v>
      </c>
      <c r="AW44" s="289">
        <f>IFERROR(__xludf.DUMMYFUNCTION("""COMPUTED_VALUE"""),-1621.2299999999998)</f>
        <v>-1621.23</v>
      </c>
      <c r="AX44" s="289"/>
      <c r="AY44" s="235">
        <f t="shared" si="2"/>
        <v>0.004769299744</v>
      </c>
      <c r="AZ44" s="289"/>
    </row>
    <row r="45" ht="12.75" customHeight="1">
      <c r="A45" s="224">
        <v>1003.0</v>
      </c>
      <c r="B45" s="292" t="s">
        <v>401</v>
      </c>
      <c r="C45" s="226">
        <v>2034021.0</v>
      </c>
      <c r="D45" s="227">
        <v>0.0</v>
      </c>
      <c r="E45" s="227">
        <v>0.0</v>
      </c>
      <c r="F45" s="227">
        <v>0.0</v>
      </c>
      <c r="G45" s="227">
        <v>0.0</v>
      </c>
      <c r="H45" s="227">
        <v>0.0</v>
      </c>
      <c r="I45" s="227">
        <v>0.0</v>
      </c>
      <c r="J45" s="227">
        <v>0.0</v>
      </c>
      <c r="K45" s="227">
        <v>0.0</v>
      </c>
      <c r="L45" s="227">
        <v>0.0</v>
      </c>
      <c r="M45" s="227">
        <v>0.0</v>
      </c>
      <c r="N45" s="227">
        <v>0.0</v>
      </c>
      <c r="O45" s="227">
        <v>0.0</v>
      </c>
      <c r="P45" s="227">
        <v>0.0</v>
      </c>
      <c r="Q45" s="227">
        <v>0.0</v>
      </c>
      <c r="R45" s="227">
        <v>0.0</v>
      </c>
      <c r="S45" s="227">
        <v>0.0</v>
      </c>
      <c r="T45" s="227">
        <v>0.0</v>
      </c>
      <c r="U45" s="227">
        <v>0.0</v>
      </c>
      <c r="V45" s="227">
        <v>0.0</v>
      </c>
      <c r="W45" s="228">
        <v>0.0</v>
      </c>
      <c r="X45" s="229">
        <v>0.0</v>
      </c>
      <c r="Y45" s="229">
        <v>0.0</v>
      </c>
      <c r="Z45" s="229">
        <v>0.0</v>
      </c>
      <c r="AA45" s="229">
        <v>0.0</v>
      </c>
      <c r="AB45" s="230">
        <v>0.0</v>
      </c>
      <c r="AC45" s="229">
        <v>0.0</v>
      </c>
      <c r="AD45" s="231">
        <v>0.0</v>
      </c>
      <c r="AE45" s="231">
        <v>0.0</v>
      </c>
      <c r="AF45" s="231">
        <v>0.0</v>
      </c>
      <c r="AG45" s="231">
        <v>0.0</v>
      </c>
      <c r="AH45" s="232">
        <v>0.0</v>
      </c>
      <c r="AI45" s="232">
        <f>'Calculo Gas'!AQ46</f>
        <v>0</v>
      </c>
      <c r="AJ45" s="232">
        <f>'Calculo Gas'!AS46</f>
        <v>0</v>
      </c>
      <c r="AK45" s="232">
        <f>'Calculo Gas'!AU46</f>
        <v>0</v>
      </c>
      <c r="AL45" s="232">
        <f>'Calculo Gas'!AW46</f>
        <v>0</v>
      </c>
      <c r="AM45" s="233">
        <f>'Calculo Gas'!AY46</f>
        <v>0</v>
      </c>
      <c r="AN45" s="233">
        <f>'Calculo Gas'!BA46</f>
        <v>0</v>
      </c>
      <c r="AO45" s="233">
        <f>'Calculo Gas'!BC46</f>
        <v>0</v>
      </c>
      <c r="AP45" s="233">
        <f>'Calculo Gas'!BE46</f>
        <v>0</v>
      </c>
      <c r="AQ45" s="233" t="str">
        <f>'Calculo Gas'!BG46</f>
        <v>0</v>
      </c>
      <c r="AR45" s="233" t="str">
        <f>'Calculo Gas'!BI46</f>
        <v>0</v>
      </c>
      <c r="AS45" s="233" t="str">
        <f>'Calculo Gas'!BK46</f>
        <v>0</v>
      </c>
      <c r="AT45" s="233" t="str">
        <f>'Calculo Gas'!BM46</f>
        <v>0</v>
      </c>
      <c r="AU45" s="233" t="str">
        <f>'Calculo Gas'!BO46</f>
        <v>0</v>
      </c>
      <c r="AV45" s="235">
        <f>IFERROR(__xludf.DUMMYFUNCTION("""COMPUTED_VALUE"""),0.0)</f>
        <v>0</v>
      </c>
      <c r="AW45" s="235">
        <f>IFERROR(__xludf.DUMMYFUNCTION("""COMPUTED_VALUE"""),0.0)</f>
        <v>0</v>
      </c>
      <c r="AX45" s="235"/>
      <c r="AY45" s="235">
        <f t="shared" si="2"/>
        <v>0</v>
      </c>
      <c r="AZ45" s="235"/>
    </row>
    <row r="46" ht="12.75" customHeight="1">
      <c r="A46" s="224">
        <v>1101.0</v>
      </c>
      <c r="B46" s="225" t="s">
        <v>402</v>
      </c>
      <c r="C46" s="226">
        <v>2034054.0</v>
      </c>
      <c r="D46" s="227">
        <v>0.0</v>
      </c>
      <c r="E46" s="227">
        <v>0.0</v>
      </c>
      <c r="F46" s="227">
        <v>0.0</v>
      </c>
      <c r="G46" s="227">
        <v>0.0</v>
      </c>
      <c r="H46" s="227">
        <v>0.0</v>
      </c>
      <c r="I46" s="227">
        <v>0.0</v>
      </c>
      <c r="J46" s="227">
        <v>0.0</v>
      </c>
      <c r="K46" s="227">
        <v>0.0</v>
      </c>
      <c r="L46" s="227">
        <v>0.0</v>
      </c>
      <c r="M46" s="227">
        <v>0.0</v>
      </c>
      <c r="N46" s="227">
        <v>0.0</v>
      </c>
      <c r="O46" s="227">
        <v>0.0</v>
      </c>
      <c r="P46" s="227">
        <v>0.0</v>
      </c>
      <c r="Q46" s="227">
        <v>0.0</v>
      </c>
      <c r="R46" s="227">
        <v>0.0</v>
      </c>
      <c r="S46" s="227">
        <v>0.0</v>
      </c>
      <c r="T46" s="227">
        <v>0.0</v>
      </c>
      <c r="U46" s="227">
        <v>0.0</v>
      </c>
      <c r="V46" s="227">
        <v>0.0</v>
      </c>
      <c r="W46" s="228">
        <v>0.0</v>
      </c>
      <c r="X46" s="229">
        <v>42.18407740797405</v>
      </c>
      <c r="Y46" s="229">
        <v>24.080244627109458</v>
      </c>
      <c r="Z46" s="229">
        <v>23.771243324459558</v>
      </c>
      <c r="AA46" s="229">
        <v>21.6225037577843</v>
      </c>
      <c r="AB46" s="230">
        <v>32.952655280133065</v>
      </c>
      <c r="AC46" s="229">
        <v>36.16228594866185</v>
      </c>
      <c r="AD46" s="231">
        <v>30.64723464076266</v>
      </c>
      <c r="AE46" s="257">
        <v>50.77202769664953</v>
      </c>
      <c r="AF46" s="257">
        <v>28.08068333847916</v>
      </c>
      <c r="AG46" s="257">
        <v>39.94365691727973</v>
      </c>
      <c r="AH46" s="258">
        <v>54.513372201757974</v>
      </c>
      <c r="AI46" s="258">
        <f>'Calculo Gas'!AQ47</f>
        <v>45.85855726</v>
      </c>
      <c r="AJ46" s="258">
        <f>'Calculo Gas'!AS47</f>
        <v>19.53337912</v>
      </c>
      <c r="AK46" s="258">
        <f>'Calculo Gas'!AU47</f>
        <v>22.87191667</v>
      </c>
      <c r="AL46" s="258">
        <f>'Calculo Gas'!AW47</f>
        <v>23.11944191</v>
      </c>
      <c r="AM46" s="259">
        <f>'Calculo Gas'!AY47</f>
        <v>29.97329747</v>
      </c>
      <c r="AN46" s="233">
        <f>'Calculo Gas'!BA47</f>
        <v>37.00860651</v>
      </c>
      <c r="AO46" s="233">
        <f>'Calculo Gas'!BC47</f>
        <v>37.97367735</v>
      </c>
      <c r="AP46" s="233">
        <f>'Calculo Gas'!BE47</f>
        <v>48.84994009</v>
      </c>
      <c r="AQ46" s="233" t="str">
        <f>'Calculo Gas'!BG47</f>
        <v>0</v>
      </c>
      <c r="AR46" s="233" t="str">
        <f>'Calculo Gas'!BI47</f>
        <v>0</v>
      </c>
      <c r="AS46" s="233" t="str">
        <f>'Calculo Gas'!BK47</f>
        <v>0</v>
      </c>
      <c r="AT46" s="233" t="str">
        <f>'Calculo Gas'!BM47</f>
        <v>0</v>
      </c>
      <c r="AU46" s="233" t="str">
        <f>'Calculo Gas'!BO47</f>
        <v>0</v>
      </c>
      <c r="AV46" s="235">
        <f>IFERROR(__xludf.DUMMYFUNCTION("""COMPUTED_VALUE"""),-211.41)</f>
        <v>-211.41</v>
      </c>
      <c r="AW46" s="235">
        <f>IFERROR(__xludf.DUMMYFUNCTION("""COMPUTED_VALUE"""),-389.58)</f>
        <v>-389.58</v>
      </c>
      <c r="AX46" s="235"/>
      <c r="AY46" s="235">
        <f t="shared" si="2"/>
        <v>48.92880152</v>
      </c>
      <c r="AZ46" s="235"/>
    </row>
    <row r="47" ht="12.75" customHeight="1">
      <c r="A47" s="224">
        <v>1102.0</v>
      </c>
      <c r="B47" s="225" t="s">
        <v>403</v>
      </c>
      <c r="C47" s="226">
        <v>2034060.0</v>
      </c>
      <c r="D47" s="227">
        <v>0.0</v>
      </c>
      <c r="E47" s="227">
        <v>0.0</v>
      </c>
      <c r="F47" s="227">
        <v>0.0</v>
      </c>
      <c r="G47" s="227">
        <v>0.0</v>
      </c>
      <c r="H47" s="227">
        <v>0.0</v>
      </c>
      <c r="I47" s="227">
        <v>0.0</v>
      </c>
      <c r="J47" s="227">
        <v>0.0</v>
      </c>
      <c r="K47" s="227">
        <v>0.0</v>
      </c>
      <c r="L47" s="227">
        <v>0.0</v>
      </c>
      <c r="M47" s="227">
        <v>0.0</v>
      </c>
      <c r="N47" s="227">
        <v>0.0</v>
      </c>
      <c r="O47" s="227">
        <v>0.0</v>
      </c>
      <c r="P47" s="227">
        <v>0.0</v>
      </c>
      <c r="Q47" s="227">
        <v>0.0</v>
      </c>
      <c r="R47" s="227">
        <v>0.0</v>
      </c>
      <c r="S47" s="227">
        <v>0.0</v>
      </c>
      <c r="T47" s="227">
        <v>0.0</v>
      </c>
      <c r="U47" s="227">
        <v>0.0</v>
      </c>
      <c r="V47" s="227">
        <v>0.0</v>
      </c>
      <c r="W47" s="228">
        <v>0.0</v>
      </c>
      <c r="X47" s="229">
        <v>0.0</v>
      </c>
      <c r="Y47" s="229">
        <v>0.0</v>
      </c>
      <c r="Z47" s="229">
        <v>0.0</v>
      </c>
      <c r="AA47" s="229">
        <v>0.0</v>
      </c>
      <c r="AB47" s="230">
        <v>54.31728129606355</v>
      </c>
      <c r="AC47" s="229">
        <v>44.42615442458227</v>
      </c>
      <c r="AD47" s="231">
        <v>60.496586836205836</v>
      </c>
      <c r="AE47" s="231">
        <v>51.38424178781235</v>
      </c>
      <c r="AF47" s="231">
        <v>58.56745909231247</v>
      </c>
      <c r="AG47" s="231">
        <v>50.30934864525402</v>
      </c>
      <c r="AH47" s="230">
        <v>54.33447987054703</v>
      </c>
      <c r="AI47" s="232">
        <f>'Calculo Gas'!AQ48</f>
        <v>15.54820927</v>
      </c>
      <c r="AJ47" s="232">
        <f>'Calculo Gas'!AS48</f>
        <v>18.41077113</v>
      </c>
      <c r="AK47" s="232">
        <f>'Calculo Gas'!AU48</f>
        <v>0.01202519278</v>
      </c>
      <c r="AL47" s="232">
        <f>'Calculo Gas'!AW48</f>
        <v>0</v>
      </c>
      <c r="AM47" s="233">
        <f>'Calculo Gas'!AY48</f>
        <v>34.88181656</v>
      </c>
      <c r="AN47" s="233">
        <f>'Calculo Gas'!BA48</f>
        <v>51.43381868</v>
      </c>
      <c r="AO47" s="233">
        <f>'Calculo Gas'!BC48</f>
        <v>56.33111806</v>
      </c>
      <c r="AP47" s="233">
        <f>'Calculo Gas'!BE48</f>
        <v>76.38747269</v>
      </c>
      <c r="AQ47" s="233" t="str">
        <f>'Calculo Gas'!BG48</f>
        <v>0</v>
      </c>
      <c r="AR47" s="233" t="str">
        <f>'Calculo Gas'!BI48</f>
        <v>0</v>
      </c>
      <c r="AS47" s="233" t="str">
        <f>'Calculo Gas'!BK48</f>
        <v>0</v>
      </c>
      <c r="AT47" s="233" t="str">
        <f>'Calculo Gas'!BM48</f>
        <v>0</v>
      </c>
      <c r="AU47" s="233" t="str">
        <f>'Calculo Gas'!BO48</f>
        <v>0</v>
      </c>
      <c r="AV47" s="235">
        <f>IFERROR(__xludf.DUMMYFUNCTION("""COMPUTED_VALUE"""),-104.9)</f>
        <v>-104.9</v>
      </c>
      <c r="AW47" s="235">
        <f>IFERROR(__xludf.DUMMYFUNCTION("""COMPUTED_VALUE"""),-445.55)</f>
        <v>-445.55</v>
      </c>
      <c r="AX47" s="235"/>
      <c r="AY47" s="235">
        <f t="shared" si="2"/>
        <v>76.39078354</v>
      </c>
      <c r="AZ47" s="235"/>
    </row>
    <row r="48" ht="12.75" customHeight="1">
      <c r="A48" s="224">
        <v>1103.0</v>
      </c>
      <c r="B48" s="225" t="s">
        <v>404</v>
      </c>
      <c r="C48" s="226" t="s">
        <v>248</v>
      </c>
      <c r="D48" s="227">
        <v>0.0</v>
      </c>
      <c r="E48" s="227">
        <v>0.0</v>
      </c>
      <c r="F48" s="227">
        <v>0.0</v>
      </c>
      <c r="G48" s="227">
        <v>0.0</v>
      </c>
      <c r="H48" s="227">
        <v>0.0</v>
      </c>
      <c r="I48" s="227">
        <v>0.0</v>
      </c>
      <c r="J48" s="227">
        <v>0.0</v>
      </c>
      <c r="K48" s="227">
        <v>0.0</v>
      </c>
      <c r="L48" s="227">
        <v>0.0</v>
      </c>
      <c r="M48" s="227">
        <v>0.0</v>
      </c>
      <c r="N48" s="227">
        <v>0.0</v>
      </c>
      <c r="O48" s="227">
        <v>0.0</v>
      </c>
      <c r="P48" s="227">
        <v>0.0</v>
      </c>
      <c r="Q48" s="227">
        <v>0.0</v>
      </c>
      <c r="R48" s="227">
        <v>0.0</v>
      </c>
      <c r="S48" s="227">
        <v>0.0</v>
      </c>
      <c r="T48" s="227">
        <v>0.0</v>
      </c>
      <c r="U48" s="227">
        <v>0.0</v>
      </c>
      <c r="V48" s="227">
        <v>0.0</v>
      </c>
      <c r="W48" s="228">
        <v>0.0</v>
      </c>
      <c r="X48" s="229">
        <v>0.0</v>
      </c>
      <c r="Y48" s="229">
        <v>0.0</v>
      </c>
      <c r="Z48" s="229">
        <v>0.0</v>
      </c>
      <c r="AA48" s="229">
        <v>0.0</v>
      </c>
      <c r="AB48" s="230">
        <v>0.0</v>
      </c>
      <c r="AC48" s="229">
        <v>0.0</v>
      </c>
      <c r="AD48" s="231">
        <v>0.0</v>
      </c>
      <c r="AE48" s="231">
        <v>0.0</v>
      </c>
      <c r="AF48" s="231">
        <v>0.07203869507053194</v>
      </c>
      <c r="AG48" s="231">
        <v>0.0</v>
      </c>
      <c r="AH48" s="232">
        <v>26.508590897632917</v>
      </c>
      <c r="AI48" s="232">
        <f>'Calculo Gas'!AQ49</f>
        <v>14.46902765</v>
      </c>
      <c r="AJ48" s="232">
        <f>'Calculo Gas'!AS49</f>
        <v>20.57326864</v>
      </c>
      <c r="AK48" s="232">
        <f>'Calculo Gas'!AU49</f>
        <v>8.044853969</v>
      </c>
      <c r="AL48" s="232">
        <f>'Calculo Gas'!AW49</f>
        <v>0</v>
      </c>
      <c r="AM48" s="233">
        <f>'Calculo Gas'!AY49</f>
        <v>23.53304191</v>
      </c>
      <c r="AN48" s="233">
        <f>'Calculo Gas'!BA49</f>
        <v>50.45373249</v>
      </c>
      <c r="AO48" s="233">
        <f>'Calculo Gas'!BC49</f>
        <v>38.82786031</v>
      </c>
      <c r="AP48" s="233">
        <f>'Calculo Gas'!BE49</f>
        <v>18.56730024</v>
      </c>
      <c r="AQ48" s="233" t="str">
        <f>'Calculo Gas'!BG49</f>
        <v>0</v>
      </c>
      <c r="AR48" s="233" t="str">
        <f>'Calculo Gas'!BI49</f>
        <v>0</v>
      </c>
      <c r="AS48" s="233" t="str">
        <f>'Calculo Gas'!BK49</f>
        <v>0</v>
      </c>
      <c r="AT48" s="233" t="str">
        <f>'Calculo Gas'!BM49</f>
        <v>0</v>
      </c>
      <c r="AU48" s="233" t="str">
        <f>'Calculo Gas'!BO49</f>
        <v>0</v>
      </c>
      <c r="AV48" s="235">
        <f>IFERROR(__xludf.DUMMYFUNCTION("""COMPUTED_VALUE"""),0.0)</f>
        <v>0</v>
      </c>
      <c r="AW48" s="235">
        <f>IFERROR(__xludf.DUMMYFUNCTION("""COMPUTED_VALUE"""),-182.48000000000002)</f>
        <v>-182.48</v>
      </c>
      <c r="AX48" s="235"/>
      <c r="AY48" s="235">
        <f t="shared" si="2"/>
        <v>18.5697148</v>
      </c>
      <c r="AZ48" s="235"/>
    </row>
    <row r="49" ht="12.75" customHeight="1">
      <c r="A49" s="224">
        <v>1201.0</v>
      </c>
      <c r="B49" s="225" t="s">
        <v>405</v>
      </c>
      <c r="C49" s="226">
        <v>2034058.0</v>
      </c>
      <c r="D49" s="227">
        <v>0.0</v>
      </c>
      <c r="E49" s="227">
        <v>0.0</v>
      </c>
      <c r="F49" s="227">
        <v>0.0</v>
      </c>
      <c r="G49" s="227">
        <v>0.0</v>
      </c>
      <c r="H49" s="227">
        <v>0.0</v>
      </c>
      <c r="I49" s="227">
        <v>0.0</v>
      </c>
      <c r="J49" s="227">
        <v>0.0</v>
      </c>
      <c r="K49" s="227">
        <v>0.0</v>
      </c>
      <c r="L49" s="227">
        <v>0.0</v>
      </c>
      <c r="M49" s="227">
        <v>0.0</v>
      </c>
      <c r="N49" s="227">
        <v>0.0</v>
      </c>
      <c r="O49" s="227">
        <v>0.0</v>
      </c>
      <c r="P49" s="227">
        <v>0.0</v>
      </c>
      <c r="Q49" s="227">
        <v>0.0</v>
      </c>
      <c r="R49" s="227">
        <v>0.0</v>
      </c>
      <c r="S49" s="227">
        <v>0.0</v>
      </c>
      <c r="T49" s="227">
        <v>0.0</v>
      </c>
      <c r="U49" s="227">
        <v>0.0</v>
      </c>
      <c r="V49" s="227">
        <v>0.0</v>
      </c>
      <c r="W49" s="228">
        <v>0.0</v>
      </c>
      <c r="X49" s="229">
        <v>209.5154219305292</v>
      </c>
      <c r="Y49" s="229">
        <v>78.51137626391977</v>
      </c>
      <c r="Z49" s="229">
        <v>97.14781728209546</v>
      </c>
      <c r="AA49" s="229">
        <v>127.63616061842419</v>
      </c>
      <c r="AB49" s="230">
        <v>124.97599632169079</v>
      </c>
      <c r="AC49" s="229">
        <v>133.54260518850137</v>
      </c>
      <c r="AD49" s="231">
        <v>160.16065299712483</v>
      </c>
      <c r="AE49" s="231">
        <v>136.1202375873727</v>
      </c>
      <c r="AF49" s="231">
        <v>167.3458886487602</v>
      </c>
      <c r="AG49" s="231">
        <v>111.76876607452556</v>
      </c>
      <c r="AH49" s="232">
        <v>145.5207799705653</v>
      </c>
      <c r="AI49" s="232">
        <f>'Calculo Gas'!AQ50</f>
        <v>110.6227777</v>
      </c>
      <c r="AJ49" s="232">
        <f>'Calculo Gas'!AS50</f>
        <v>130.0216397</v>
      </c>
      <c r="AK49" s="232">
        <f>'Calculo Gas'!AU50</f>
        <v>102.238189</v>
      </c>
      <c r="AL49" s="232">
        <f>'Calculo Gas'!AW50</f>
        <v>102.7013172</v>
      </c>
      <c r="AM49" s="233">
        <f>'Calculo Gas'!AY50</f>
        <v>104.70347</v>
      </c>
      <c r="AN49" s="233">
        <f>'Calculo Gas'!BA50</f>
        <v>135.1966774</v>
      </c>
      <c r="AO49" s="233">
        <f>'Calculo Gas'!BC50</f>
        <v>151.4151681</v>
      </c>
      <c r="AP49" s="233">
        <f>'Calculo Gas'!BE50</f>
        <v>15.75734793</v>
      </c>
      <c r="AQ49" s="233" t="str">
        <f>'Calculo Gas'!BG50</f>
        <v>0</v>
      </c>
      <c r="AR49" s="233" t="str">
        <f>'Calculo Gas'!BI50</f>
        <v>0</v>
      </c>
      <c r="AS49" s="233" t="str">
        <f>'Calculo Gas'!BK50</f>
        <v>0</v>
      </c>
      <c r="AT49" s="233" t="str">
        <f>'Calculo Gas'!BM50</f>
        <v>0</v>
      </c>
      <c r="AU49" s="233" t="str">
        <f>'Calculo Gas'!BO50</f>
        <v>0</v>
      </c>
      <c r="AV49" s="235">
        <f>IFERROR(__xludf.DUMMYFUNCTION("""COMPUTED_VALUE"""),-931.5)</f>
        <v>-931.5</v>
      </c>
      <c r="AW49" s="235">
        <f>IFERROR(__xludf.DUMMYFUNCTION("""COMPUTED_VALUE"""),-1397.65)</f>
        <v>-1397.65</v>
      </c>
      <c r="AX49" s="235"/>
      <c r="AY49" s="235">
        <f t="shared" si="2"/>
        <v>15.75229006</v>
      </c>
      <c r="AZ49" s="235"/>
    </row>
    <row r="50" ht="12.75" customHeight="1">
      <c r="A50" s="224">
        <v>1202.0</v>
      </c>
      <c r="B50" s="225" t="s">
        <v>406</v>
      </c>
      <c r="C50" s="226">
        <v>2034076.0</v>
      </c>
      <c r="D50" s="227">
        <v>0.0</v>
      </c>
      <c r="E50" s="227">
        <v>0.0</v>
      </c>
      <c r="F50" s="227">
        <v>0.0</v>
      </c>
      <c r="G50" s="227">
        <v>0.0</v>
      </c>
      <c r="H50" s="227">
        <v>0.0</v>
      </c>
      <c r="I50" s="227">
        <v>0.0</v>
      </c>
      <c r="J50" s="227">
        <v>0.0</v>
      </c>
      <c r="K50" s="227">
        <v>0.0</v>
      </c>
      <c r="L50" s="227">
        <v>0.0</v>
      </c>
      <c r="M50" s="227">
        <v>0.0</v>
      </c>
      <c r="N50" s="227">
        <v>0.0</v>
      </c>
      <c r="O50" s="227">
        <v>0.0</v>
      </c>
      <c r="P50" s="227">
        <v>0.0</v>
      </c>
      <c r="Q50" s="227">
        <v>0.0</v>
      </c>
      <c r="R50" s="227">
        <v>0.0</v>
      </c>
      <c r="S50" s="227">
        <v>0.0</v>
      </c>
      <c r="T50" s="227">
        <v>0.0</v>
      </c>
      <c r="U50" s="227">
        <v>0.0</v>
      </c>
      <c r="V50" s="227">
        <v>0.0</v>
      </c>
      <c r="W50" s="228">
        <v>0.0</v>
      </c>
      <c r="X50" s="229">
        <v>23.33998287893345</v>
      </c>
      <c r="Y50" s="229">
        <v>14.374805929685298</v>
      </c>
      <c r="Z50" s="229">
        <v>5.217781842530834</v>
      </c>
      <c r="AA50" s="229">
        <v>0.0</v>
      </c>
      <c r="AB50" s="230">
        <v>0.0</v>
      </c>
      <c r="AC50" s="229">
        <v>0.0</v>
      </c>
      <c r="AD50" s="231">
        <v>0.0</v>
      </c>
      <c r="AE50" s="231">
        <v>0.0</v>
      </c>
      <c r="AF50" s="231">
        <v>0.0</v>
      </c>
      <c r="AG50" s="231">
        <v>0.0</v>
      </c>
      <c r="AH50" s="232">
        <v>0.016262939201079418</v>
      </c>
      <c r="AI50" s="232">
        <f>'Calculo Gas'!AQ51</f>
        <v>4.370019402</v>
      </c>
      <c r="AJ50" s="232">
        <f>'Calculo Gas'!AS51</f>
        <v>23.078457</v>
      </c>
      <c r="AK50" s="232">
        <f>'Calculo Gas'!AU51</f>
        <v>13.10746013</v>
      </c>
      <c r="AL50" s="232">
        <f>'Calculo Gas'!AW51</f>
        <v>0.5025965632</v>
      </c>
      <c r="AM50" s="233">
        <f>'Calculo Gas'!AY51</f>
        <v>0</v>
      </c>
      <c r="AN50" s="233">
        <f>'Calculo Gas'!BA51</f>
        <v>0</v>
      </c>
      <c r="AO50" s="233">
        <f>'Calculo Gas'!BC51</f>
        <v>0</v>
      </c>
      <c r="AP50" s="233">
        <f>'Calculo Gas'!BE51</f>
        <v>0</v>
      </c>
      <c r="AQ50" s="233" t="str">
        <f>'Calculo Gas'!BG51</f>
        <v>0</v>
      </c>
      <c r="AR50" s="233" t="str">
        <f>'Calculo Gas'!BI51</f>
        <v>0</v>
      </c>
      <c r="AS50" s="233" t="str">
        <f>'Calculo Gas'!BK51</f>
        <v>0</v>
      </c>
      <c r="AT50" s="233" t="str">
        <f>'Calculo Gas'!BM51</f>
        <v>0</v>
      </c>
      <c r="AU50" s="233" t="str">
        <f>'Calculo Gas'!BO51</f>
        <v>0</v>
      </c>
      <c r="AV50" s="235">
        <f>IFERROR(__xludf.DUMMYFUNCTION("""COMPUTED_VALUE"""),-1.0)</f>
        <v>-1</v>
      </c>
      <c r="AW50" s="235">
        <f>IFERROR(__xludf.DUMMYFUNCTION("""COMPUTED_VALUE"""),-83.93)</f>
        <v>-83.93</v>
      </c>
      <c r="AX50" s="235"/>
      <c r="AY50" s="235">
        <f t="shared" si="2"/>
        <v>-0.9226333107</v>
      </c>
      <c r="AZ50" s="235"/>
    </row>
    <row r="51" ht="12.75" customHeight="1">
      <c r="A51" s="224">
        <v>1203.0</v>
      </c>
      <c r="B51" s="225" t="s">
        <v>407</v>
      </c>
      <c r="C51" s="226">
        <v>2034077.0</v>
      </c>
      <c r="D51" s="227">
        <v>0.0</v>
      </c>
      <c r="E51" s="227">
        <v>0.0</v>
      </c>
      <c r="F51" s="227">
        <v>0.0</v>
      </c>
      <c r="G51" s="227">
        <v>0.0</v>
      </c>
      <c r="H51" s="227">
        <v>0.0</v>
      </c>
      <c r="I51" s="227">
        <v>0.0</v>
      </c>
      <c r="J51" s="227">
        <v>0.0</v>
      </c>
      <c r="K51" s="227">
        <v>0.0</v>
      </c>
      <c r="L51" s="227">
        <v>0.0</v>
      </c>
      <c r="M51" s="227">
        <v>0.0</v>
      </c>
      <c r="N51" s="227">
        <v>0.0</v>
      </c>
      <c r="O51" s="227">
        <v>0.0</v>
      </c>
      <c r="P51" s="227">
        <v>0.0</v>
      </c>
      <c r="Q51" s="227">
        <v>0.0</v>
      </c>
      <c r="R51" s="227">
        <v>0.0</v>
      </c>
      <c r="S51" s="227">
        <v>0.0</v>
      </c>
      <c r="T51" s="227">
        <v>0.0</v>
      </c>
      <c r="U51" s="227">
        <v>0.0</v>
      </c>
      <c r="V51" s="227">
        <v>0.0</v>
      </c>
      <c r="W51" s="228">
        <v>0.0</v>
      </c>
      <c r="X51" s="229">
        <v>54.35458766764428</v>
      </c>
      <c r="Y51" s="229">
        <v>38.80953131526415</v>
      </c>
      <c r="Z51" s="229">
        <v>38.47810749457039</v>
      </c>
      <c r="AA51" s="229">
        <v>43.329525445566055</v>
      </c>
      <c r="AB51" s="230">
        <v>37.1536370643832</v>
      </c>
      <c r="AC51" s="229">
        <v>18.439621287213413</v>
      </c>
      <c r="AD51" s="231">
        <v>58.444889119669334</v>
      </c>
      <c r="AE51" s="231">
        <v>60.90138811406914</v>
      </c>
      <c r="AF51" s="231">
        <v>59.8353401255535</v>
      </c>
      <c r="AG51" s="231">
        <v>33.92678987977669</v>
      </c>
      <c r="AH51" s="232">
        <v>46.15422145244429</v>
      </c>
      <c r="AI51" s="232">
        <f>'Calculo Gas'!AQ52</f>
        <v>28.23192412</v>
      </c>
      <c r="AJ51" s="232">
        <f>'Calculo Gas'!AS52</f>
        <v>23.14935856</v>
      </c>
      <c r="AK51" s="232">
        <f>'Calculo Gas'!AU52</f>
        <v>12.55430126</v>
      </c>
      <c r="AL51" s="232">
        <f>'Calculo Gas'!AW52</f>
        <v>13.20235362</v>
      </c>
      <c r="AM51" s="233">
        <f>'Calculo Gas'!AY52</f>
        <v>23.54464598</v>
      </c>
      <c r="AN51" s="233">
        <f>'Calculo Gas'!BA52</f>
        <v>40.36298599</v>
      </c>
      <c r="AO51" s="233">
        <f>'Calculo Gas'!BC52</f>
        <v>47.44461819</v>
      </c>
      <c r="AP51" s="233">
        <f>'Calculo Gas'!BE52</f>
        <v>61.94864084</v>
      </c>
      <c r="AQ51" s="233" t="str">
        <f>'Calculo Gas'!BG52</f>
        <v>0</v>
      </c>
      <c r="AR51" s="233" t="str">
        <f>'Calculo Gas'!BI52</f>
        <v>0</v>
      </c>
      <c r="AS51" s="233" t="str">
        <f>'Calculo Gas'!BK52</f>
        <v>0</v>
      </c>
      <c r="AT51" s="233" t="str">
        <f>'Calculo Gas'!BM52</f>
        <v>0</v>
      </c>
      <c r="AU51" s="233" t="str">
        <f>'Calculo Gas'!BO52</f>
        <v>0</v>
      </c>
      <c r="AV51" s="235">
        <f>IFERROR(__xludf.DUMMYFUNCTION("""COMPUTED_VALUE"""),-288.96)</f>
        <v>-288.96</v>
      </c>
      <c r="AW51" s="235">
        <f>IFERROR(__xludf.DUMMYFUNCTION("""COMPUTED_VALUE"""),-389.36)</f>
        <v>-389.36</v>
      </c>
      <c r="AX51" s="235"/>
      <c r="AY51" s="235">
        <f t="shared" si="2"/>
        <v>61.94646754</v>
      </c>
      <c r="AZ51" s="235"/>
    </row>
    <row r="52" ht="12.75" customHeight="1">
      <c r="A52" s="293">
        <v>1301.0</v>
      </c>
      <c r="B52" s="205" t="s">
        <v>408</v>
      </c>
      <c r="C52" s="256">
        <v>2034059.0</v>
      </c>
      <c r="D52" s="227">
        <v>0.0</v>
      </c>
      <c r="E52" s="227">
        <v>0.0</v>
      </c>
      <c r="F52" s="227">
        <v>0.0</v>
      </c>
      <c r="G52" s="227">
        <v>0.0</v>
      </c>
      <c r="H52" s="227">
        <v>0.0</v>
      </c>
      <c r="I52" s="227">
        <v>0.0</v>
      </c>
      <c r="J52" s="227">
        <v>0.0</v>
      </c>
      <c r="K52" s="227">
        <v>0.0</v>
      </c>
      <c r="L52" s="227">
        <v>0.0</v>
      </c>
      <c r="M52" s="227">
        <v>0.0</v>
      </c>
      <c r="N52" s="227">
        <v>0.0</v>
      </c>
      <c r="O52" s="227">
        <v>0.0</v>
      </c>
      <c r="P52" s="227">
        <v>0.0</v>
      </c>
      <c r="Q52" s="227">
        <v>0.0</v>
      </c>
      <c r="R52" s="227">
        <v>0.0</v>
      </c>
      <c r="S52" s="227">
        <v>0.0</v>
      </c>
      <c r="T52" s="227">
        <v>0.0</v>
      </c>
      <c r="U52" s="227">
        <v>0.0</v>
      </c>
      <c r="V52" s="227">
        <v>0.0</v>
      </c>
      <c r="W52" s="228">
        <v>0.0</v>
      </c>
      <c r="X52" s="229">
        <v>0.0</v>
      </c>
      <c r="Y52" s="229">
        <v>0.0</v>
      </c>
      <c r="Z52" s="229">
        <v>0.0</v>
      </c>
      <c r="AA52" s="229">
        <v>0.0</v>
      </c>
      <c r="AB52" s="230">
        <v>0.0</v>
      </c>
      <c r="AC52" s="229">
        <v>0.0</v>
      </c>
      <c r="AD52" s="231">
        <v>0.0</v>
      </c>
      <c r="AE52" s="231">
        <v>0.0</v>
      </c>
      <c r="AF52" s="231">
        <v>0.0</v>
      </c>
      <c r="AG52" s="231">
        <v>0.0</v>
      </c>
      <c r="AH52" s="232">
        <v>0.0</v>
      </c>
      <c r="AI52" s="232">
        <f>'Calculo Gas'!AQ53</f>
        <v>0</v>
      </c>
      <c r="AJ52" s="232">
        <f>'Calculo Gas'!AS53</f>
        <v>0</v>
      </c>
      <c r="AK52" s="232">
        <f>'Calculo Gas'!AU53</f>
        <v>0</v>
      </c>
      <c r="AL52" s="232">
        <f>'Calculo Gas'!AW53</f>
        <v>0</v>
      </c>
      <c r="AM52" s="233">
        <f>'Calculo Gas'!AY53</f>
        <v>0</v>
      </c>
      <c r="AN52" s="233">
        <f>'Calculo Gas'!BA53</f>
        <v>0</v>
      </c>
      <c r="AO52" s="233">
        <f>'Calculo Gas'!BC53</f>
        <v>0</v>
      </c>
      <c r="AP52" s="233">
        <f>'Calculo Gas'!BE53</f>
        <v>0</v>
      </c>
      <c r="AQ52" s="233" t="str">
        <f>'Calculo Gas'!BG53</f>
        <v>0</v>
      </c>
      <c r="AR52" s="233" t="str">
        <f>'Calculo Gas'!BI53</f>
        <v>0</v>
      </c>
      <c r="AS52" s="233" t="str">
        <f>'Calculo Gas'!BK53</f>
        <v>0</v>
      </c>
      <c r="AT52" s="233" t="str">
        <f>'Calculo Gas'!BM53</f>
        <v>0</v>
      </c>
      <c r="AU52" s="233" t="str">
        <f>'Calculo Gas'!BO53</f>
        <v>0</v>
      </c>
      <c r="AV52" s="235">
        <f>IFERROR(__xludf.DUMMYFUNCTION("""COMPUTED_VALUE"""),0.0)</f>
        <v>0</v>
      </c>
      <c r="AW52" s="235">
        <f>IFERROR(__xludf.DUMMYFUNCTION("""COMPUTED_VALUE"""),0.0)</f>
        <v>0</v>
      </c>
      <c r="AX52" s="235"/>
      <c r="AY52" s="235">
        <f t="shared" si="2"/>
        <v>0</v>
      </c>
      <c r="AZ52" s="235"/>
    </row>
    <row r="53" ht="12.75" customHeight="1">
      <c r="A53" s="224">
        <v>1302.0</v>
      </c>
      <c r="B53" s="225" t="s">
        <v>409</v>
      </c>
      <c r="C53" s="226">
        <v>2034066.0</v>
      </c>
      <c r="D53" s="227">
        <v>0.0</v>
      </c>
      <c r="E53" s="227">
        <v>0.0</v>
      </c>
      <c r="F53" s="227">
        <v>0.0</v>
      </c>
      <c r="G53" s="227">
        <v>0.0</v>
      </c>
      <c r="H53" s="227">
        <v>0.0</v>
      </c>
      <c r="I53" s="227">
        <v>0.0</v>
      </c>
      <c r="J53" s="227">
        <v>0.0</v>
      </c>
      <c r="K53" s="227">
        <v>0.0</v>
      </c>
      <c r="L53" s="227">
        <v>0.0</v>
      </c>
      <c r="M53" s="227">
        <v>0.0</v>
      </c>
      <c r="N53" s="227">
        <v>0.0</v>
      </c>
      <c r="O53" s="227">
        <v>0.0</v>
      </c>
      <c r="P53" s="227">
        <v>0.0</v>
      </c>
      <c r="Q53" s="227">
        <v>0.0</v>
      </c>
      <c r="R53" s="227">
        <v>0.0</v>
      </c>
      <c r="S53" s="227">
        <v>0.0</v>
      </c>
      <c r="T53" s="227">
        <v>0.0</v>
      </c>
      <c r="U53" s="227">
        <v>0.0</v>
      </c>
      <c r="V53" s="227">
        <v>0.0</v>
      </c>
      <c r="W53" s="228">
        <v>0.0</v>
      </c>
      <c r="X53" s="229">
        <v>69.49308672079682</v>
      </c>
      <c r="Y53" s="229">
        <v>69.47822866014664</v>
      </c>
      <c r="Z53" s="229">
        <v>61.21792882690099</v>
      </c>
      <c r="AA53" s="229">
        <v>88.6593085677479</v>
      </c>
      <c r="AB53" s="230">
        <v>67.70389603364553</v>
      </c>
      <c r="AC53" s="229">
        <v>35.3824383908123</v>
      </c>
      <c r="AD53" s="231">
        <v>34.20920984308326</v>
      </c>
      <c r="AE53" s="231">
        <v>0.0</v>
      </c>
      <c r="AF53" s="231">
        <v>15.185756920859983</v>
      </c>
      <c r="AG53" s="231">
        <v>15.101740534721138</v>
      </c>
      <c r="AH53" s="232">
        <v>53.89538051212019</v>
      </c>
      <c r="AI53" s="232">
        <f>'Calculo Gas'!AQ54</f>
        <v>41.70170954</v>
      </c>
      <c r="AJ53" s="232">
        <f>'Calculo Gas'!AS54</f>
        <v>69.83803425</v>
      </c>
      <c r="AK53" s="232">
        <f>'Calculo Gas'!AU54</f>
        <v>32.27561742</v>
      </c>
      <c r="AL53" s="232">
        <f>'Calculo Gas'!AW54</f>
        <v>38.28314797</v>
      </c>
      <c r="AM53" s="233">
        <f>'Calculo Gas'!AY54</f>
        <v>46.45106843</v>
      </c>
      <c r="AN53" s="233">
        <f>'Calculo Gas'!BA54</f>
        <v>57.74226074</v>
      </c>
      <c r="AO53" s="233">
        <f>'Calculo Gas'!BC54</f>
        <v>36.81978108</v>
      </c>
      <c r="AP53" s="233">
        <f>'Calculo Gas'!BE54</f>
        <v>61.49472547</v>
      </c>
      <c r="AQ53" s="233" t="str">
        <f>'Calculo Gas'!BG54</f>
        <v>0</v>
      </c>
      <c r="AR53" s="233" t="str">
        <f>'Calculo Gas'!BI54</f>
        <v>0</v>
      </c>
      <c r="AS53" s="233" t="str">
        <f>'Calculo Gas'!BK54</f>
        <v>0</v>
      </c>
      <c r="AT53" s="233" t="str">
        <f>'Calculo Gas'!BM54</f>
        <v>0</v>
      </c>
      <c r="AU53" s="233" t="str">
        <f>'Calculo Gas'!BO54</f>
        <v>0</v>
      </c>
      <c r="AV53" s="235">
        <f>IFERROR(__xludf.DUMMYFUNCTION("""COMPUTED_VALUE"""),-426.13)</f>
        <v>-426.13</v>
      </c>
      <c r="AW53" s="235">
        <f>IFERROR(__xludf.DUMMYFUNCTION("""COMPUTED_VALUE"""),-407.31)</f>
        <v>-407.31</v>
      </c>
      <c r="AX53" s="235"/>
      <c r="AY53" s="235">
        <f t="shared" si="2"/>
        <v>61.49331991</v>
      </c>
      <c r="AZ53" s="235"/>
    </row>
    <row r="54" ht="12.75" customHeight="1">
      <c r="A54" s="224">
        <v>1303.0</v>
      </c>
      <c r="B54" s="225" t="s">
        <v>410</v>
      </c>
      <c r="C54" s="226">
        <v>2034067.0</v>
      </c>
      <c r="D54" s="227">
        <v>0.0</v>
      </c>
      <c r="E54" s="227">
        <v>0.0</v>
      </c>
      <c r="F54" s="227">
        <v>0.0</v>
      </c>
      <c r="G54" s="227">
        <v>0.0</v>
      </c>
      <c r="H54" s="227">
        <v>0.0</v>
      </c>
      <c r="I54" s="227">
        <v>0.0</v>
      </c>
      <c r="J54" s="227">
        <v>0.0</v>
      </c>
      <c r="K54" s="227">
        <v>0.0</v>
      </c>
      <c r="L54" s="227">
        <v>0.0</v>
      </c>
      <c r="M54" s="227">
        <v>0.0</v>
      </c>
      <c r="N54" s="227">
        <v>0.0</v>
      </c>
      <c r="O54" s="227">
        <v>0.0</v>
      </c>
      <c r="P54" s="227">
        <v>0.0</v>
      </c>
      <c r="Q54" s="227">
        <v>0.0</v>
      </c>
      <c r="R54" s="227">
        <v>0.0</v>
      </c>
      <c r="S54" s="227">
        <v>0.0</v>
      </c>
      <c r="T54" s="227">
        <v>0.0</v>
      </c>
      <c r="U54" s="227">
        <v>0.0</v>
      </c>
      <c r="V54" s="227">
        <v>0.0</v>
      </c>
      <c r="W54" s="228">
        <v>0.0</v>
      </c>
      <c r="X54" s="229">
        <v>77.95800150457801</v>
      </c>
      <c r="Y54" s="229">
        <v>43.74781498498598</v>
      </c>
      <c r="Z54" s="229">
        <v>30.76064411817647</v>
      </c>
      <c r="AA54" s="229">
        <v>61.68400257676633</v>
      </c>
      <c r="AB54" s="230">
        <v>47.161480519830974</v>
      </c>
      <c r="AC54" s="229">
        <v>69.51963632634977</v>
      </c>
      <c r="AD54" s="231">
        <v>49.53995111386886</v>
      </c>
      <c r="AE54" s="231">
        <v>67.52443146391823</v>
      </c>
      <c r="AF54" s="231">
        <v>72.94638262838315</v>
      </c>
      <c r="AG54" s="231">
        <v>40.28123691608369</v>
      </c>
      <c r="AH54" s="232">
        <v>53.29365176168349</v>
      </c>
      <c r="AI54" s="232">
        <f>'Calculo Gas'!AQ55</f>
        <v>41.10216419</v>
      </c>
      <c r="AJ54" s="232">
        <f>'Calculo Gas'!AS55</f>
        <v>25.44184226</v>
      </c>
      <c r="AK54" s="232">
        <f>'Calculo Gas'!AU55</f>
        <v>54.88297984</v>
      </c>
      <c r="AL54" s="232">
        <f>'Calculo Gas'!AW55</f>
        <v>23.89172443</v>
      </c>
      <c r="AM54" s="233">
        <f>'Calculo Gas'!AY55</f>
        <v>32.9323338</v>
      </c>
      <c r="AN54" s="233">
        <f>'Calculo Gas'!BA55</f>
        <v>44.21431058</v>
      </c>
      <c r="AO54" s="233">
        <f>'Calculo Gas'!BC55</f>
        <v>38.61806099</v>
      </c>
      <c r="AP54" s="233">
        <f>'Calculo Gas'!BE55</f>
        <v>94.21986232</v>
      </c>
      <c r="AQ54" s="233" t="str">
        <f>'Calculo Gas'!BG55</f>
        <v>0</v>
      </c>
      <c r="AR54" s="233" t="str">
        <f>'Calculo Gas'!BI55</f>
        <v>0</v>
      </c>
      <c r="AS54" s="233" t="str">
        <f>'Calculo Gas'!BK55</f>
        <v>0</v>
      </c>
      <c r="AT54" s="233" t="str">
        <f>'Calculo Gas'!BM55</f>
        <v>0</v>
      </c>
      <c r="AU54" s="233" t="str">
        <f>'Calculo Gas'!BO55</f>
        <v>0</v>
      </c>
      <c r="AV54" s="235">
        <f>IFERROR(__xludf.DUMMYFUNCTION("""COMPUTED_VALUE"""),-380.83)</f>
        <v>-380.83</v>
      </c>
      <c r="AW54" s="235">
        <f>IFERROR(__xludf.DUMMYFUNCTION("""COMPUTED_VALUE"""),-589.05)</f>
        <v>-589.05</v>
      </c>
      <c r="AX54" s="235"/>
      <c r="AY54" s="235">
        <f t="shared" si="2"/>
        <v>-0.1594876746</v>
      </c>
      <c r="AZ54" s="235"/>
    </row>
    <row r="55" ht="12.75" customHeight="1">
      <c r="A55" s="254">
        <v>1401.0</v>
      </c>
      <c r="B55" s="205" t="s">
        <v>408</v>
      </c>
      <c r="C55" s="256">
        <v>2034061.0</v>
      </c>
      <c r="D55" s="227">
        <v>0.0</v>
      </c>
      <c r="E55" s="227">
        <v>0.0</v>
      </c>
      <c r="F55" s="227">
        <v>0.0</v>
      </c>
      <c r="G55" s="227">
        <v>0.0</v>
      </c>
      <c r="H55" s="227">
        <v>0.0</v>
      </c>
      <c r="I55" s="227">
        <v>0.0</v>
      </c>
      <c r="J55" s="227">
        <v>0.0</v>
      </c>
      <c r="K55" s="227">
        <v>0.0</v>
      </c>
      <c r="L55" s="227">
        <v>0.0</v>
      </c>
      <c r="M55" s="227">
        <v>0.0</v>
      </c>
      <c r="N55" s="227">
        <v>0.0</v>
      </c>
      <c r="O55" s="227">
        <v>0.0</v>
      </c>
      <c r="P55" s="227">
        <v>0.0</v>
      </c>
      <c r="Q55" s="227">
        <v>0.0</v>
      </c>
      <c r="R55" s="227">
        <v>0.0</v>
      </c>
      <c r="S55" s="227">
        <v>0.0</v>
      </c>
      <c r="T55" s="227">
        <v>0.0</v>
      </c>
      <c r="U55" s="227">
        <v>0.0</v>
      </c>
      <c r="V55" s="227">
        <v>0.0</v>
      </c>
      <c r="W55" s="228">
        <v>0.0</v>
      </c>
      <c r="X55" s="229">
        <v>0.0</v>
      </c>
      <c r="Y55" s="229">
        <v>0.0</v>
      </c>
      <c r="Z55" s="229">
        <v>0.0</v>
      </c>
      <c r="AA55" s="229">
        <v>0.0</v>
      </c>
      <c r="AB55" s="230">
        <v>0.0</v>
      </c>
      <c r="AC55" s="229">
        <v>0.0</v>
      </c>
      <c r="AD55" s="231">
        <v>0.0</v>
      </c>
      <c r="AE55" s="231">
        <v>0.0</v>
      </c>
      <c r="AF55" s="231">
        <v>0.0</v>
      </c>
      <c r="AG55" s="231">
        <v>0.0</v>
      </c>
      <c r="AH55" s="232">
        <v>0.0</v>
      </c>
      <c r="AI55" s="232">
        <f>'Calculo Gas'!AQ56</f>
        <v>0</v>
      </c>
      <c r="AJ55" s="232">
        <f>'Calculo Gas'!AS56</f>
        <v>0</v>
      </c>
      <c r="AK55" s="232">
        <f>'Calculo Gas'!AU56</f>
        <v>0</v>
      </c>
      <c r="AL55" s="232">
        <f>'Calculo Gas'!AW56</f>
        <v>0</v>
      </c>
      <c r="AM55" s="233">
        <f>'Calculo Gas'!AY56</f>
        <v>0</v>
      </c>
      <c r="AN55" s="233">
        <f>'Calculo Gas'!BA56</f>
        <v>0</v>
      </c>
      <c r="AO55" s="233">
        <f>'Calculo Gas'!BC56</f>
        <v>0</v>
      </c>
      <c r="AP55" s="233">
        <f>'Calculo Gas'!BE56</f>
        <v>0</v>
      </c>
      <c r="AQ55" s="233" t="str">
        <f>'Calculo Gas'!BG56</f>
        <v>0</v>
      </c>
      <c r="AR55" s="233" t="str">
        <f>'Calculo Gas'!BI56</f>
        <v>0</v>
      </c>
      <c r="AS55" s="233" t="str">
        <f>'Calculo Gas'!BK56</f>
        <v>0</v>
      </c>
      <c r="AT55" s="233" t="str">
        <f>'Calculo Gas'!BM56</f>
        <v>0</v>
      </c>
      <c r="AU55" s="233" t="str">
        <f>'Calculo Gas'!BO56</f>
        <v>0</v>
      </c>
      <c r="AV55" s="235">
        <f>IFERROR(__xludf.DUMMYFUNCTION("""COMPUTED_VALUE"""),0.0)</f>
        <v>0</v>
      </c>
      <c r="AW55" s="235">
        <f>IFERROR(__xludf.DUMMYFUNCTION("""COMPUTED_VALUE"""),0.0)</f>
        <v>0</v>
      </c>
      <c r="AX55" s="235"/>
      <c r="AY55" s="235">
        <f t="shared" si="2"/>
        <v>0</v>
      </c>
      <c r="AZ55" s="235"/>
    </row>
    <row r="56" ht="12.75" customHeight="1">
      <c r="A56" s="224">
        <v>1402.0</v>
      </c>
      <c r="B56" s="225" t="s">
        <v>411</v>
      </c>
      <c r="C56" s="226">
        <v>2034080.0</v>
      </c>
      <c r="D56" s="227">
        <v>0.0</v>
      </c>
      <c r="E56" s="227">
        <v>0.0</v>
      </c>
      <c r="F56" s="227">
        <v>0.0</v>
      </c>
      <c r="G56" s="227">
        <v>0.0</v>
      </c>
      <c r="H56" s="227">
        <v>0.0</v>
      </c>
      <c r="I56" s="227">
        <v>0.0</v>
      </c>
      <c r="J56" s="227">
        <v>0.0</v>
      </c>
      <c r="K56" s="227">
        <v>0.0</v>
      </c>
      <c r="L56" s="227">
        <v>0.0</v>
      </c>
      <c r="M56" s="227">
        <v>0.0</v>
      </c>
      <c r="N56" s="227">
        <v>0.0</v>
      </c>
      <c r="O56" s="227">
        <v>0.0</v>
      </c>
      <c r="P56" s="227">
        <v>0.0</v>
      </c>
      <c r="Q56" s="227">
        <v>0.0</v>
      </c>
      <c r="R56" s="227">
        <v>0.0</v>
      </c>
      <c r="S56" s="227">
        <v>0.0</v>
      </c>
      <c r="T56" s="227">
        <v>0.0</v>
      </c>
      <c r="U56" s="227">
        <v>0.0</v>
      </c>
      <c r="V56" s="227">
        <v>0.0</v>
      </c>
      <c r="W56" s="228">
        <v>0.0</v>
      </c>
      <c r="X56" s="229">
        <v>0.0</v>
      </c>
      <c r="Y56" s="229">
        <v>0.0</v>
      </c>
      <c r="Z56" s="229">
        <v>0.0</v>
      </c>
      <c r="AA56" s="229">
        <v>0.0</v>
      </c>
      <c r="AB56" s="230">
        <v>0.0</v>
      </c>
      <c r="AC56" s="229">
        <v>0.0</v>
      </c>
      <c r="AD56" s="231">
        <v>0.0</v>
      </c>
      <c r="AE56" s="231">
        <v>0.1252256095560052</v>
      </c>
      <c r="AF56" s="231">
        <v>10.43120304620769</v>
      </c>
      <c r="AG56" s="231">
        <v>0.9630958789401242</v>
      </c>
      <c r="AH56" s="232">
        <v>12.620040819977365</v>
      </c>
      <c r="AI56" s="232">
        <f>'Calculo Gas'!AQ57</f>
        <v>1.332322988</v>
      </c>
      <c r="AJ56" s="232">
        <f>'Calculo Gas'!AS57</f>
        <v>1.016255659</v>
      </c>
      <c r="AK56" s="232">
        <f>'Calculo Gas'!AU57</f>
        <v>0</v>
      </c>
      <c r="AL56" s="232">
        <f>'Calculo Gas'!AW57</f>
        <v>0.01225845276</v>
      </c>
      <c r="AM56" s="233">
        <f>'Calculo Gas'!AY57</f>
        <v>2.355625004</v>
      </c>
      <c r="AN56" s="233">
        <f>'Calculo Gas'!BA57</f>
        <v>5.217923634</v>
      </c>
      <c r="AO56" s="233">
        <f>'Calculo Gas'!BC57</f>
        <v>0.2697419859</v>
      </c>
      <c r="AP56" s="233">
        <f>'Calculo Gas'!BE57</f>
        <v>0</v>
      </c>
      <c r="AQ56" s="233" t="str">
        <f>'Calculo Gas'!BG57</f>
        <v>0</v>
      </c>
      <c r="AR56" s="233" t="str">
        <f>'Calculo Gas'!BI57</f>
        <v>0</v>
      </c>
      <c r="AS56" s="233" t="str">
        <f>'Calculo Gas'!BK57</f>
        <v>0</v>
      </c>
      <c r="AT56" s="233" t="str">
        <f>'Calculo Gas'!BM57</f>
        <v>0</v>
      </c>
      <c r="AU56" s="233" t="str">
        <f>'Calculo Gas'!BO57</f>
        <v>0</v>
      </c>
      <c r="AV56" s="235">
        <f>IFERROR(__xludf.DUMMYFUNCTION("""COMPUTED_VALUE"""),0.0)</f>
        <v>0</v>
      </c>
      <c r="AW56" s="235">
        <f>IFERROR(__xludf.DUMMYFUNCTION("""COMPUTED_VALUE"""),-34.07)</f>
        <v>-34.07</v>
      </c>
      <c r="AX56" s="235"/>
      <c r="AY56" s="235">
        <f t="shared" si="2"/>
        <v>0.2736930788</v>
      </c>
      <c r="AZ56" s="235"/>
    </row>
    <row r="57" ht="12.75" customHeight="1">
      <c r="A57" s="224">
        <v>1403.0</v>
      </c>
      <c r="B57" s="292" t="s">
        <v>412</v>
      </c>
      <c r="C57" s="226">
        <v>2034073.0</v>
      </c>
      <c r="D57" s="227">
        <v>0.0</v>
      </c>
      <c r="E57" s="227">
        <v>0.0</v>
      </c>
      <c r="F57" s="227">
        <v>0.0</v>
      </c>
      <c r="G57" s="227">
        <v>0.0</v>
      </c>
      <c r="H57" s="227">
        <v>0.0</v>
      </c>
      <c r="I57" s="227">
        <v>0.0</v>
      </c>
      <c r="J57" s="227">
        <v>0.0</v>
      </c>
      <c r="K57" s="227">
        <v>0.0</v>
      </c>
      <c r="L57" s="227">
        <v>0.0</v>
      </c>
      <c r="M57" s="227">
        <v>0.0</v>
      </c>
      <c r="N57" s="227">
        <v>0.0</v>
      </c>
      <c r="O57" s="227">
        <v>0.0</v>
      </c>
      <c r="P57" s="227">
        <v>0.0</v>
      </c>
      <c r="Q57" s="227">
        <v>0.0</v>
      </c>
      <c r="R57" s="227">
        <v>0.0</v>
      </c>
      <c r="S57" s="227">
        <v>0.0</v>
      </c>
      <c r="T57" s="227">
        <v>0.0</v>
      </c>
      <c r="U57" s="227">
        <v>0.0</v>
      </c>
      <c r="V57" s="227">
        <v>0.0</v>
      </c>
      <c r="W57" s="228">
        <v>0.0</v>
      </c>
      <c r="X57" s="229">
        <v>0.0</v>
      </c>
      <c r="Y57" s="229">
        <v>0.0</v>
      </c>
      <c r="Z57" s="229">
        <v>0.0</v>
      </c>
      <c r="AA57" s="229">
        <v>0.0</v>
      </c>
      <c r="AB57" s="230">
        <v>0.0</v>
      </c>
      <c r="AC57" s="229">
        <v>0.0</v>
      </c>
      <c r="AD57" s="229">
        <v>0.0</v>
      </c>
      <c r="AE57" s="231">
        <v>0.013913956617004362</v>
      </c>
      <c r="AF57" s="231">
        <v>0.0</v>
      </c>
      <c r="AG57" s="229">
        <v>0.0</v>
      </c>
      <c r="AH57" s="232">
        <v>0.0</v>
      </c>
      <c r="AI57" s="232">
        <f>'Calculo Gas'!AQ58</f>
        <v>0</v>
      </c>
      <c r="AJ57" s="232">
        <f>'Calculo Gas'!AS58</f>
        <v>0</v>
      </c>
      <c r="AK57" s="232">
        <f>'Calculo Gas'!AU58</f>
        <v>0</v>
      </c>
      <c r="AL57" s="232">
        <f>'Calculo Gas'!AW58</f>
        <v>0</v>
      </c>
      <c r="AM57" s="233">
        <f>'Calculo Gas'!AY58</f>
        <v>0</v>
      </c>
      <c r="AN57" s="233">
        <f>'Calculo Gas'!BA58</f>
        <v>0</v>
      </c>
      <c r="AO57" s="233">
        <f>'Calculo Gas'!BC58</f>
        <v>0</v>
      </c>
      <c r="AP57" s="233">
        <f>'Calculo Gas'!BE58</f>
        <v>0</v>
      </c>
      <c r="AQ57" s="233" t="str">
        <f>'Calculo Gas'!BG58</f>
        <v>0</v>
      </c>
      <c r="AR57" s="233" t="str">
        <f>'Calculo Gas'!BI58</f>
        <v>0</v>
      </c>
      <c r="AS57" s="233" t="str">
        <f>'Calculo Gas'!BK58</f>
        <v>0</v>
      </c>
      <c r="AT57" s="233" t="str">
        <f>'Calculo Gas'!BM58</f>
        <v>0</v>
      </c>
      <c r="AU57" s="233" t="str">
        <f>'Calculo Gas'!BO58</f>
        <v>0</v>
      </c>
      <c r="AV57" s="235">
        <f>IFERROR(__xludf.DUMMYFUNCTION("""COMPUTED_VALUE"""),0.0)</f>
        <v>0</v>
      </c>
      <c r="AW57" s="235">
        <f>IFERROR(__xludf.DUMMYFUNCTION("""COMPUTED_VALUE"""),-0.01)</f>
        <v>-0.01</v>
      </c>
      <c r="AX57" s="235"/>
      <c r="AY57" s="235">
        <f t="shared" si="2"/>
        <v>0.003913956617</v>
      </c>
      <c r="AZ57" s="235"/>
    </row>
    <row r="58" ht="12.75" customHeight="1">
      <c r="A58" s="272">
        <v>1501.0</v>
      </c>
      <c r="B58" s="273" t="s">
        <v>413</v>
      </c>
      <c r="C58" s="274">
        <v>2034064.0</v>
      </c>
      <c r="D58" s="227">
        <v>0.0</v>
      </c>
      <c r="E58" s="227">
        <v>0.0</v>
      </c>
      <c r="F58" s="227">
        <v>0.0</v>
      </c>
      <c r="G58" s="227">
        <v>0.0</v>
      </c>
      <c r="H58" s="227">
        <v>0.0</v>
      </c>
      <c r="I58" s="227">
        <v>0.0</v>
      </c>
      <c r="J58" s="227">
        <v>0.0</v>
      </c>
      <c r="K58" s="227">
        <v>0.0</v>
      </c>
      <c r="L58" s="227">
        <v>0.0</v>
      </c>
      <c r="M58" s="227">
        <v>0.0</v>
      </c>
      <c r="N58" s="227">
        <v>0.0</v>
      </c>
      <c r="O58" s="227">
        <v>0.0</v>
      </c>
      <c r="P58" s="227">
        <v>0.0</v>
      </c>
      <c r="Q58" s="227">
        <v>0.0</v>
      </c>
      <c r="R58" s="227">
        <v>0.0</v>
      </c>
      <c r="S58" s="227">
        <v>0.0</v>
      </c>
      <c r="T58" s="227">
        <v>0.0</v>
      </c>
      <c r="U58" s="227">
        <v>0.0</v>
      </c>
      <c r="V58" s="227">
        <v>0.0</v>
      </c>
      <c r="W58" s="228">
        <v>0.0</v>
      </c>
      <c r="X58" s="275">
        <v>0.0</v>
      </c>
      <c r="Y58" s="275">
        <v>0.0</v>
      </c>
      <c r="Z58" s="275">
        <v>0.0</v>
      </c>
      <c r="AA58" s="275">
        <v>0.0</v>
      </c>
      <c r="AB58" s="276">
        <v>0.0</v>
      </c>
      <c r="AC58" s="229">
        <v>0.0</v>
      </c>
      <c r="AD58" s="231">
        <v>0.0</v>
      </c>
      <c r="AE58" s="231">
        <v>0.0</v>
      </c>
      <c r="AF58" s="231">
        <v>0.0</v>
      </c>
      <c r="AG58" s="231">
        <v>0.0</v>
      </c>
      <c r="AH58" s="232">
        <v>0.0</v>
      </c>
      <c r="AI58" s="232">
        <f>'Calculo Gas'!AQ59</f>
        <v>0</v>
      </c>
      <c r="AJ58" s="232">
        <f>'Calculo Gas'!AS59</f>
        <v>0</v>
      </c>
      <c r="AK58" s="232">
        <f>'Calculo Gas'!AU59</f>
        <v>0</v>
      </c>
      <c r="AL58" s="232">
        <f>'Calculo Gas'!AW59</f>
        <v>0</v>
      </c>
      <c r="AM58" s="233">
        <f>'Calculo Gas'!AY59</f>
        <v>0</v>
      </c>
      <c r="AN58" s="233">
        <f>'Calculo Gas'!BA59</f>
        <v>0</v>
      </c>
      <c r="AO58" s="233">
        <f>'Calculo Gas'!BC59</f>
        <v>0</v>
      </c>
      <c r="AP58" s="233">
        <f>'Calculo Gas'!BE59</f>
        <v>0</v>
      </c>
      <c r="AQ58" s="233" t="str">
        <f>'Calculo Gas'!BG59</f>
        <v>0</v>
      </c>
      <c r="AR58" s="233" t="str">
        <f>'Calculo Gas'!BI59</f>
        <v>0</v>
      </c>
      <c r="AS58" s="233" t="str">
        <f>'Calculo Gas'!BK59</f>
        <v>0</v>
      </c>
      <c r="AT58" s="233" t="str">
        <f>'Calculo Gas'!BM59</f>
        <v>0</v>
      </c>
      <c r="AU58" s="233" t="str">
        <f>'Calculo Gas'!BO59</f>
        <v>0</v>
      </c>
      <c r="AV58" s="235">
        <f>IFERROR(__xludf.DUMMYFUNCTION("""COMPUTED_VALUE"""),0.0)</f>
        <v>0</v>
      </c>
      <c r="AW58" s="235">
        <f>IFERROR(__xludf.DUMMYFUNCTION("""COMPUTED_VALUE"""),0.0)</f>
        <v>0</v>
      </c>
      <c r="AX58" s="235"/>
      <c r="AY58" s="235">
        <f t="shared" si="2"/>
        <v>0</v>
      </c>
      <c r="AZ58" s="235"/>
    </row>
    <row r="59" ht="12.75" customHeight="1">
      <c r="A59" s="224">
        <v>1502.0</v>
      </c>
      <c r="B59" s="225" t="s">
        <v>414</v>
      </c>
      <c r="C59" s="226">
        <v>2034078.0</v>
      </c>
      <c r="D59" s="227">
        <v>0.0</v>
      </c>
      <c r="E59" s="227">
        <v>0.0</v>
      </c>
      <c r="F59" s="227">
        <v>0.0</v>
      </c>
      <c r="G59" s="227">
        <v>0.0</v>
      </c>
      <c r="H59" s="227">
        <v>0.0</v>
      </c>
      <c r="I59" s="227">
        <v>0.0</v>
      </c>
      <c r="J59" s="227">
        <v>0.0</v>
      </c>
      <c r="K59" s="227">
        <v>0.0</v>
      </c>
      <c r="L59" s="227">
        <v>0.0</v>
      </c>
      <c r="M59" s="227">
        <v>0.0</v>
      </c>
      <c r="N59" s="227">
        <v>0.0</v>
      </c>
      <c r="O59" s="227">
        <v>0.0</v>
      </c>
      <c r="P59" s="295">
        <v>0.0</v>
      </c>
      <c r="Q59" s="295">
        <v>0.0</v>
      </c>
      <c r="R59" s="295">
        <v>0.0</v>
      </c>
      <c r="S59" s="295">
        <v>0.0</v>
      </c>
      <c r="T59" s="295">
        <v>0.0</v>
      </c>
      <c r="U59" s="295">
        <v>0.0</v>
      </c>
      <c r="V59" s="296">
        <v>0.0</v>
      </c>
      <c r="W59" s="228">
        <v>0.0</v>
      </c>
      <c r="X59" s="229">
        <v>75.32369192456335</v>
      </c>
      <c r="Y59" s="229">
        <v>61.82633366696334</v>
      </c>
      <c r="Z59" s="229">
        <v>33.636491319756274</v>
      </c>
      <c r="AA59" s="229">
        <v>25.84840025767629</v>
      </c>
      <c r="AB59" s="230">
        <v>39.45325706249107</v>
      </c>
      <c r="AC59" s="229">
        <v>41.43254605735356</v>
      </c>
      <c r="AD59" s="231">
        <v>50.6512873769932</v>
      </c>
      <c r="AE59" s="231">
        <v>20.35611853115905</v>
      </c>
      <c r="AF59" s="231">
        <v>13.802613975506425</v>
      </c>
      <c r="AG59" s="231">
        <v>52.0766792272266</v>
      </c>
      <c r="AH59" s="232">
        <v>97.15479878678437</v>
      </c>
      <c r="AI59" s="232">
        <f>'Calculo Gas'!AQ60</f>
        <v>119.8291296</v>
      </c>
      <c r="AJ59" s="232">
        <f>'Calculo Gas'!AS60</f>
        <v>109.6492589</v>
      </c>
      <c r="AK59" s="232">
        <f>'Calculo Gas'!AU60</f>
        <v>34.69268117</v>
      </c>
      <c r="AL59" s="232">
        <f>'Calculo Gas'!AW60</f>
        <v>0.1103260748</v>
      </c>
      <c r="AM59" s="233">
        <f>'Calculo Gas'!AY60</f>
        <v>39.25654871</v>
      </c>
      <c r="AN59" s="233">
        <f>'Calculo Gas'!BA60</f>
        <v>133.7196461</v>
      </c>
      <c r="AO59" s="233">
        <f>'Calculo Gas'!BC60</f>
        <v>100.8984884</v>
      </c>
      <c r="AP59" s="233">
        <f>'Calculo Gas'!BE60</f>
        <v>74.76634636</v>
      </c>
      <c r="AQ59" s="233" t="str">
        <f>'Calculo Gas'!BG60</f>
        <v>0</v>
      </c>
      <c r="AR59" s="233" t="str">
        <f>'Calculo Gas'!BI60</f>
        <v>0</v>
      </c>
      <c r="AS59" s="233" t="str">
        <f>'Calculo Gas'!BK60</f>
        <v>0</v>
      </c>
      <c r="AT59" s="233" t="str">
        <f>'Calculo Gas'!BM60</f>
        <v>0</v>
      </c>
      <c r="AU59" s="233" t="str">
        <f>'Calculo Gas'!BO60</f>
        <v>0</v>
      </c>
      <c r="AV59" s="235">
        <f>IFERROR(__xludf.DUMMYFUNCTION("""COMPUTED_VALUE"""),-376.39)</f>
        <v>-376.39</v>
      </c>
      <c r="AW59" s="235">
        <f>IFERROR(__xludf.DUMMYFUNCTION("""COMPUTED_VALUE"""),-673.3299999999999)</f>
        <v>-673.33</v>
      </c>
      <c r="AX59" s="235"/>
      <c r="AY59" s="235">
        <f t="shared" si="2"/>
        <v>74.76464347</v>
      </c>
      <c r="AZ59" s="235"/>
    </row>
    <row r="60" ht="12.75" customHeight="1">
      <c r="A60" s="224">
        <v>1503.0</v>
      </c>
      <c r="B60" s="225" t="s">
        <v>415</v>
      </c>
      <c r="C60" s="226">
        <v>2188669.0</v>
      </c>
      <c r="D60" s="227">
        <v>0.0</v>
      </c>
      <c r="E60" s="227">
        <v>0.0</v>
      </c>
      <c r="F60" s="227">
        <v>0.0</v>
      </c>
      <c r="G60" s="227">
        <v>0.0</v>
      </c>
      <c r="H60" s="227">
        <v>0.0</v>
      </c>
      <c r="I60" s="227">
        <v>0.0</v>
      </c>
      <c r="J60" s="227">
        <v>0.0</v>
      </c>
      <c r="K60" s="227">
        <v>0.0</v>
      </c>
      <c r="L60" s="227">
        <v>0.0</v>
      </c>
      <c r="M60" s="227">
        <v>0.0</v>
      </c>
      <c r="N60" s="295">
        <v>0.0</v>
      </c>
      <c r="O60" s="227">
        <v>0.0</v>
      </c>
      <c r="P60" s="295">
        <v>0.0</v>
      </c>
      <c r="Q60" s="295">
        <v>0.0</v>
      </c>
      <c r="R60" s="295">
        <v>0.0</v>
      </c>
      <c r="S60" s="295">
        <v>0.0</v>
      </c>
      <c r="T60" s="295">
        <v>0.0</v>
      </c>
      <c r="U60" s="295">
        <v>0.0</v>
      </c>
      <c r="V60" s="296">
        <v>0.0</v>
      </c>
      <c r="W60" s="228">
        <v>0.0</v>
      </c>
      <c r="X60" s="236">
        <v>0.01</v>
      </c>
      <c r="Y60" s="236">
        <v>0.01</v>
      </c>
      <c r="Z60" s="236">
        <v>0.01</v>
      </c>
      <c r="AA60" s="236">
        <v>0.01</v>
      </c>
      <c r="AB60" s="230">
        <v>2.5822548582092666</v>
      </c>
      <c r="AC60" s="229">
        <v>9.836141778035978</v>
      </c>
      <c r="AD60" s="231">
        <v>24.905330614622837</v>
      </c>
      <c r="AE60" s="231">
        <v>22.88845863551336</v>
      </c>
      <c r="AF60" s="231">
        <v>26.106823093547384</v>
      </c>
      <c r="AG60" s="231">
        <v>17.464800526347286</v>
      </c>
      <c r="AH60" s="232">
        <v>32.054253165174536</v>
      </c>
      <c r="AI60" s="232">
        <f>'Calculo Gas'!AQ61</f>
        <v>27.03283343</v>
      </c>
      <c r="AJ60" s="232">
        <f>'Calculo Gas'!AS61</f>
        <v>27.13166272</v>
      </c>
      <c r="AK60" s="232">
        <f>'Calculo Gas'!AU61</f>
        <v>35.94330122</v>
      </c>
      <c r="AL60" s="232">
        <f>'Calculo Gas'!AW61</f>
        <v>38.03797892</v>
      </c>
      <c r="AM60" s="233">
        <f>'Calculo Gas'!AY61</f>
        <v>30.36783564</v>
      </c>
      <c r="AN60" s="233">
        <f>'Calculo Gas'!BA61</f>
        <v>37.91967254</v>
      </c>
      <c r="AO60" s="233">
        <f>'Calculo Gas'!BC61</f>
        <v>39.72700026</v>
      </c>
      <c r="AP60" s="233">
        <f>'Calculo Gas'!BE61</f>
        <v>50.53591147</v>
      </c>
      <c r="AQ60" s="233" t="str">
        <f>'Calculo Gas'!BG61</f>
        <v>0</v>
      </c>
      <c r="AR60" s="233" t="str">
        <f>'Calculo Gas'!BI61</f>
        <v>0</v>
      </c>
      <c r="AS60" s="233" t="str">
        <f>'Calculo Gas'!BK61</f>
        <v>0</v>
      </c>
      <c r="AT60" s="233" t="str">
        <f>'Calculo Gas'!BM61</f>
        <v>0</v>
      </c>
      <c r="AU60" s="233" t="str">
        <f>'Calculo Gas'!BO61</f>
        <v>0</v>
      </c>
      <c r="AV60" s="235">
        <f>IFERROR(__xludf.DUMMYFUNCTION("""COMPUTED_VALUE"""),-62.349999999999994)</f>
        <v>-62.35</v>
      </c>
      <c r="AW60" s="235">
        <f>IFERROR(__xludf.DUMMYFUNCTION("""COMPUTED_VALUE"""),-309.69)</f>
        <v>-309.69</v>
      </c>
      <c r="AX60" s="235"/>
      <c r="AY60" s="235">
        <f t="shared" si="2"/>
        <v>50.53425887</v>
      </c>
      <c r="AZ60" s="235"/>
    </row>
    <row r="61" ht="12.75" customHeight="1">
      <c r="A61" s="224">
        <v>1601.0</v>
      </c>
      <c r="B61" s="225" t="s">
        <v>416</v>
      </c>
      <c r="C61" s="226">
        <v>2034074.0</v>
      </c>
      <c r="D61" s="227">
        <v>0.0</v>
      </c>
      <c r="E61" s="227">
        <v>0.0</v>
      </c>
      <c r="F61" s="227">
        <v>0.0</v>
      </c>
      <c r="G61" s="227">
        <v>0.0</v>
      </c>
      <c r="H61" s="227">
        <v>0.0</v>
      </c>
      <c r="I61" s="227">
        <v>0.0</v>
      </c>
      <c r="J61" s="227">
        <v>0.0</v>
      </c>
      <c r="K61" s="227">
        <v>0.0</v>
      </c>
      <c r="L61" s="227">
        <v>0.0</v>
      </c>
      <c r="M61" s="227">
        <v>0.0</v>
      </c>
      <c r="N61" s="227">
        <v>0.0</v>
      </c>
      <c r="O61" s="227">
        <v>0.0</v>
      </c>
      <c r="P61" s="295">
        <v>0.0</v>
      </c>
      <c r="Q61" s="295">
        <v>0.0</v>
      </c>
      <c r="R61" s="295">
        <v>0.0</v>
      </c>
      <c r="S61" s="295">
        <v>0.0</v>
      </c>
      <c r="T61" s="295">
        <v>0.0</v>
      </c>
      <c r="U61" s="295">
        <v>0.0</v>
      </c>
      <c r="V61" s="296">
        <v>0.0</v>
      </c>
      <c r="W61" s="228">
        <v>0.0</v>
      </c>
      <c r="X61" s="229">
        <v>77.60676022724398</v>
      </c>
      <c r="Y61" s="229">
        <v>36.16926083838374</v>
      </c>
      <c r="Z61" s="229">
        <v>38.93921379693302</v>
      </c>
      <c r="AA61" s="229">
        <v>46.231307708825106</v>
      </c>
      <c r="AB61" s="230">
        <v>33.00404343651558</v>
      </c>
      <c r="AC61" s="229">
        <v>30.665618484465096</v>
      </c>
      <c r="AD61" s="231">
        <v>50.32358565837939</v>
      </c>
      <c r="AE61" s="231">
        <v>43.71765169166143</v>
      </c>
      <c r="AF61" s="231">
        <v>50.26860142019194</v>
      </c>
      <c r="AG61" s="231">
        <v>37.92810574795139</v>
      </c>
      <c r="AH61" s="232">
        <v>53.44001821449182</v>
      </c>
      <c r="AI61" s="232">
        <f>'Calculo Gas'!AQ62</f>
        <v>53.21298016</v>
      </c>
      <c r="AJ61" s="232">
        <f>'Calculo Gas'!AS62</f>
        <v>43.273584</v>
      </c>
      <c r="AK61" s="232">
        <f>'Calculo Gas'!AU62</f>
        <v>38.45656651</v>
      </c>
      <c r="AL61" s="232">
        <f>'Calculo Gas'!AW62</f>
        <v>58.11732454</v>
      </c>
      <c r="AM61" s="233">
        <f>'Calculo Gas'!AY62</f>
        <v>39.25654871</v>
      </c>
      <c r="AN61" s="233">
        <f>'Calculo Gas'!BA62</f>
        <v>60.59969511</v>
      </c>
      <c r="AO61" s="233">
        <f>'Calculo Gas'!BC62</f>
        <v>51.176049</v>
      </c>
      <c r="AP61" s="233">
        <f>'Calculo Gas'!BE62</f>
        <v>94.86831285</v>
      </c>
      <c r="AQ61" s="233" t="str">
        <f>'Calculo Gas'!BG62</f>
        <v>0</v>
      </c>
      <c r="AR61" s="233" t="str">
        <f>'Calculo Gas'!BI62</f>
        <v>0</v>
      </c>
      <c r="AS61" s="233" t="str">
        <f>'Calculo Gas'!BK62</f>
        <v>0</v>
      </c>
      <c r="AT61" s="233" t="str">
        <f>'Calculo Gas'!BM62</f>
        <v>0</v>
      </c>
      <c r="AU61" s="233" t="str">
        <f>'Calculo Gas'!BO62</f>
        <v>0</v>
      </c>
      <c r="AV61" s="235">
        <f>IFERROR(__xludf.DUMMYFUNCTION("""COMPUTED_VALUE"""),-262.59000000000003)</f>
        <v>-262.59</v>
      </c>
      <c r="AW61" s="235">
        <f>IFERROR(__xludf.DUMMYFUNCTION("""COMPUTED_VALUE"""),-579.8)</f>
        <v>-579.8</v>
      </c>
      <c r="AX61" s="235"/>
      <c r="AY61" s="235">
        <f t="shared" si="2"/>
        <v>94.8652281</v>
      </c>
      <c r="AZ61" s="235"/>
    </row>
    <row r="62" ht="12.75" customHeight="1">
      <c r="A62" s="224">
        <v>1602.0</v>
      </c>
      <c r="B62" s="225" t="s">
        <v>417</v>
      </c>
      <c r="C62" s="226">
        <v>2034082.0</v>
      </c>
      <c r="D62" s="227">
        <v>0.0</v>
      </c>
      <c r="E62" s="227">
        <v>0.0</v>
      </c>
      <c r="F62" s="227">
        <v>0.0</v>
      </c>
      <c r="G62" s="227">
        <v>0.0</v>
      </c>
      <c r="H62" s="227">
        <v>0.0</v>
      </c>
      <c r="I62" s="227">
        <v>0.0</v>
      </c>
      <c r="J62" s="227">
        <v>0.0</v>
      </c>
      <c r="K62" s="227">
        <v>0.0</v>
      </c>
      <c r="L62" s="227">
        <v>0.0</v>
      </c>
      <c r="M62" s="227">
        <v>0.0</v>
      </c>
      <c r="N62" s="227">
        <v>0.0</v>
      </c>
      <c r="O62" s="227">
        <v>0.0</v>
      </c>
      <c r="P62" s="295">
        <v>0.0</v>
      </c>
      <c r="Q62" s="295">
        <v>0.0</v>
      </c>
      <c r="R62" s="295">
        <v>0.0</v>
      </c>
      <c r="S62" s="295">
        <v>0.0</v>
      </c>
      <c r="T62" s="295">
        <v>0.0</v>
      </c>
      <c r="U62" s="295">
        <v>0.0</v>
      </c>
      <c r="V62" s="296">
        <v>0.0</v>
      </c>
      <c r="W62" s="228">
        <v>0.0</v>
      </c>
      <c r="X62" s="229">
        <v>57.16451788632644</v>
      </c>
      <c r="Y62" s="229">
        <v>36.1325904150939</v>
      </c>
      <c r="Z62" s="229">
        <v>31.682856722901718</v>
      </c>
      <c r="AA62" s="229">
        <v>38.15984539403048</v>
      </c>
      <c r="AB62" s="230">
        <v>42.62647571909629</v>
      </c>
      <c r="AC62" s="229">
        <v>33.042895717263995</v>
      </c>
      <c r="AD62" s="231">
        <v>41.2049291404399</v>
      </c>
      <c r="AE62" s="231">
        <v>73.11784202408727</v>
      </c>
      <c r="AF62" s="231">
        <v>71.90902541936798</v>
      </c>
      <c r="AG62" s="231">
        <v>48.075363359052744</v>
      </c>
      <c r="AH62" s="232">
        <v>50.17116743509011</v>
      </c>
      <c r="AI62" s="232">
        <f>'Calculo Gas'!AQ63</f>
        <v>9.259644769</v>
      </c>
      <c r="AJ62" s="232">
        <f>'Calculo Gas'!AS63</f>
        <v>7.432846624</v>
      </c>
      <c r="AK62" s="232">
        <f>'Calculo Gas'!AU63</f>
        <v>9.668254994</v>
      </c>
      <c r="AL62" s="232">
        <f>'Calculo Gas'!AW63</f>
        <v>7.158936412</v>
      </c>
      <c r="AM62" s="233">
        <f>'Calculo Gas'!AY63</f>
        <v>5.697595453</v>
      </c>
      <c r="AN62" s="233">
        <f>'Calculo Gas'!BA63</f>
        <v>12.72731638</v>
      </c>
      <c r="AO62" s="233">
        <f>'Calculo Gas'!BC63</f>
        <v>10.57988011</v>
      </c>
      <c r="AP62" s="233">
        <f>'Calculo Gas'!BE63</f>
        <v>14.41721683</v>
      </c>
      <c r="AQ62" s="233" t="str">
        <f>'Calculo Gas'!BG63</f>
        <v>0</v>
      </c>
      <c r="AR62" s="233" t="str">
        <f>'Calculo Gas'!BI63</f>
        <v>0</v>
      </c>
      <c r="AS62" s="233" t="str">
        <f>'Calculo Gas'!BK63</f>
        <v>0</v>
      </c>
      <c r="AT62" s="233" t="str">
        <f>'Calculo Gas'!BM63</f>
        <v>0</v>
      </c>
      <c r="AU62" s="233" t="str">
        <f>'Calculo Gas'!BO63</f>
        <v>0</v>
      </c>
      <c r="AV62" s="235">
        <f>IFERROR(__xludf.DUMMYFUNCTION("""COMPUTED_VALUE"""),-352.49)</f>
        <v>-352.49</v>
      </c>
      <c r="AW62" s="235">
        <f>IFERROR(__xludf.DUMMYFUNCTION("""COMPUTED_VALUE"""),-233.32000000000002)</f>
        <v>-233.32</v>
      </c>
      <c r="AX62" s="235"/>
      <c r="AY62" s="235">
        <f t="shared" si="2"/>
        <v>14.41920081</v>
      </c>
      <c r="AZ62" s="235"/>
    </row>
    <row r="63" ht="12.75" customHeight="1">
      <c r="A63" s="224">
        <v>1701.0</v>
      </c>
      <c r="B63" s="225" t="s">
        <v>418</v>
      </c>
      <c r="C63" s="226">
        <v>2034048.0</v>
      </c>
      <c r="D63" s="295">
        <v>0.0</v>
      </c>
      <c r="E63" s="295">
        <v>0.0</v>
      </c>
      <c r="F63" s="295">
        <v>0.0</v>
      </c>
      <c r="G63" s="295">
        <v>0.0</v>
      </c>
      <c r="H63" s="295">
        <v>0.0</v>
      </c>
      <c r="I63" s="295">
        <v>0.0</v>
      </c>
      <c r="J63" s="227">
        <v>0.0</v>
      </c>
      <c r="K63" s="227">
        <v>0.0</v>
      </c>
      <c r="L63" s="227">
        <v>0.0</v>
      </c>
      <c r="M63" s="227">
        <v>0.0</v>
      </c>
      <c r="N63" s="227">
        <v>0.0</v>
      </c>
      <c r="O63" s="227">
        <v>0.0</v>
      </c>
      <c r="P63" s="227">
        <v>0.0</v>
      </c>
      <c r="Q63" s="295">
        <v>0.0</v>
      </c>
      <c r="R63" s="295">
        <v>0.0</v>
      </c>
      <c r="S63" s="295">
        <v>0.0</v>
      </c>
      <c r="T63" s="295">
        <v>0.0</v>
      </c>
      <c r="U63" s="295">
        <v>0.0</v>
      </c>
      <c r="V63" s="296">
        <v>0.0</v>
      </c>
      <c r="W63" s="228">
        <v>0.0</v>
      </c>
      <c r="X63" s="229">
        <v>112.27427430024082</v>
      </c>
      <c r="Y63" s="229">
        <v>96.07650901983658</v>
      </c>
      <c r="Z63" s="229">
        <v>105.30211820809731</v>
      </c>
      <c r="AA63" s="229">
        <v>103.28091045737574</v>
      </c>
      <c r="AB63" s="230">
        <v>129.1384369886544</v>
      </c>
      <c r="AC63" s="297">
        <v>119.48019277437832</v>
      </c>
      <c r="AD63" s="257">
        <v>139.44420522043131</v>
      </c>
      <c r="AE63" s="257">
        <v>117.75381485249194</v>
      </c>
      <c r="AF63" s="257">
        <v>121.91828753730572</v>
      </c>
      <c r="AG63" s="257">
        <v>80.89012500747707</v>
      </c>
      <c r="AH63" s="258">
        <v>106.99387700338981</v>
      </c>
      <c r="AI63" s="258">
        <f>'Calculo Gas'!AQ64</f>
        <v>74.33029952</v>
      </c>
      <c r="AJ63" s="258">
        <f>'Calculo Gas'!AS64</f>
        <v>106.6713934</v>
      </c>
      <c r="AK63" s="258">
        <f>'Calculo Gas'!AU64</f>
        <v>119.9031972</v>
      </c>
      <c r="AL63" s="258">
        <f>'Calculo Gas'!AW64</f>
        <v>122.4006508</v>
      </c>
      <c r="AM63" s="259">
        <f>'Calculo Gas'!AY64</f>
        <v>146.373664</v>
      </c>
      <c r="AN63" s="233">
        <f>'Calculo Gas'!BA64</f>
        <v>208.5098849</v>
      </c>
      <c r="AO63" s="233">
        <f>'Calculo Gas'!BC64</f>
        <v>193.0153766</v>
      </c>
      <c r="AP63" s="233">
        <f>'Calculo Gas'!BE64</f>
        <v>280.281935</v>
      </c>
      <c r="AQ63" s="233" t="str">
        <f>'Calculo Gas'!BG64</f>
        <v>0</v>
      </c>
      <c r="AR63" s="233" t="str">
        <f>'Calculo Gas'!BI64</f>
        <v>0</v>
      </c>
      <c r="AS63" s="233" t="str">
        <f>'Calculo Gas'!BK64</f>
        <v>0</v>
      </c>
      <c r="AT63" s="233" t="str">
        <f>'Calculo Gas'!BM64</f>
        <v>0</v>
      </c>
      <c r="AU63" s="233" t="str">
        <f>'Calculo Gas'!BO64</f>
        <v>0</v>
      </c>
      <c r="AV63" s="235">
        <f>IFERROR(__xludf.DUMMYFUNCTION("""COMPUTED_VALUE"""),-545.8)</f>
        <v>-545.8</v>
      </c>
      <c r="AW63" s="235">
        <f>IFERROR(__xludf.DUMMYFUNCTION("""COMPUTED_VALUE"""),-1657.9599999999998)</f>
        <v>-1657.96</v>
      </c>
      <c r="AX63" s="235"/>
      <c r="AY63" s="235">
        <f t="shared" si="2"/>
        <v>280.2791529</v>
      </c>
      <c r="AZ63" s="235"/>
    </row>
    <row r="64" ht="12.75" customHeight="1">
      <c r="A64" s="224">
        <v>1702.0</v>
      </c>
      <c r="B64" s="225" t="s">
        <v>419</v>
      </c>
      <c r="C64" s="226">
        <v>2034081.0</v>
      </c>
      <c r="D64" s="227">
        <v>0.0</v>
      </c>
      <c r="E64" s="227">
        <v>0.0</v>
      </c>
      <c r="F64" s="227">
        <v>0.0</v>
      </c>
      <c r="G64" s="227">
        <v>0.0</v>
      </c>
      <c r="H64" s="227">
        <v>0.0</v>
      </c>
      <c r="I64" s="227">
        <v>0.0</v>
      </c>
      <c r="J64" s="227">
        <v>0.0</v>
      </c>
      <c r="K64" s="227">
        <v>0.0</v>
      </c>
      <c r="L64" s="227">
        <v>0.0</v>
      </c>
      <c r="M64" s="227">
        <v>0.0</v>
      </c>
      <c r="N64" s="227">
        <v>0.0</v>
      </c>
      <c r="O64" s="295">
        <v>0.0</v>
      </c>
      <c r="P64" s="295">
        <v>0.0</v>
      </c>
      <c r="Q64" s="295">
        <v>0.0</v>
      </c>
      <c r="R64" s="295">
        <v>0.0</v>
      </c>
      <c r="S64" s="295">
        <v>0.0</v>
      </c>
      <c r="T64" s="295">
        <v>0.0</v>
      </c>
      <c r="U64" s="295">
        <v>0.0</v>
      </c>
      <c r="V64" s="295">
        <v>0.0</v>
      </c>
      <c r="W64" s="228">
        <v>0.0</v>
      </c>
      <c r="X64" s="229">
        <v>9.430828296453477</v>
      </c>
      <c r="Y64" s="229">
        <v>8.59310252429364</v>
      </c>
      <c r="Z64" s="229">
        <v>13.687576554359566</v>
      </c>
      <c r="AA64" s="229">
        <v>21.847884904444715</v>
      </c>
      <c r="AB64" s="230">
        <v>21.454555289599526</v>
      </c>
      <c r="AC64" s="229">
        <v>23.84824144649162</v>
      </c>
      <c r="AD64" s="231">
        <v>26.8857888271128</v>
      </c>
      <c r="AE64" s="231">
        <v>27.98096675745698</v>
      </c>
      <c r="AF64" s="231">
        <v>28.97396315735347</v>
      </c>
      <c r="AG64" s="231">
        <v>34.47287517195988</v>
      </c>
      <c r="AH64" s="232">
        <v>26.297172688020154</v>
      </c>
      <c r="AI64" s="232">
        <f>'Calculo Gas'!AQ65</f>
        <v>24.84782373</v>
      </c>
      <c r="AJ64" s="232">
        <f>'Calculo Gas'!AS65</f>
        <v>21.43590425</v>
      </c>
      <c r="AK64" s="232">
        <f>'Calculo Gas'!AU65</f>
        <v>22.52318607</v>
      </c>
      <c r="AL64" s="232">
        <f>'Calculo Gas'!AW65</f>
        <v>21.04776339</v>
      </c>
      <c r="AM64" s="233">
        <f>'Calculo Gas'!AY65</f>
        <v>10.94263241</v>
      </c>
      <c r="AN64" s="233">
        <f>'Calculo Gas'!BA65</f>
        <v>1.187146647</v>
      </c>
      <c r="AO64" s="233">
        <f>'Calculo Gas'!BC65</f>
        <v>12.06346104</v>
      </c>
      <c r="AP64" s="233">
        <f>'Calculo Gas'!BE65</f>
        <v>18.1566149</v>
      </c>
      <c r="AQ64" s="233" t="str">
        <f>'Calculo Gas'!BG65</f>
        <v>0</v>
      </c>
      <c r="AR64" s="233" t="str">
        <f>'Calculo Gas'!BI65</f>
        <v>0</v>
      </c>
      <c r="AS64" s="233" t="str">
        <f>'Calculo Gas'!BK65</f>
        <v>0</v>
      </c>
      <c r="AT64" s="233" t="str">
        <f>'Calculo Gas'!BM65</f>
        <v>0</v>
      </c>
      <c r="AU64" s="233" t="str">
        <f>'Calculo Gas'!BO65</f>
        <v>0</v>
      </c>
      <c r="AV64" s="235">
        <f>IFERROR(__xludf.DUMMYFUNCTION("""COMPUTED_VALUE"""),-1.0)</f>
        <v>-1</v>
      </c>
      <c r="AW64" s="235">
        <f>IFERROR(__xludf.DUMMYFUNCTION("""COMPUTED_VALUE"""),-356.52)</f>
        <v>-356.52</v>
      </c>
      <c r="AX64" s="235"/>
      <c r="AY64" s="235">
        <f t="shared" si="2"/>
        <v>18.15748806</v>
      </c>
      <c r="AZ64" s="235"/>
    </row>
    <row r="65" ht="12.7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98"/>
      <c r="Y65" s="200"/>
      <c r="Z65" s="200"/>
      <c r="AA65" s="200"/>
      <c r="AB65" s="200"/>
      <c r="AC65" s="200"/>
      <c r="AE65" s="200"/>
      <c r="AF65" s="200"/>
      <c r="AH65" s="299"/>
      <c r="AI65" s="299"/>
      <c r="AJ65" s="300">
        <v>46023.0</v>
      </c>
      <c r="AK65" s="300">
        <v>46024.0</v>
      </c>
      <c r="AL65" s="300">
        <v>46025.0</v>
      </c>
      <c r="AM65" s="300">
        <v>46026.0</v>
      </c>
      <c r="AN65" s="300">
        <v>46027.0</v>
      </c>
      <c r="AO65" s="300">
        <v>46028.0</v>
      </c>
      <c r="AP65" s="300">
        <v>46029.0</v>
      </c>
      <c r="AQ65" s="300">
        <v>46030.0</v>
      </c>
      <c r="AR65" s="300">
        <v>46031.0</v>
      </c>
      <c r="AS65" s="300">
        <v>46032.0</v>
      </c>
      <c r="AT65" s="300">
        <v>46033.0</v>
      </c>
      <c r="AU65" s="300">
        <v>46034.0</v>
      </c>
      <c r="AV65" s="235"/>
      <c r="AW65" s="235"/>
      <c r="AX65" s="235"/>
      <c r="AY65" s="235">
        <f>SUM(AY5:AY64)</f>
        <v>2134.619437</v>
      </c>
      <c r="AZ65" s="235"/>
    </row>
    <row r="66" ht="12.7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AI66" s="299"/>
      <c r="AJ66" s="299"/>
      <c r="AK66" s="299"/>
      <c r="AL66" s="299"/>
      <c r="AM66" s="299"/>
      <c r="AN66" s="299"/>
      <c r="AO66" s="299"/>
      <c r="AP66" s="299"/>
      <c r="AQ66" s="299"/>
      <c r="AR66" s="299"/>
      <c r="AS66" s="299"/>
      <c r="AT66" s="299"/>
      <c r="AV66" s="153"/>
      <c r="AW66" s="153"/>
    </row>
    <row r="67" ht="12.7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200"/>
      <c r="AI67" s="299"/>
      <c r="AJ67" s="299"/>
      <c r="AK67" s="299"/>
      <c r="AL67" s="299"/>
      <c r="AM67" s="299"/>
      <c r="AN67" s="299"/>
      <c r="AO67" s="299"/>
      <c r="AP67" s="299"/>
      <c r="AQ67" s="299"/>
      <c r="AR67" s="299"/>
      <c r="AS67" s="299"/>
      <c r="AT67" s="299"/>
      <c r="AV67" s="153"/>
      <c r="AW67" s="153"/>
    </row>
    <row r="68" ht="12.7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I68" s="299"/>
      <c r="AJ68" s="299"/>
      <c r="AK68" s="299"/>
      <c r="AL68" s="299"/>
      <c r="AM68" s="299"/>
      <c r="AN68" s="299"/>
      <c r="AO68" s="299"/>
      <c r="AP68" s="299"/>
      <c r="AQ68" s="299"/>
      <c r="AR68" s="299"/>
      <c r="AS68" s="299"/>
      <c r="AT68" s="299"/>
      <c r="AV68" s="153"/>
      <c r="AW68" s="153"/>
    </row>
    <row r="69" ht="12.7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  <c r="AI69" s="299"/>
      <c r="AJ69" s="299"/>
      <c r="AK69" s="299"/>
      <c r="AL69" s="299"/>
      <c r="AM69" s="299"/>
      <c r="AN69" s="299"/>
      <c r="AO69" s="299"/>
      <c r="AP69" s="299"/>
      <c r="AQ69" s="299"/>
      <c r="AR69" s="299"/>
      <c r="AS69" s="299"/>
      <c r="AT69" s="299"/>
      <c r="AV69" s="153"/>
      <c r="AW69" s="153"/>
    </row>
    <row r="70" ht="12.7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I70" s="299"/>
      <c r="AJ70" s="299"/>
      <c r="AK70" s="299"/>
      <c r="AL70" s="299"/>
      <c r="AM70" s="299"/>
      <c r="AN70" s="299"/>
      <c r="AO70" s="299"/>
      <c r="AP70" s="299"/>
      <c r="AQ70" s="299"/>
      <c r="AR70" s="299"/>
      <c r="AS70" s="299"/>
      <c r="AT70" s="299"/>
      <c r="AV70" s="153"/>
      <c r="AW70" s="153"/>
    </row>
    <row r="71" ht="12.7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AV71" s="153"/>
      <c r="AW71" s="153"/>
    </row>
    <row r="72" ht="12.7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V72" s="153"/>
      <c r="AW72" s="153"/>
    </row>
    <row r="73" ht="12.7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  <c r="AV73" s="153"/>
      <c r="AW73" s="153"/>
    </row>
    <row r="74" ht="12.7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V74" s="153"/>
      <c r="AW74" s="153"/>
    </row>
    <row r="75" ht="12.7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V75" s="153"/>
      <c r="AW75" s="153"/>
    </row>
    <row r="76" ht="12.7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V76" s="153"/>
      <c r="AW76" s="153"/>
    </row>
    <row r="77" ht="12.7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V77" s="153"/>
      <c r="AW77" s="153"/>
    </row>
    <row r="78" ht="12.7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V78" s="153"/>
      <c r="AW78" s="153"/>
    </row>
    <row r="79" ht="12.7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  <c r="AV79" s="153"/>
      <c r="AW79" s="153"/>
    </row>
    <row r="80" ht="12.7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  <c r="AV80" s="153"/>
      <c r="AW80" s="153"/>
    </row>
    <row r="81" ht="12.7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V81" s="153"/>
      <c r="AW81" s="153"/>
    </row>
    <row r="82" ht="12.7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  <c r="AV82" s="153"/>
      <c r="AW82" s="153"/>
    </row>
    <row r="83" ht="12.7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200"/>
      <c r="AG83" s="200"/>
      <c r="AV83" s="153"/>
      <c r="AW83" s="153"/>
    </row>
    <row r="84" ht="12.7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V84" s="153"/>
      <c r="AW84" s="153"/>
    </row>
    <row r="85" ht="12.7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  <c r="AV85" s="153"/>
      <c r="AW85" s="153"/>
    </row>
    <row r="86" ht="12.7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V86" s="153"/>
      <c r="AW86" s="153"/>
    </row>
    <row r="87" ht="12.7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0"/>
      <c r="AB87" s="200"/>
      <c r="AC87" s="200"/>
      <c r="AD87" s="200"/>
      <c r="AE87" s="200"/>
      <c r="AF87" s="200"/>
      <c r="AG87" s="200"/>
      <c r="AV87" s="153"/>
      <c r="AW87" s="153"/>
    </row>
    <row r="88" ht="12.7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V88" s="153"/>
      <c r="AW88" s="153"/>
    </row>
    <row r="89" ht="12.7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V89" s="153"/>
      <c r="AW89" s="153"/>
    </row>
    <row r="90" ht="12.7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  <c r="AV90" s="153"/>
      <c r="AW90" s="153"/>
    </row>
    <row r="91" ht="12.7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B91" s="200"/>
      <c r="AC91" s="200"/>
      <c r="AD91" s="200"/>
      <c r="AE91" s="200"/>
      <c r="AF91" s="200"/>
      <c r="AG91" s="200"/>
      <c r="AV91" s="153"/>
      <c r="AW91" s="153"/>
    </row>
    <row r="92" ht="12.7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0"/>
      <c r="AB92" s="200"/>
      <c r="AC92" s="200"/>
      <c r="AD92" s="200"/>
      <c r="AE92" s="200"/>
      <c r="AF92" s="200"/>
      <c r="AG92" s="200"/>
      <c r="AV92" s="153"/>
      <c r="AW92" s="153"/>
    </row>
    <row r="93" ht="12.7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200"/>
      <c r="AG93" s="200"/>
      <c r="AV93" s="153"/>
      <c r="AW93" s="153"/>
    </row>
    <row r="94" ht="12.7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200"/>
      <c r="AG94" s="200"/>
      <c r="AV94" s="153"/>
      <c r="AW94" s="153"/>
    </row>
    <row r="95" ht="12.7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200"/>
      <c r="AB95" s="200"/>
      <c r="AC95" s="200"/>
      <c r="AD95" s="200"/>
      <c r="AE95" s="200"/>
      <c r="AF95" s="200"/>
      <c r="AG95" s="200"/>
      <c r="AV95" s="153"/>
      <c r="AW95" s="153"/>
    </row>
    <row r="96" ht="12.7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200"/>
      <c r="AB96" s="200"/>
      <c r="AC96" s="200"/>
      <c r="AD96" s="200"/>
      <c r="AE96" s="200"/>
      <c r="AF96" s="200"/>
      <c r="AG96" s="200"/>
      <c r="AV96" s="153"/>
      <c r="AW96" s="153"/>
    </row>
    <row r="97" ht="12.7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  <c r="AA97" s="200"/>
      <c r="AB97" s="200"/>
      <c r="AC97" s="200"/>
      <c r="AD97" s="200"/>
      <c r="AE97" s="200"/>
      <c r="AF97" s="200"/>
      <c r="AG97" s="200"/>
      <c r="AV97" s="153"/>
      <c r="AW97" s="153"/>
    </row>
    <row r="98" ht="12.7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0"/>
      <c r="AB98" s="200"/>
      <c r="AC98" s="200"/>
      <c r="AD98" s="200"/>
      <c r="AE98" s="200"/>
      <c r="AF98" s="200"/>
      <c r="AG98" s="200"/>
      <c r="AV98" s="153"/>
      <c r="AW98" s="153"/>
    </row>
    <row r="99" ht="12.7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  <c r="AA99" s="200"/>
      <c r="AB99" s="200"/>
      <c r="AC99" s="200"/>
      <c r="AD99" s="200"/>
      <c r="AE99" s="200"/>
      <c r="AF99" s="200"/>
      <c r="AG99" s="200"/>
      <c r="AV99" s="153"/>
      <c r="AW99" s="153"/>
    </row>
    <row r="100" ht="12.7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200"/>
      <c r="AB100" s="200"/>
      <c r="AC100" s="200"/>
      <c r="AD100" s="200"/>
      <c r="AE100" s="200"/>
      <c r="AF100" s="200"/>
      <c r="AG100" s="200"/>
      <c r="AV100" s="153"/>
      <c r="AW100" s="153"/>
    </row>
    <row r="101" ht="12.7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  <c r="AB101" s="200"/>
      <c r="AC101" s="200"/>
      <c r="AD101" s="200"/>
      <c r="AE101" s="200"/>
      <c r="AF101" s="200"/>
      <c r="AG101" s="200"/>
      <c r="AV101" s="153"/>
      <c r="AW101" s="153"/>
    </row>
    <row r="102" ht="12.7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  <c r="AB102" s="200"/>
      <c r="AC102" s="200"/>
      <c r="AD102" s="200"/>
      <c r="AE102" s="200"/>
      <c r="AF102" s="200"/>
      <c r="AG102" s="200"/>
      <c r="AV102" s="153"/>
      <c r="AW102" s="153"/>
    </row>
    <row r="103" ht="12.7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  <c r="AB103" s="200"/>
      <c r="AC103" s="200"/>
      <c r="AD103" s="200"/>
      <c r="AE103" s="200"/>
      <c r="AF103" s="200"/>
      <c r="AG103" s="200"/>
      <c r="AV103" s="153"/>
      <c r="AW103" s="153"/>
    </row>
    <row r="104" ht="12.7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200"/>
      <c r="AG104" s="200"/>
      <c r="AV104" s="153"/>
      <c r="AW104" s="153"/>
    </row>
    <row r="105" ht="12.7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200"/>
      <c r="AG105" s="200"/>
      <c r="AV105" s="153"/>
      <c r="AW105" s="153"/>
    </row>
    <row r="106" ht="12.7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V106" s="153"/>
      <c r="AW106" s="153"/>
    </row>
    <row r="107" ht="12.7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V107" s="153"/>
      <c r="AW107" s="153"/>
    </row>
    <row r="108" ht="12.7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V108" s="153"/>
      <c r="AW108" s="153"/>
    </row>
    <row r="109" ht="12.7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  <c r="AB109" s="200"/>
      <c r="AC109" s="200"/>
      <c r="AD109" s="200"/>
      <c r="AE109" s="200"/>
      <c r="AF109" s="200"/>
      <c r="AG109" s="200"/>
      <c r="AV109" s="153"/>
      <c r="AW109" s="153"/>
    </row>
    <row r="110" ht="12.7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V110" s="153"/>
      <c r="AW110" s="153"/>
    </row>
    <row r="111" ht="12.7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  <c r="AV111" s="153"/>
      <c r="AW111" s="153"/>
    </row>
    <row r="112" ht="12.7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V112" s="153"/>
      <c r="AW112" s="153"/>
    </row>
    <row r="113" ht="12.7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V113" s="153"/>
      <c r="AW113" s="153"/>
    </row>
    <row r="114" ht="12.7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V114" s="153"/>
      <c r="AW114" s="153"/>
    </row>
    <row r="115" ht="12.7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200"/>
      <c r="AG115" s="200"/>
      <c r="AV115" s="153"/>
      <c r="AW115" s="153"/>
    </row>
    <row r="116" ht="12.7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V116" s="153"/>
      <c r="AW116" s="153"/>
    </row>
    <row r="117" ht="12.7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V117" s="153"/>
      <c r="AW117" s="153"/>
    </row>
    <row r="118" ht="12.7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V118" s="153"/>
      <c r="AW118" s="153"/>
    </row>
    <row r="119" ht="12.7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  <c r="AV119" s="153"/>
      <c r="AW119" s="153"/>
    </row>
    <row r="120" ht="12.7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  <c r="AV120" s="153"/>
      <c r="AW120" s="153"/>
    </row>
    <row r="121" ht="12.7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V121" s="153"/>
      <c r="AW121" s="153"/>
    </row>
    <row r="122" ht="12.7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V122" s="153"/>
      <c r="AW122" s="153"/>
    </row>
    <row r="123" ht="12.7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  <c r="AB123" s="200"/>
      <c r="AC123" s="200"/>
      <c r="AD123" s="200"/>
      <c r="AE123" s="200"/>
      <c r="AF123" s="200"/>
      <c r="AG123" s="200"/>
      <c r="AV123" s="153"/>
      <c r="AW123" s="153"/>
    </row>
    <row r="124" ht="12.7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V124" s="153"/>
      <c r="AW124" s="153"/>
    </row>
    <row r="125" ht="12.7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  <c r="AV125" s="153"/>
      <c r="AW125" s="153"/>
    </row>
    <row r="126" ht="12.7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V126" s="153"/>
      <c r="AW126" s="153"/>
    </row>
    <row r="127" ht="12.7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V127" s="153"/>
      <c r="AW127" s="153"/>
    </row>
    <row r="128" ht="12.7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V128" s="153"/>
      <c r="AW128" s="153"/>
    </row>
    <row r="129" ht="12.7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  <c r="AB129" s="200"/>
      <c r="AC129" s="200"/>
      <c r="AD129" s="200"/>
      <c r="AE129" s="200"/>
      <c r="AF129" s="200"/>
      <c r="AG129" s="200"/>
      <c r="AV129" s="153"/>
      <c r="AW129" s="153"/>
    </row>
    <row r="130" ht="12.7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200"/>
      <c r="AC130" s="200"/>
      <c r="AD130" s="200"/>
      <c r="AE130" s="200"/>
      <c r="AF130" s="200"/>
      <c r="AG130" s="200"/>
      <c r="AV130" s="153"/>
      <c r="AW130" s="153"/>
    </row>
    <row r="131" ht="12.7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200"/>
      <c r="AC131" s="200"/>
      <c r="AD131" s="200"/>
      <c r="AE131" s="200"/>
      <c r="AF131" s="200"/>
      <c r="AG131" s="200"/>
      <c r="AV131" s="153"/>
      <c r="AW131" s="153"/>
    </row>
    <row r="132" ht="12.7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V132" s="153"/>
      <c r="AW132" s="153"/>
    </row>
    <row r="133" ht="12.7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V133" s="153"/>
      <c r="AW133" s="153"/>
    </row>
    <row r="134" ht="12.7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V134" s="153"/>
      <c r="AW134" s="153"/>
    </row>
    <row r="135" ht="12.7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  <c r="AB135" s="200"/>
      <c r="AC135" s="200"/>
      <c r="AD135" s="200"/>
      <c r="AE135" s="200"/>
      <c r="AF135" s="200"/>
      <c r="AG135" s="200"/>
      <c r="AV135" s="153"/>
      <c r="AW135" s="153"/>
    </row>
    <row r="136" ht="12.7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  <c r="AV136" s="153"/>
      <c r="AW136" s="153"/>
    </row>
    <row r="137" ht="12.7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V137" s="153"/>
      <c r="AW137" s="153"/>
    </row>
    <row r="138" ht="12.7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0"/>
      <c r="AV138" s="153"/>
      <c r="AW138" s="153"/>
    </row>
    <row r="139" ht="12.7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  <c r="AV139" s="153"/>
      <c r="AW139" s="153"/>
    </row>
    <row r="140" ht="12.7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00"/>
      <c r="AG140" s="200"/>
      <c r="AV140" s="153"/>
      <c r="AW140" s="153"/>
    </row>
    <row r="141" ht="12.7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  <c r="AV141" s="153"/>
      <c r="AW141" s="153"/>
    </row>
    <row r="142" ht="12.7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V142" s="153"/>
      <c r="AW142" s="153"/>
    </row>
    <row r="143" ht="12.7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V143" s="153"/>
      <c r="AW143" s="153"/>
    </row>
    <row r="144" ht="12.7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V144" s="153"/>
      <c r="AW144" s="153"/>
    </row>
    <row r="145" ht="12.7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00"/>
      <c r="AG145" s="200"/>
      <c r="AV145" s="153"/>
      <c r="AW145" s="153"/>
    </row>
    <row r="146" ht="12.7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  <c r="AV146" s="153"/>
      <c r="AW146" s="153"/>
    </row>
    <row r="147" ht="12.7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200"/>
      <c r="AG147" s="200"/>
      <c r="AV147" s="153"/>
      <c r="AW147" s="153"/>
    </row>
    <row r="148" ht="12.7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200"/>
      <c r="AG148" s="200"/>
      <c r="AV148" s="153"/>
      <c r="AW148" s="153"/>
    </row>
    <row r="149" ht="12.7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  <c r="AV149" s="153"/>
      <c r="AW149" s="153"/>
    </row>
    <row r="150" ht="12.7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200"/>
      <c r="AG150" s="200"/>
      <c r="AV150" s="153"/>
      <c r="AW150" s="153"/>
    </row>
    <row r="151" ht="12.7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  <c r="AB151" s="200"/>
      <c r="AC151" s="200"/>
      <c r="AD151" s="200"/>
      <c r="AE151" s="200"/>
      <c r="AF151" s="200"/>
      <c r="AG151" s="200"/>
      <c r="AV151" s="153"/>
      <c r="AW151" s="153"/>
    </row>
    <row r="152" ht="12.7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  <c r="AV152" s="153"/>
      <c r="AW152" s="153"/>
    </row>
    <row r="153" ht="12.7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200"/>
      <c r="AG153" s="200"/>
      <c r="AV153" s="153"/>
      <c r="AW153" s="153"/>
    </row>
    <row r="154" ht="12.7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  <c r="AB154" s="200"/>
      <c r="AC154" s="200"/>
      <c r="AD154" s="200"/>
      <c r="AE154" s="200"/>
      <c r="AF154" s="200"/>
      <c r="AG154" s="200"/>
      <c r="AV154" s="153"/>
      <c r="AW154" s="153"/>
    </row>
    <row r="155" ht="12.7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  <c r="AV155" s="153"/>
      <c r="AW155" s="153"/>
    </row>
    <row r="156" ht="12.7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  <c r="AB156" s="200"/>
      <c r="AC156" s="200"/>
      <c r="AD156" s="200"/>
      <c r="AE156" s="200"/>
      <c r="AF156" s="200"/>
      <c r="AG156" s="200"/>
      <c r="AV156" s="153"/>
      <c r="AW156" s="153"/>
    </row>
    <row r="157" ht="12.7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  <c r="AB157" s="200"/>
      <c r="AC157" s="200"/>
      <c r="AD157" s="200"/>
      <c r="AE157" s="200"/>
      <c r="AF157" s="200"/>
      <c r="AG157" s="200"/>
      <c r="AV157" s="153"/>
      <c r="AW157" s="153"/>
    </row>
    <row r="158" ht="12.7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  <c r="AB158" s="200"/>
      <c r="AC158" s="200"/>
      <c r="AD158" s="200"/>
      <c r="AE158" s="200"/>
      <c r="AF158" s="200"/>
      <c r="AG158" s="200"/>
      <c r="AV158" s="153"/>
      <c r="AW158" s="153"/>
    </row>
    <row r="159" ht="12.7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  <c r="AB159" s="200"/>
      <c r="AC159" s="200"/>
      <c r="AD159" s="200"/>
      <c r="AE159" s="200"/>
      <c r="AF159" s="200"/>
      <c r="AG159" s="200"/>
      <c r="AV159" s="153"/>
      <c r="AW159" s="153"/>
    </row>
    <row r="160" ht="12.7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  <c r="AB160" s="200"/>
      <c r="AC160" s="200"/>
      <c r="AD160" s="200"/>
      <c r="AE160" s="200"/>
      <c r="AF160" s="200"/>
      <c r="AG160" s="200"/>
      <c r="AV160" s="153"/>
      <c r="AW160" s="153"/>
    </row>
    <row r="161" ht="12.7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200"/>
      <c r="AG161" s="200"/>
      <c r="AV161" s="153"/>
      <c r="AW161" s="153"/>
    </row>
    <row r="162" ht="12.7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200"/>
      <c r="AG162" s="200"/>
      <c r="AV162" s="153"/>
      <c r="AW162" s="153"/>
    </row>
    <row r="163" ht="12.7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  <c r="AB163" s="200"/>
      <c r="AC163" s="200"/>
      <c r="AD163" s="200"/>
      <c r="AE163" s="200"/>
      <c r="AF163" s="200"/>
      <c r="AG163" s="200"/>
      <c r="AV163" s="153"/>
      <c r="AW163" s="153"/>
    </row>
    <row r="164" ht="12.7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  <c r="AB164" s="200"/>
      <c r="AC164" s="200"/>
      <c r="AD164" s="200"/>
      <c r="AE164" s="200"/>
      <c r="AF164" s="200"/>
      <c r="AG164" s="200"/>
      <c r="AV164" s="153"/>
      <c r="AW164" s="153"/>
    </row>
    <row r="165" ht="12.7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200"/>
      <c r="AG165" s="200"/>
      <c r="AV165" s="153"/>
      <c r="AW165" s="153"/>
    </row>
    <row r="166" ht="12.7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200"/>
      <c r="AG166" s="200"/>
      <c r="AV166" s="153"/>
      <c r="AW166" s="153"/>
    </row>
    <row r="167" ht="12.7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  <c r="AV167" s="153"/>
      <c r="AW167" s="153"/>
    </row>
    <row r="168" ht="12.7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  <c r="AB168" s="200"/>
      <c r="AC168" s="200"/>
      <c r="AD168" s="200"/>
      <c r="AE168" s="200"/>
      <c r="AF168" s="200"/>
      <c r="AG168" s="200"/>
      <c r="AV168" s="153"/>
      <c r="AW168" s="153"/>
    </row>
    <row r="169" ht="12.7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  <c r="AV169" s="153"/>
      <c r="AW169" s="153"/>
    </row>
    <row r="170" ht="12.7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  <c r="AB170" s="200"/>
      <c r="AC170" s="200"/>
      <c r="AD170" s="200"/>
      <c r="AE170" s="200"/>
      <c r="AF170" s="200"/>
      <c r="AG170" s="200"/>
      <c r="AV170" s="153"/>
      <c r="AW170" s="153"/>
    </row>
    <row r="171" ht="12.7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  <c r="AB171" s="200"/>
      <c r="AC171" s="200"/>
      <c r="AD171" s="200"/>
      <c r="AE171" s="200"/>
      <c r="AF171" s="200"/>
      <c r="AG171" s="200"/>
      <c r="AV171" s="153"/>
      <c r="AW171" s="153"/>
    </row>
    <row r="172" ht="12.7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  <c r="AB172" s="200"/>
      <c r="AC172" s="200"/>
      <c r="AD172" s="200"/>
      <c r="AE172" s="200"/>
      <c r="AF172" s="200"/>
      <c r="AG172" s="200"/>
      <c r="AV172" s="153"/>
      <c r="AW172" s="153"/>
    </row>
    <row r="173" ht="12.7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  <c r="AB173" s="200"/>
      <c r="AC173" s="200"/>
      <c r="AD173" s="200"/>
      <c r="AE173" s="200"/>
      <c r="AF173" s="200"/>
      <c r="AG173" s="200"/>
      <c r="AV173" s="153"/>
      <c r="AW173" s="153"/>
    </row>
    <row r="174" ht="12.7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  <c r="AB174" s="200"/>
      <c r="AC174" s="200"/>
      <c r="AD174" s="200"/>
      <c r="AE174" s="200"/>
      <c r="AF174" s="200"/>
      <c r="AG174" s="200"/>
      <c r="AV174" s="153"/>
      <c r="AW174" s="153"/>
    </row>
    <row r="175" ht="12.7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  <c r="AB175" s="200"/>
      <c r="AC175" s="200"/>
      <c r="AD175" s="200"/>
      <c r="AE175" s="200"/>
      <c r="AF175" s="200"/>
      <c r="AG175" s="200"/>
      <c r="AV175" s="153"/>
      <c r="AW175" s="153"/>
    </row>
    <row r="176" ht="12.7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  <c r="AB176" s="200"/>
      <c r="AC176" s="200"/>
      <c r="AD176" s="200"/>
      <c r="AE176" s="200"/>
      <c r="AF176" s="200"/>
      <c r="AG176" s="200"/>
      <c r="AV176" s="153"/>
      <c r="AW176" s="153"/>
    </row>
    <row r="177" ht="12.7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  <c r="AV177" s="153"/>
      <c r="AW177" s="153"/>
    </row>
    <row r="178" ht="12.7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  <c r="AV178" s="153"/>
      <c r="AW178" s="153"/>
    </row>
    <row r="179" ht="12.7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  <c r="AB179" s="200"/>
      <c r="AC179" s="200"/>
      <c r="AD179" s="200"/>
      <c r="AE179" s="200"/>
      <c r="AF179" s="200"/>
      <c r="AG179" s="200"/>
      <c r="AV179" s="153"/>
      <c r="AW179" s="153"/>
    </row>
    <row r="180" ht="12.7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  <c r="AB180" s="200"/>
      <c r="AC180" s="200"/>
      <c r="AD180" s="200"/>
      <c r="AE180" s="200"/>
      <c r="AF180" s="200"/>
      <c r="AG180" s="200"/>
      <c r="AV180" s="153"/>
      <c r="AW180" s="153"/>
    </row>
    <row r="181" ht="12.7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  <c r="AB181" s="200"/>
      <c r="AC181" s="200"/>
      <c r="AD181" s="200"/>
      <c r="AE181" s="200"/>
      <c r="AF181" s="200"/>
      <c r="AG181" s="200"/>
      <c r="AV181" s="153"/>
      <c r="AW181" s="153"/>
    </row>
    <row r="182" ht="12.7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  <c r="AV182" s="153"/>
      <c r="AW182" s="153"/>
    </row>
    <row r="183" ht="12.7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V183" s="153"/>
      <c r="AW183" s="153"/>
    </row>
    <row r="184" ht="12.7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  <c r="AB184" s="200"/>
      <c r="AC184" s="200"/>
      <c r="AD184" s="200"/>
      <c r="AE184" s="200"/>
      <c r="AF184" s="200"/>
      <c r="AG184" s="200"/>
      <c r="AV184" s="153"/>
      <c r="AW184" s="153"/>
    </row>
    <row r="185" ht="12.7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  <c r="AB185" s="200"/>
      <c r="AC185" s="200"/>
      <c r="AD185" s="200"/>
      <c r="AE185" s="200"/>
      <c r="AF185" s="200"/>
      <c r="AG185" s="200"/>
      <c r="AV185" s="153"/>
      <c r="AW185" s="153"/>
    </row>
    <row r="186" ht="12.7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  <c r="AB186" s="200"/>
      <c r="AC186" s="200"/>
      <c r="AD186" s="200"/>
      <c r="AE186" s="200"/>
      <c r="AF186" s="200"/>
      <c r="AG186" s="200"/>
      <c r="AV186" s="153"/>
      <c r="AW186" s="153"/>
    </row>
    <row r="187" ht="12.7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  <c r="AB187" s="200"/>
      <c r="AC187" s="200"/>
      <c r="AD187" s="200"/>
      <c r="AE187" s="200"/>
      <c r="AF187" s="200"/>
      <c r="AG187" s="200"/>
      <c r="AV187" s="153"/>
      <c r="AW187" s="153"/>
    </row>
    <row r="188" ht="12.7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  <c r="AB188" s="200"/>
      <c r="AC188" s="200"/>
      <c r="AD188" s="200"/>
      <c r="AE188" s="200"/>
      <c r="AF188" s="200"/>
      <c r="AG188" s="200"/>
      <c r="AV188" s="153"/>
      <c r="AW188" s="153"/>
    </row>
    <row r="189" ht="12.7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  <c r="AB189" s="200"/>
      <c r="AC189" s="200"/>
      <c r="AD189" s="200"/>
      <c r="AE189" s="200"/>
      <c r="AF189" s="200"/>
      <c r="AG189" s="200"/>
      <c r="AV189" s="153"/>
      <c r="AW189" s="153"/>
    </row>
    <row r="190" ht="12.7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  <c r="AB190" s="200"/>
      <c r="AC190" s="200"/>
      <c r="AD190" s="200"/>
      <c r="AE190" s="200"/>
      <c r="AF190" s="200"/>
      <c r="AG190" s="200"/>
      <c r="AV190" s="153"/>
      <c r="AW190" s="153"/>
    </row>
    <row r="191" ht="12.7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  <c r="AB191" s="200"/>
      <c r="AC191" s="200"/>
      <c r="AD191" s="200"/>
      <c r="AE191" s="200"/>
      <c r="AF191" s="200"/>
      <c r="AG191" s="200"/>
      <c r="AV191" s="153"/>
      <c r="AW191" s="153"/>
    </row>
    <row r="192" ht="12.7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  <c r="AB192" s="200"/>
      <c r="AC192" s="200"/>
      <c r="AD192" s="200"/>
      <c r="AE192" s="200"/>
      <c r="AF192" s="200"/>
      <c r="AG192" s="200"/>
      <c r="AV192" s="153"/>
      <c r="AW192" s="153"/>
    </row>
    <row r="193" ht="12.7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  <c r="AB193" s="200"/>
      <c r="AC193" s="200"/>
      <c r="AD193" s="200"/>
      <c r="AE193" s="200"/>
      <c r="AF193" s="200"/>
      <c r="AG193" s="200"/>
      <c r="AV193" s="153"/>
      <c r="AW193" s="153"/>
    </row>
    <row r="194" ht="12.7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  <c r="AV194" s="153"/>
      <c r="AW194" s="153"/>
    </row>
    <row r="195" ht="12.7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  <c r="AB195" s="200"/>
      <c r="AC195" s="200"/>
      <c r="AD195" s="200"/>
      <c r="AE195" s="200"/>
      <c r="AF195" s="200"/>
      <c r="AG195" s="200"/>
      <c r="AV195" s="153"/>
      <c r="AW195" s="153"/>
    </row>
    <row r="196" ht="12.7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  <c r="AB196" s="200"/>
      <c r="AC196" s="200"/>
      <c r="AD196" s="200"/>
      <c r="AE196" s="200"/>
      <c r="AF196" s="200"/>
      <c r="AG196" s="200"/>
      <c r="AV196" s="153"/>
      <c r="AW196" s="153"/>
    </row>
    <row r="197" ht="12.7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  <c r="AV197" s="153"/>
      <c r="AW197" s="153"/>
    </row>
    <row r="198" ht="12.7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  <c r="AV198" s="153"/>
      <c r="AW198" s="153"/>
    </row>
    <row r="199" ht="12.7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  <c r="AV199" s="153"/>
      <c r="AW199" s="153"/>
    </row>
    <row r="200" ht="12.7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V200" s="153"/>
      <c r="AW200" s="153"/>
    </row>
    <row r="201" ht="12.7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V201" s="153"/>
      <c r="AW201" s="153"/>
    </row>
    <row r="202" ht="12.7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  <c r="AB202" s="200"/>
      <c r="AC202" s="200"/>
      <c r="AD202" s="200"/>
      <c r="AE202" s="200"/>
      <c r="AF202" s="200"/>
      <c r="AG202" s="200"/>
      <c r="AV202" s="153"/>
      <c r="AW202" s="153"/>
    </row>
    <row r="203" ht="12.7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  <c r="AV203" s="153"/>
      <c r="AW203" s="153"/>
    </row>
    <row r="204" ht="12.7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  <c r="AV204" s="153"/>
      <c r="AW204" s="153"/>
    </row>
    <row r="205" ht="12.7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  <c r="AB205" s="200"/>
      <c r="AC205" s="200"/>
      <c r="AD205" s="200"/>
      <c r="AE205" s="200"/>
      <c r="AF205" s="200"/>
      <c r="AG205" s="200"/>
      <c r="AV205" s="153"/>
      <c r="AW205" s="153"/>
    </row>
    <row r="206" ht="12.7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  <c r="AV206" s="153"/>
      <c r="AW206" s="153"/>
    </row>
    <row r="207" ht="12.7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  <c r="AB207" s="200"/>
      <c r="AC207" s="200"/>
      <c r="AD207" s="200"/>
      <c r="AE207" s="200"/>
      <c r="AF207" s="200"/>
      <c r="AG207" s="200"/>
      <c r="AV207" s="153"/>
      <c r="AW207" s="153"/>
    </row>
    <row r="208" ht="12.7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  <c r="AB208" s="200"/>
      <c r="AC208" s="200"/>
      <c r="AD208" s="200"/>
      <c r="AE208" s="200"/>
      <c r="AF208" s="200"/>
      <c r="AG208" s="200"/>
      <c r="AV208" s="153"/>
      <c r="AW208" s="153"/>
    </row>
    <row r="209" ht="12.7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V209" s="153"/>
      <c r="AW209" s="153"/>
    </row>
    <row r="210" ht="12.7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  <c r="AB210" s="200"/>
      <c r="AC210" s="200"/>
      <c r="AD210" s="200"/>
      <c r="AE210" s="200"/>
      <c r="AF210" s="200"/>
      <c r="AG210" s="200"/>
      <c r="AV210" s="153"/>
      <c r="AW210" s="153"/>
    </row>
    <row r="211" ht="12.7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V211" s="153"/>
      <c r="AW211" s="153"/>
    </row>
    <row r="212" ht="12.7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200"/>
      <c r="AG212" s="200"/>
      <c r="AV212" s="153"/>
      <c r="AW212" s="153"/>
    </row>
    <row r="213" ht="12.7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200"/>
      <c r="AG213" s="200"/>
      <c r="AV213" s="153"/>
      <c r="AW213" s="153"/>
    </row>
    <row r="214" ht="12.7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  <c r="AB214" s="200"/>
      <c r="AC214" s="200"/>
      <c r="AD214" s="200"/>
      <c r="AE214" s="200"/>
      <c r="AF214" s="200"/>
      <c r="AG214" s="200"/>
      <c r="AV214" s="153"/>
      <c r="AW214" s="153"/>
    </row>
    <row r="215" ht="12.7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200"/>
      <c r="AG215" s="200"/>
      <c r="AV215" s="153"/>
      <c r="AW215" s="153"/>
    </row>
    <row r="216" ht="12.7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  <c r="AV216" s="153"/>
      <c r="AW216" s="153"/>
    </row>
    <row r="217" ht="12.7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  <c r="AV217" s="153"/>
      <c r="AW217" s="153"/>
    </row>
    <row r="218" ht="12.7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  <c r="AB218" s="200"/>
      <c r="AC218" s="200"/>
      <c r="AD218" s="200"/>
      <c r="AE218" s="200"/>
      <c r="AF218" s="200"/>
      <c r="AG218" s="200"/>
      <c r="AV218" s="153"/>
      <c r="AW218" s="153"/>
    </row>
    <row r="219" ht="12.7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  <c r="AV219" s="153"/>
      <c r="AW219" s="153"/>
    </row>
    <row r="220" ht="12.7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  <c r="AV220" s="153"/>
      <c r="AW220" s="153"/>
    </row>
    <row r="221" ht="12.7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  <c r="AV221" s="153"/>
      <c r="AW221" s="153"/>
    </row>
    <row r="222" ht="12.7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V222" s="153"/>
      <c r="AW222" s="153"/>
    </row>
    <row r="223" ht="12.7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  <c r="AV223" s="153"/>
      <c r="AW223" s="153"/>
    </row>
    <row r="224" ht="12.7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200"/>
      <c r="AG224" s="200"/>
      <c r="AV224" s="153"/>
      <c r="AW224" s="153"/>
    </row>
    <row r="225" ht="12.7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  <c r="AV225" s="153"/>
      <c r="AW225" s="153"/>
    </row>
    <row r="226" ht="12.7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  <c r="AV226" s="153"/>
      <c r="AW226" s="153"/>
    </row>
    <row r="227" ht="12.7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  <c r="AV227" s="153"/>
      <c r="AW227" s="153"/>
    </row>
    <row r="228" ht="12.7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  <c r="AB228" s="200"/>
      <c r="AC228" s="200"/>
      <c r="AD228" s="200"/>
      <c r="AE228" s="200"/>
      <c r="AF228" s="200"/>
      <c r="AG228" s="200"/>
      <c r="AV228" s="153"/>
      <c r="AW228" s="153"/>
    </row>
    <row r="229" ht="12.7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  <c r="AB229" s="200"/>
      <c r="AC229" s="200"/>
      <c r="AD229" s="200"/>
      <c r="AE229" s="200"/>
      <c r="AF229" s="200"/>
      <c r="AG229" s="200"/>
      <c r="AV229" s="153"/>
      <c r="AW229" s="153"/>
    </row>
    <row r="230" ht="12.7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  <c r="AV230" s="153"/>
      <c r="AW230" s="153"/>
    </row>
    <row r="231" ht="12.7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  <c r="AV231" s="153"/>
      <c r="AW231" s="153"/>
    </row>
    <row r="232" ht="12.7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  <c r="AB232" s="200"/>
      <c r="AC232" s="200"/>
      <c r="AD232" s="200"/>
      <c r="AE232" s="200"/>
      <c r="AF232" s="200"/>
      <c r="AG232" s="200"/>
      <c r="AV232" s="153"/>
      <c r="AW232" s="153"/>
    </row>
    <row r="233" ht="12.7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  <c r="AB233" s="200"/>
      <c r="AC233" s="200"/>
      <c r="AD233" s="200"/>
      <c r="AE233" s="200"/>
      <c r="AF233" s="200"/>
      <c r="AG233" s="200"/>
      <c r="AV233" s="153"/>
      <c r="AW233" s="153"/>
    </row>
    <row r="234" ht="12.7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  <c r="AB234" s="200"/>
      <c r="AC234" s="200"/>
      <c r="AD234" s="200"/>
      <c r="AE234" s="200"/>
      <c r="AF234" s="200"/>
      <c r="AG234" s="200"/>
      <c r="AV234" s="153"/>
      <c r="AW234" s="153"/>
    </row>
    <row r="235" ht="12.7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V235" s="153"/>
      <c r="AW235" s="153"/>
    </row>
    <row r="236" ht="12.7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  <c r="AB236" s="200"/>
      <c r="AC236" s="200"/>
      <c r="AD236" s="200"/>
      <c r="AE236" s="200"/>
      <c r="AF236" s="200"/>
      <c r="AG236" s="200"/>
      <c r="AV236" s="153"/>
      <c r="AW236" s="153"/>
    </row>
    <row r="237" ht="12.7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  <c r="AV237" s="153"/>
      <c r="AW237" s="153"/>
    </row>
    <row r="238" ht="12.7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  <c r="AV238" s="153"/>
      <c r="AW238" s="153"/>
    </row>
    <row r="239" ht="12.7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200"/>
      <c r="AG239" s="200"/>
      <c r="AV239" s="153"/>
      <c r="AW239" s="153"/>
    </row>
    <row r="240" ht="12.7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0"/>
      <c r="AV240" s="153"/>
      <c r="AW240" s="153"/>
    </row>
    <row r="241" ht="12.7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V241" s="153"/>
      <c r="AW241" s="153"/>
    </row>
    <row r="242" ht="12.7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0"/>
      <c r="AV242" s="153"/>
      <c r="AW242" s="153"/>
    </row>
    <row r="243" ht="12.7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  <c r="AB243" s="200"/>
      <c r="AC243" s="200"/>
      <c r="AD243" s="200"/>
      <c r="AE243" s="200"/>
      <c r="AF243" s="200"/>
      <c r="AG243" s="200"/>
      <c r="AV243" s="153"/>
      <c r="AW243" s="153"/>
    </row>
    <row r="244" ht="12.7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  <c r="AB244" s="200"/>
      <c r="AC244" s="200"/>
      <c r="AD244" s="200"/>
      <c r="AE244" s="200"/>
      <c r="AF244" s="200"/>
      <c r="AG244" s="200"/>
      <c r="AV244" s="153"/>
      <c r="AW244" s="153"/>
    </row>
    <row r="245" ht="12.7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  <c r="AB245" s="200"/>
      <c r="AC245" s="200"/>
      <c r="AD245" s="200"/>
      <c r="AE245" s="200"/>
      <c r="AF245" s="200"/>
      <c r="AG245" s="200"/>
      <c r="AV245" s="153"/>
      <c r="AW245" s="153"/>
    </row>
    <row r="246" ht="12.7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  <c r="AB246" s="200"/>
      <c r="AC246" s="200"/>
      <c r="AD246" s="200"/>
      <c r="AE246" s="200"/>
      <c r="AF246" s="200"/>
      <c r="AG246" s="200"/>
      <c r="AV246" s="153"/>
      <c r="AW246" s="153"/>
    </row>
    <row r="247" ht="12.7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  <c r="AB247" s="200"/>
      <c r="AC247" s="200"/>
      <c r="AD247" s="200"/>
      <c r="AE247" s="200"/>
      <c r="AF247" s="200"/>
      <c r="AG247" s="200"/>
      <c r="AV247" s="153"/>
      <c r="AW247" s="153"/>
    </row>
    <row r="248" ht="12.7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200"/>
      <c r="AG248" s="200"/>
      <c r="AV248" s="153"/>
      <c r="AW248" s="153"/>
    </row>
    <row r="249" ht="12.7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200"/>
      <c r="AG249" s="200"/>
      <c r="AV249" s="153"/>
      <c r="AW249" s="153"/>
    </row>
    <row r="250" ht="12.7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200"/>
      <c r="AG250" s="200"/>
      <c r="AV250" s="153"/>
      <c r="AW250" s="153"/>
    </row>
    <row r="251" ht="12.7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  <c r="AV251" s="153"/>
      <c r="AW251" s="153"/>
    </row>
    <row r="252" ht="12.7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200"/>
      <c r="AG252" s="200"/>
      <c r="AV252" s="153"/>
      <c r="AW252" s="153"/>
    </row>
    <row r="253" ht="12.7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200"/>
      <c r="AG253" s="200"/>
      <c r="AV253" s="153"/>
      <c r="AW253" s="153"/>
    </row>
    <row r="254" ht="12.7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  <c r="AB254" s="200"/>
      <c r="AC254" s="200"/>
      <c r="AD254" s="200"/>
      <c r="AE254" s="200"/>
      <c r="AF254" s="200"/>
      <c r="AG254" s="200"/>
      <c r="AV254" s="153"/>
      <c r="AW254" s="153"/>
    </row>
    <row r="255" ht="12.7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  <c r="AB255" s="200"/>
      <c r="AC255" s="200"/>
      <c r="AD255" s="200"/>
      <c r="AE255" s="200"/>
      <c r="AF255" s="200"/>
      <c r="AG255" s="200"/>
      <c r="AV255" s="153"/>
      <c r="AW255" s="153"/>
    </row>
    <row r="256" ht="12.7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  <c r="AB256" s="200"/>
      <c r="AC256" s="200"/>
      <c r="AD256" s="200"/>
      <c r="AE256" s="200"/>
      <c r="AF256" s="200"/>
      <c r="AG256" s="200"/>
      <c r="AV256" s="153"/>
      <c r="AW256" s="153"/>
    </row>
    <row r="257" ht="12.7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  <c r="AB257" s="200"/>
      <c r="AC257" s="200"/>
      <c r="AD257" s="200"/>
      <c r="AE257" s="200"/>
      <c r="AF257" s="200"/>
      <c r="AG257" s="200"/>
      <c r="AV257" s="153"/>
      <c r="AW257" s="153"/>
    </row>
    <row r="258" ht="12.7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  <c r="AB258" s="200"/>
      <c r="AC258" s="200"/>
      <c r="AD258" s="200"/>
      <c r="AE258" s="200"/>
      <c r="AF258" s="200"/>
      <c r="AG258" s="200"/>
      <c r="AV258" s="153"/>
      <c r="AW258" s="153"/>
    </row>
    <row r="259" ht="12.7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  <c r="AB259" s="200"/>
      <c r="AC259" s="200"/>
      <c r="AD259" s="200"/>
      <c r="AE259" s="200"/>
      <c r="AF259" s="200"/>
      <c r="AG259" s="200"/>
      <c r="AV259" s="153"/>
      <c r="AW259" s="153"/>
    </row>
    <row r="260" ht="12.7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200"/>
      <c r="AG260" s="200"/>
      <c r="AV260" s="153"/>
      <c r="AW260" s="153"/>
    </row>
    <row r="261" ht="12.7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200"/>
      <c r="AG261" s="200"/>
      <c r="AV261" s="153"/>
      <c r="AW261" s="153"/>
    </row>
    <row r="262" ht="12.7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200"/>
      <c r="AG262" s="200"/>
      <c r="AV262" s="153"/>
      <c r="AW262" s="153"/>
    </row>
    <row r="263" ht="12.7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200"/>
      <c r="AG263" s="200"/>
      <c r="AV263" s="153"/>
      <c r="AW263" s="153"/>
    </row>
    <row r="264" ht="12.7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  <c r="AB264" s="200"/>
      <c r="AC264" s="200"/>
      <c r="AD264" s="200"/>
      <c r="AE264" s="200"/>
      <c r="AF264" s="200"/>
      <c r="AG264" s="200"/>
      <c r="AV264" s="153"/>
      <c r="AW264" s="153"/>
    </row>
    <row r="265" ht="12.7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  <c r="AB265" s="200"/>
      <c r="AC265" s="200"/>
      <c r="AD265" s="200"/>
      <c r="AE265" s="200"/>
      <c r="AF265" s="200"/>
      <c r="AG265" s="200"/>
      <c r="AV265" s="153"/>
      <c r="AW265" s="153"/>
    </row>
    <row r="266" ht="12.7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  <c r="AB266" s="200"/>
      <c r="AC266" s="200"/>
      <c r="AD266" s="200"/>
      <c r="AE266" s="200"/>
      <c r="AF266" s="200"/>
      <c r="AG266" s="200"/>
      <c r="AV266" s="153"/>
      <c r="AW266" s="153"/>
    </row>
    <row r="267" ht="12.7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  <c r="AB267" s="200"/>
      <c r="AC267" s="200"/>
      <c r="AD267" s="200"/>
      <c r="AE267" s="200"/>
      <c r="AF267" s="200"/>
      <c r="AG267" s="200"/>
      <c r="AV267" s="153"/>
      <c r="AW267" s="153"/>
    </row>
    <row r="268" ht="12.7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  <c r="AB268" s="200"/>
      <c r="AC268" s="200"/>
      <c r="AD268" s="200"/>
      <c r="AE268" s="200"/>
      <c r="AF268" s="200"/>
      <c r="AG268" s="200"/>
      <c r="AV268" s="153"/>
      <c r="AW268" s="153"/>
    </row>
    <row r="269" ht="12.7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  <c r="AB269" s="200"/>
      <c r="AC269" s="200"/>
      <c r="AD269" s="200"/>
      <c r="AE269" s="200"/>
      <c r="AF269" s="200"/>
      <c r="AG269" s="200"/>
      <c r="AV269" s="153"/>
      <c r="AW269" s="153"/>
    </row>
    <row r="270" ht="12.7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  <c r="AB270" s="200"/>
      <c r="AC270" s="200"/>
      <c r="AD270" s="200"/>
      <c r="AE270" s="200"/>
      <c r="AF270" s="200"/>
      <c r="AG270" s="200"/>
      <c r="AV270" s="153"/>
      <c r="AW270" s="153"/>
    </row>
    <row r="271" ht="12.7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  <c r="AB271" s="200"/>
      <c r="AC271" s="200"/>
      <c r="AD271" s="200"/>
      <c r="AE271" s="200"/>
      <c r="AF271" s="200"/>
      <c r="AG271" s="200"/>
      <c r="AV271" s="153"/>
      <c r="AW271" s="153"/>
    </row>
    <row r="272" ht="12.7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  <c r="AB272" s="200"/>
      <c r="AC272" s="200"/>
      <c r="AD272" s="200"/>
      <c r="AE272" s="200"/>
      <c r="AF272" s="200"/>
      <c r="AG272" s="200"/>
      <c r="AV272" s="153"/>
      <c r="AW272" s="153"/>
    </row>
    <row r="273" ht="12.7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  <c r="AB273" s="200"/>
      <c r="AC273" s="200"/>
      <c r="AD273" s="200"/>
      <c r="AE273" s="200"/>
      <c r="AF273" s="200"/>
      <c r="AG273" s="200"/>
      <c r="AV273" s="153"/>
      <c r="AW273" s="153"/>
    </row>
    <row r="274" ht="12.7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  <c r="AB274" s="200"/>
      <c r="AC274" s="200"/>
      <c r="AD274" s="200"/>
      <c r="AE274" s="200"/>
      <c r="AF274" s="200"/>
      <c r="AG274" s="200"/>
      <c r="AV274" s="153"/>
      <c r="AW274" s="153"/>
    </row>
    <row r="275" ht="12.7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  <c r="AB275" s="200"/>
      <c r="AC275" s="200"/>
      <c r="AD275" s="200"/>
      <c r="AE275" s="200"/>
      <c r="AF275" s="200"/>
      <c r="AG275" s="200"/>
      <c r="AV275" s="153"/>
      <c r="AW275" s="153"/>
    </row>
    <row r="276" ht="12.7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  <c r="AB276" s="200"/>
      <c r="AC276" s="200"/>
      <c r="AD276" s="200"/>
      <c r="AE276" s="200"/>
      <c r="AF276" s="200"/>
      <c r="AG276" s="200"/>
      <c r="AV276" s="153"/>
      <c r="AW276" s="153"/>
    </row>
    <row r="277" ht="12.7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  <c r="AB277" s="200"/>
      <c r="AC277" s="200"/>
      <c r="AD277" s="200"/>
      <c r="AE277" s="200"/>
      <c r="AF277" s="200"/>
      <c r="AG277" s="200"/>
      <c r="AV277" s="153"/>
      <c r="AW277" s="153"/>
    </row>
    <row r="278" ht="12.7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  <c r="AB278" s="200"/>
      <c r="AC278" s="200"/>
      <c r="AD278" s="200"/>
      <c r="AE278" s="200"/>
      <c r="AF278" s="200"/>
      <c r="AG278" s="200"/>
      <c r="AV278" s="153"/>
      <c r="AW278" s="153"/>
    </row>
    <row r="279" ht="12.7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V279" s="153"/>
      <c r="AW279" s="153"/>
    </row>
    <row r="280" ht="12.7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  <c r="AB280" s="200"/>
      <c r="AC280" s="200"/>
      <c r="AD280" s="200"/>
      <c r="AE280" s="200"/>
      <c r="AF280" s="200"/>
      <c r="AG280" s="200"/>
      <c r="AV280" s="153"/>
      <c r="AW280" s="153"/>
    </row>
    <row r="281" ht="12.7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  <c r="AV281" s="153"/>
      <c r="AW281" s="153"/>
    </row>
    <row r="282" ht="12.7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  <c r="AB282" s="200"/>
      <c r="AC282" s="200"/>
      <c r="AD282" s="200"/>
      <c r="AE282" s="200"/>
      <c r="AF282" s="200"/>
      <c r="AG282" s="200"/>
      <c r="AV282" s="153"/>
      <c r="AW282" s="153"/>
    </row>
    <row r="283" ht="12.7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  <c r="AB283" s="200"/>
      <c r="AC283" s="200"/>
      <c r="AD283" s="200"/>
      <c r="AE283" s="200"/>
      <c r="AF283" s="200"/>
      <c r="AG283" s="200"/>
      <c r="AV283" s="153"/>
      <c r="AW283" s="153"/>
    </row>
    <row r="284" ht="12.7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  <c r="AB284" s="200"/>
      <c r="AC284" s="200"/>
      <c r="AD284" s="200"/>
      <c r="AE284" s="200"/>
      <c r="AF284" s="200"/>
      <c r="AG284" s="200"/>
      <c r="AV284" s="153"/>
      <c r="AW284" s="153"/>
    </row>
    <row r="285" ht="12.7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  <c r="AB285" s="200"/>
      <c r="AC285" s="200"/>
      <c r="AD285" s="200"/>
      <c r="AE285" s="200"/>
      <c r="AF285" s="200"/>
      <c r="AG285" s="200"/>
      <c r="AV285" s="153"/>
      <c r="AW285" s="153"/>
    </row>
    <row r="286" ht="12.7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  <c r="AB286" s="200"/>
      <c r="AC286" s="200"/>
      <c r="AD286" s="200"/>
      <c r="AE286" s="200"/>
      <c r="AF286" s="200"/>
      <c r="AG286" s="200"/>
      <c r="AV286" s="153"/>
      <c r="AW286" s="153"/>
    </row>
    <row r="287" ht="12.7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  <c r="AV287" s="153"/>
      <c r="AW287" s="153"/>
    </row>
    <row r="288" ht="12.7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  <c r="AB288" s="200"/>
      <c r="AC288" s="200"/>
      <c r="AD288" s="200"/>
      <c r="AE288" s="200"/>
      <c r="AF288" s="200"/>
      <c r="AG288" s="200"/>
      <c r="AV288" s="153"/>
      <c r="AW288" s="153"/>
    </row>
    <row r="289" ht="12.7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  <c r="AB289" s="200"/>
      <c r="AC289" s="200"/>
      <c r="AD289" s="200"/>
      <c r="AE289" s="200"/>
      <c r="AF289" s="200"/>
      <c r="AG289" s="200"/>
      <c r="AV289" s="153"/>
      <c r="AW289" s="153"/>
    </row>
    <row r="290" ht="12.7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  <c r="AB290" s="200"/>
      <c r="AC290" s="200"/>
      <c r="AD290" s="200"/>
      <c r="AE290" s="200"/>
      <c r="AF290" s="200"/>
      <c r="AG290" s="200"/>
      <c r="AV290" s="153"/>
      <c r="AW290" s="153"/>
    </row>
    <row r="291" ht="12.7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  <c r="AB291" s="200"/>
      <c r="AC291" s="200"/>
      <c r="AD291" s="200"/>
      <c r="AE291" s="200"/>
      <c r="AF291" s="200"/>
      <c r="AG291" s="200"/>
      <c r="AV291" s="153"/>
      <c r="AW291" s="153"/>
    </row>
    <row r="292" ht="12.7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  <c r="AB292" s="200"/>
      <c r="AC292" s="200"/>
      <c r="AD292" s="200"/>
      <c r="AE292" s="200"/>
      <c r="AF292" s="200"/>
      <c r="AG292" s="200"/>
      <c r="AV292" s="153"/>
      <c r="AW292" s="153"/>
    </row>
    <row r="293" ht="12.7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  <c r="AB293" s="200"/>
      <c r="AC293" s="200"/>
      <c r="AD293" s="200"/>
      <c r="AE293" s="200"/>
      <c r="AF293" s="200"/>
      <c r="AG293" s="200"/>
      <c r="AV293" s="153"/>
      <c r="AW293" s="153"/>
    </row>
    <row r="294" ht="12.7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  <c r="AB294" s="200"/>
      <c r="AC294" s="200"/>
      <c r="AD294" s="200"/>
      <c r="AE294" s="200"/>
      <c r="AF294" s="200"/>
      <c r="AG294" s="200"/>
      <c r="AV294" s="153"/>
      <c r="AW294" s="153"/>
    </row>
    <row r="295" ht="12.7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  <c r="AB295" s="200"/>
      <c r="AC295" s="200"/>
      <c r="AD295" s="200"/>
      <c r="AE295" s="200"/>
      <c r="AF295" s="200"/>
      <c r="AG295" s="200"/>
      <c r="AV295" s="153"/>
      <c r="AW295" s="153"/>
    </row>
    <row r="296" ht="12.7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  <c r="AB296" s="200"/>
      <c r="AC296" s="200"/>
      <c r="AD296" s="200"/>
      <c r="AE296" s="200"/>
      <c r="AF296" s="200"/>
      <c r="AG296" s="200"/>
      <c r="AV296" s="153"/>
      <c r="AW296" s="153"/>
    </row>
    <row r="297" ht="12.7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  <c r="AB297" s="200"/>
      <c r="AC297" s="200"/>
      <c r="AD297" s="200"/>
      <c r="AE297" s="200"/>
      <c r="AF297" s="200"/>
      <c r="AG297" s="200"/>
      <c r="AV297" s="153"/>
      <c r="AW297" s="153"/>
    </row>
    <row r="298" ht="12.7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  <c r="AB298" s="200"/>
      <c r="AC298" s="200"/>
      <c r="AD298" s="200"/>
      <c r="AE298" s="200"/>
      <c r="AF298" s="200"/>
      <c r="AG298" s="200"/>
      <c r="AV298" s="153"/>
      <c r="AW298" s="153"/>
    </row>
    <row r="299" ht="12.7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  <c r="AB299" s="200"/>
      <c r="AC299" s="200"/>
      <c r="AD299" s="200"/>
      <c r="AE299" s="200"/>
      <c r="AF299" s="200"/>
      <c r="AG299" s="200"/>
      <c r="AV299" s="153"/>
      <c r="AW299" s="153"/>
    </row>
    <row r="300" ht="12.7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  <c r="AB300" s="200"/>
      <c r="AC300" s="200"/>
      <c r="AD300" s="200"/>
      <c r="AE300" s="200"/>
      <c r="AF300" s="200"/>
      <c r="AG300" s="200"/>
      <c r="AV300" s="153"/>
      <c r="AW300" s="153"/>
    </row>
    <row r="301" ht="12.7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  <c r="AB301" s="200"/>
      <c r="AC301" s="200"/>
      <c r="AD301" s="200"/>
      <c r="AE301" s="200"/>
      <c r="AF301" s="200"/>
      <c r="AG301" s="200"/>
      <c r="AV301" s="153"/>
      <c r="AW301" s="153"/>
    </row>
    <row r="302" ht="12.7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  <c r="AB302" s="200"/>
      <c r="AC302" s="200"/>
      <c r="AD302" s="200"/>
      <c r="AE302" s="200"/>
      <c r="AF302" s="200"/>
      <c r="AG302" s="200"/>
      <c r="AV302" s="153"/>
      <c r="AW302" s="153"/>
    </row>
    <row r="303" ht="12.7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  <c r="AB303" s="200"/>
      <c r="AC303" s="200"/>
      <c r="AD303" s="200"/>
      <c r="AE303" s="200"/>
      <c r="AF303" s="200"/>
      <c r="AG303" s="200"/>
      <c r="AV303" s="153"/>
      <c r="AW303" s="153"/>
    </row>
    <row r="304" ht="12.7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  <c r="AB304" s="200"/>
      <c r="AC304" s="200"/>
      <c r="AD304" s="200"/>
      <c r="AE304" s="200"/>
      <c r="AF304" s="200"/>
      <c r="AG304" s="200"/>
      <c r="AV304" s="153"/>
      <c r="AW304" s="153"/>
    </row>
    <row r="305" ht="12.7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  <c r="AB305" s="200"/>
      <c r="AC305" s="200"/>
      <c r="AD305" s="200"/>
      <c r="AE305" s="200"/>
      <c r="AF305" s="200"/>
      <c r="AG305" s="200"/>
      <c r="AV305" s="153"/>
      <c r="AW305" s="153"/>
    </row>
    <row r="306" ht="12.7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  <c r="AB306" s="200"/>
      <c r="AC306" s="200"/>
      <c r="AD306" s="200"/>
      <c r="AE306" s="200"/>
      <c r="AF306" s="200"/>
      <c r="AG306" s="200"/>
      <c r="AV306" s="153"/>
      <c r="AW306" s="153"/>
    </row>
    <row r="307" ht="12.7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  <c r="AB307" s="200"/>
      <c r="AC307" s="200"/>
      <c r="AD307" s="200"/>
      <c r="AE307" s="200"/>
      <c r="AF307" s="200"/>
      <c r="AG307" s="200"/>
      <c r="AV307" s="153"/>
      <c r="AW307" s="153"/>
    </row>
    <row r="308" ht="12.7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  <c r="AB308" s="200"/>
      <c r="AC308" s="200"/>
      <c r="AD308" s="200"/>
      <c r="AE308" s="200"/>
      <c r="AF308" s="200"/>
      <c r="AG308" s="200"/>
      <c r="AV308" s="153"/>
      <c r="AW308" s="153"/>
    </row>
    <row r="309" ht="12.7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  <c r="AB309" s="200"/>
      <c r="AC309" s="200"/>
      <c r="AD309" s="200"/>
      <c r="AE309" s="200"/>
      <c r="AF309" s="200"/>
      <c r="AG309" s="200"/>
      <c r="AV309" s="153"/>
      <c r="AW309" s="153"/>
    </row>
    <row r="310" ht="12.7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  <c r="AB310" s="200"/>
      <c r="AC310" s="200"/>
      <c r="AD310" s="200"/>
      <c r="AE310" s="200"/>
      <c r="AF310" s="200"/>
      <c r="AG310" s="200"/>
      <c r="AV310" s="153"/>
      <c r="AW310" s="153"/>
    </row>
    <row r="311" ht="12.7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  <c r="AB311" s="200"/>
      <c r="AC311" s="200"/>
      <c r="AD311" s="200"/>
      <c r="AE311" s="200"/>
      <c r="AF311" s="200"/>
      <c r="AG311" s="200"/>
      <c r="AV311" s="153"/>
      <c r="AW311" s="153"/>
    </row>
    <row r="312" ht="12.7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  <c r="AB312" s="200"/>
      <c r="AC312" s="200"/>
      <c r="AD312" s="200"/>
      <c r="AE312" s="200"/>
      <c r="AF312" s="200"/>
      <c r="AG312" s="200"/>
      <c r="AV312" s="153"/>
      <c r="AW312" s="153"/>
    </row>
    <row r="313" ht="12.7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  <c r="AB313" s="200"/>
      <c r="AC313" s="200"/>
      <c r="AD313" s="200"/>
      <c r="AE313" s="200"/>
      <c r="AF313" s="200"/>
      <c r="AG313" s="200"/>
      <c r="AV313" s="153"/>
      <c r="AW313" s="153"/>
    </row>
    <row r="314" ht="12.7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  <c r="AB314" s="200"/>
      <c r="AC314" s="200"/>
      <c r="AD314" s="200"/>
      <c r="AE314" s="200"/>
      <c r="AF314" s="200"/>
      <c r="AG314" s="200"/>
      <c r="AV314" s="153"/>
      <c r="AW314" s="153"/>
    </row>
    <row r="315" ht="12.7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  <c r="AB315" s="200"/>
      <c r="AC315" s="200"/>
      <c r="AD315" s="200"/>
      <c r="AE315" s="200"/>
      <c r="AF315" s="200"/>
      <c r="AG315" s="200"/>
      <c r="AV315" s="153"/>
      <c r="AW315" s="153"/>
    </row>
    <row r="316" ht="12.7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  <c r="AB316" s="200"/>
      <c r="AC316" s="200"/>
      <c r="AD316" s="200"/>
      <c r="AE316" s="200"/>
      <c r="AF316" s="200"/>
      <c r="AG316" s="200"/>
      <c r="AV316" s="153"/>
      <c r="AW316" s="153"/>
    </row>
    <row r="317" ht="12.7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  <c r="AB317" s="200"/>
      <c r="AC317" s="200"/>
      <c r="AD317" s="200"/>
      <c r="AE317" s="200"/>
      <c r="AF317" s="200"/>
      <c r="AG317" s="200"/>
      <c r="AV317" s="153"/>
      <c r="AW317" s="153"/>
    </row>
    <row r="318" ht="12.7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  <c r="AB318" s="200"/>
      <c r="AC318" s="200"/>
      <c r="AD318" s="200"/>
      <c r="AE318" s="200"/>
      <c r="AF318" s="200"/>
      <c r="AG318" s="200"/>
      <c r="AV318" s="153"/>
      <c r="AW318" s="153"/>
    </row>
    <row r="319" ht="12.7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  <c r="AB319" s="200"/>
      <c r="AC319" s="200"/>
      <c r="AD319" s="200"/>
      <c r="AE319" s="200"/>
      <c r="AF319" s="200"/>
      <c r="AG319" s="200"/>
      <c r="AV319" s="153"/>
      <c r="AW319" s="153"/>
    </row>
    <row r="320" ht="12.7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  <c r="AB320" s="200"/>
      <c r="AC320" s="200"/>
      <c r="AD320" s="200"/>
      <c r="AE320" s="200"/>
      <c r="AF320" s="200"/>
      <c r="AG320" s="200"/>
      <c r="AV320" s="153"/>
      <c r="AW320" s="153"/>
    </row>
    <row r="321" ht="12.7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  <c r="AB321" s="200"/>
      <c r="AC321" s="200"/>
      <c r="AD321" s="200"/>
      <c r="AE321" s="200"/>
      <c r="AF321" s="200"/>
      <c r="AG321" s="200"/>
      <c r="AV321" s="153"/>
      <c r="AW321" s="153"/>
    </row>
    <row r="322" ht="12.7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  <c r="AB322" s="200"/>
      <c r="AC322" s="200"/>
      <c r="AD322" s="200"/>
      <c r="AE322" s="200"/>
      <c r="AF322" s="200"/>
      <c r="AG322" s="200"/>
      <c r="AV322" s="153"/>
      <c r="AW322" s="153"/>
    </row>
    <row r="323" ht="12.7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  <c r="AB323" s="200"/>
      <c r="AC323" s="200"/>
      <c r="AD323" s="200"/>
      <c r="AE323" s="200"/>
      <c r="AF323" s="200"/>
      <c r="AG323" s="200"/>
      <c r="AV323" s="153"/>
      <c r="AW323" s="153"/>
    </row>
    <row r="324" ht="12.7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  <c r="AB324" s="200"/>
      <c r="AC324" s="200"/>
      <c r="AD324" s="200"/>
      <c r="AE324" s="200"/>
      <c r="AF324" s="200"/>
      <c r="AG324" s="200"/>
      <c r="AV324" s="153"/>
      <c r="AW324" s="153"/>
    </row>
    <row r="325" ht="12.7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  <c r="AB325" s="200"/>
      <c r="AC325" s="200"/>
      <c r="AD325" s="200"/>
      <c r="AE325" s="200"/>
      <c r="AF325" s="200"/>
      <c r="AG325" s="200"/>
      <c r="AV325" s="153"/>
      <c r="AW325" s="153"/>
    </row>
    <row r="326" ht="12.7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  <c r="AB326" s="200"/>
      <c r="AC326" s="200"/>
      <c r="AD326" s="200"/>
      <c r="AE326" s="200"/>
      <c r="AF326" s="200"/>
      <c r="AG326" s="200"/>
      <c r="AV326" s="153"/>
      <c r="AW326" s="153"/>
    </row>
    <row r="327" ht="12.7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  <c r="AB327" s="200"/>
      <c r="AC327" s="200"/>
      <c r="AD327" s="200"/>
      <c r="AE327" s="200"/>
      <c r="AF327" s="200"/>
      <c r="AG327" s="200"/>
      <c r="AV327" s="153"/>
      <c r="AW327" s="153"/>
    </row>
    <row r="328" ht="12.7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  <c r="AB328" s="200"/>
      <c r="AC328" s="200"/>
      <c r="AD328" s="200"/>
      <c r="AE328" s="200"/>
      <c r="AF328" s="200"/>
      <c r="AG328" s="200"/>
      <c r="AV328" s="153"/>
      <c r="AW328" s="153"/>
    </row>
    <row r="329" ht="12.7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  <c r="AB329" s="200"/>
      <c r="AC329" s="200"/>
      <c r="AD329" s="200"/>
      <c r="AE329" s="200"/>
      <c r="AF329" s="200"/>
      <c r="AG329" s="200"/>
      <c r="AV329" s="153"/>
      <c r="AW329" s="153"/>
    </row>
    <row r="330" ht="12.7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  <c r="AB330" s="200"/>
      <c r="AC330" s="200"/>
      <c r="AD330" s="200"/>
      <c r="AE330" s="200"/>
      <c r="AF330" s="200"/>
      <c r="AG330" s="200"/>
      <c r="AV330" s="153"/>
      <c r="AW330" s="153"/>
    </row>
    <row r="331" ht="12.7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  <c r="AB331" s="200"/>
      <c r="AC331" s="200"/>
      <c r="AD331" s="200"/>
      <c r="AE331" s="200"/>
      <c r="AF331" s="200"/>
      <c r="AG331" s="200"/>
      <c r="AV331" s="153"/>
      <c r="AW331" s="153"/>
    </row>
    <row r="332" ht="12.7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  <c r="AB332" s="200"/>
      <c r="AC332" s="200"/>
      <c r="AD332" s="200"/>
      <c r="AE332" s="200"/>
      <c r="AF332" s="200"/>
      <c r="AG332" s="200"/>
      <c r="AV332" s="153"/>
      <c r="AW332" s="153"/>
    </row>
    <row r="333" ht="12.7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  <c r="AB333" s="200"/>
      <c r="AC333" s="200"/>
      <c r="AD333" s="200"/>
      <c r="AE333" s="200"/>
      <c r="AF333" s="200"/>
      <c r="AG333" s="200"/>
      <c r="AV333" s="153"/>
      <c r="AW333" s="153"/>
    </row>
    <row r="334" ht="12.7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  <c r="AB334" s="200"/>
      <c r="AC334" s="200"/>
      <c r="AD334" s="200"/>
      <c r="AE334" s="200"/>
      <c r="AF334" s="200"/>
      <c r="AG334" s="200"/>
      <c r="AV334" s="153"/>
      <c r="AW334" s="153"/>
    </row>
    <row r="335" ht="12.7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  <c r="AB335" s="200"/>
      <c r="AC335" s="200"/>
      <c r="AD335" s="200"/>
      <c r="AE335" s="200"/>
      <c r="AF335" s="200"/>
      <c r="AG335" s="200"/>
      <c r="AV335" s="153"/>
      <c r="AW335" s="153"/>
    </row>
    <row r="336" ht="12.7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  <c r="AB336" s="200"/>
      <c r="AC336" s="200"/>
      <c r="AD336" s="200"/>
      <c r="AE336" s="200"/>
      <c r="AF336" s="200"/>
      <c r="AG336" s="200"/>
      <c r="AV336" s="153"/>
      <c r="AW336" s="153"/>
    </row>
    <row r="337" ht="12.7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  <c r="AB337" s="200"/>
      <c r="AC337" s="200"/>
      <c r="AD337" s="200"/>
      <c r="AE337" s="200"/>
      <c r="AF337" s="200"/>
      <c r="AG337" s="200"/>
      <c r="AV337" s="153"/>
      <c r="AW337" s="153"/>
    </row>
    <row r="338" ht="12.7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  <c r="AB338" s="200"/>
      <c r="AC338" s="200"/>
      <c r="AD338" s="200"/>
      <c r="AE338" s="200"/>
      <c r="AF338" s="200"/>
      <c r="AG338" s="200"/>
      <c r="AV338" s="153"/>
      <c r="AW338" s="153"/>
    </row>
    <row r="339" ht="12.7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  <c r="AB339" s="200"/>
      <c r="AC339" s="200"/>
      <c r="AD339" s="200"/>
      <c r="AE339" s="200"/>
      <c r="AF339" s="200"/>
      <c r="AG339" s="200"/>
      <c r="AV339" s="153"/>
      <c r="AW339" s="153"/>
    </row>
    <row r="340" ht="12.7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  <c r="AB340" s="200"/>
      <c r="AC340" s="200"/>
      <c r="AD340" s="200"/>
      <c r="AE340" s="200"/>
      <c r="AF340" s="200"/>
      <c r="AG340" s="200"/>
      <c r="AV340" s="153"/>
      <c r="AW340" s="153"/>
    </row>
    <row r="341" ht="12.7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  <c r="AB341" s="200"/>
      <c r="AC341" s="200"/>
      <c r="AD341" s="200"/>
      <c r="AE341" s="200"/>
      <c r="AF341" s="200"/>
      <c r="AG341" s="200"/>
      <c r="AV341" s="153"/>
      <c r="AW341" s="153"/>
    </row>
    <row r="342" ht="12.7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  <c r="AB342" s="200"/>
      <c r="AC342" s="200"/>
      <c r="AD342" s="200"/>
      <c r="AE342" s="200"/>
      <c r="AF342" s="200"/>
      <c r="AG342" s="200"/>
      <c r="AV342" s="153"/>
      <c r="AW342" s="153"/>
    </row>
    <row r="343" ht="12.7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  <c r="AB343" s="200"/>
      <c r="AC343" s="200"/>
      <c r="AD343" s="200"/>
      <c r="AE343" s="200"/>
      <c r="AF343" s="200"/>
      <c r="AG343" s="200"/>
      <c r="AV343" s="153"/>
      <c r="AW343" s="153"/>
    </row>
    <row r="344" ht="12.7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  <c r="AB344" s="200"/>
      <c r="AC344" s="200"/>
      <c r="AD344" s="200"/>
      <c r="AE344" s="200"/>
      <c r="AF344" s="200"/>
      <c r="AG344" s="200"/>
      <c r="AV344" s="153"/>
      <c r="AW344" s="153"/>
    </row>
    <row r="345" ht="12.7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  <c r="AB345" s="200"/>
      <c r="AC345" s="200"/>
      <c r="AD345" s="200"/>
      <c r="AE345" s="200"/>
      <c r="AF345" s="200"/>
      <c r="AG345" s="200"/>
      <c r="AV345" s="153"/>
      <c r="AW345" s="153"/>
    </row>
    <row r="346" ht="12.7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  <c r="AB346" s="200"/>
      <c r="AC346" s="200"/>
      <c r="AD346" s="200"/>
      <c r="AE346" s="200"/>
      <c r="AF346" s="200"/>
      <c r="AG346" s="200"/>
      <c r="AV346" s="153"/>
      <c r="AW346" s="153"/>
    </row>
    <row r="347" ht="12.7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  <c r="AB347" s="200"/>
      <c r="AC347" s="200"/>
      <c r="AD347" s="200"/>
      <c r="AE347" s="200"/>
      <c r="AF347" s="200"/>
      <c r="AG347" s="200"/>
      <c r="AV347" s="153"/>
      <c r="AW347" s="153"/>
    </row>
    <row r="348" ht="12.7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  <c r="AB348" s="200"/>
      <c r="AC348" s="200"/>
      <c r="AD348" s="200"/>
      <c r="AE348" s="200"/>
      <c r="AF348" s="200"/>
      <c r="AG348" s="200"/>
      <c r="AV348" s="153"/>
      <c r="AW348" s="153"/>
    </row>
    <row r="349" ht="12.7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  <c r="AB349" s="200"/>
      <c r="AC349" s="200"/>
      <c r="AD349" s="200"/>
      <c r="AE349" s="200"/>
      <c r="AF349" s="200"/>
      <c r="AG349" s="200"/>
      <c r="AV349" s="153"/>
      <c r="AW349" s="153"/>
    </row>
    <row r="350" ht="12.7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  <c r="AB350" s="200"/>
      <c r="AC350" s="200"/>
      <c r="AD350" s="200"/>
      <c r="AE350" s="200"/>
      <c r="AF350" s="200"/>
      <c r="AG350" s="200"/>
      <c r="AV350" s="153"/>
      <c r="AW350" s="153"/>
    </row>
    <row r="351" ht="12.7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  <c r="AB351" s="200"/>
      <c r="AC351" s="200"/>
      <c r="AD351" s="200"/>
      <c r="AE351" s="200"/>
      <c r="AF351" s="200"/>
      <c r="AG351" s="200"/>
      <c r="AV351" s="153"/>
      <c r="AW351" s="153"/>
    </row>
    <row r="352" ht="12.7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  <c r="AB352" s="200"/>
      <c r="AC352" s="200"/>
      <c r="AD352" s="200"/>
      <c r="AE352" s="200"/>
      <c r="AF352" s="200"/>
      <c r="AG352" s="200"/>
      <c r="AV352" s="153"/>
      <c r="AW352" s="153"/>
    </row>
    <row r="353" ht="12.7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  <c r="AB353" s="200"/>
      <c r="AC353" s="200"/>
      <c r="AD353" s="200"/>
      <c r="AE353" s="200"/>
      <c r="AF353" s="200"/>
      <c r="AG353" s="200"/>
      <c r="AV353" s="153"/>
      <c r="AW353" s="153"/>
    </row>
    <row r="354" ht="12.7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  <c r="AB354" s="200"/>
      <c r="AC354" s="200"/>
      <c r="AD354" s="200"/>
      <c r="AE354" s="200"/>
      <c r="AF354" s="200"/>
      <c r="AG354" s="200"/>
      <c r="AV354" s="153"/>
      <c r="AW354" s="153"/>
    </row>
    <row r="355" ht="12.7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  <c r="AB355" s="200"/>
      <c r="AC355" s="200"/>
      <c r="AD355" s="200"/>
      <c r="AE355" s="200"/>
      <c r="AF355" s="200"/>
      <c r="AG355" s="200"/>
      <c r="AV355" s="153"/>
      <c r="AW355" s="153"/>
    </row>
    <row r="356" ht="12.7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  <c r="AB356" s="200"/>
      <c r="AC356" s="200"/>
      <c r="AD356" s="200"/>
      <c r="AE356" s="200"/>
      <c r="AF356" s="200"/>
      <c r="AG356" s="200"/>
      <c r="AV356" s="153"/>
      <c r="AW356" s="153"/>
    </row>
    <row r="357" ht="12.7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  <c r="AB357" s="200"/>
      <c r="AC357" s="200"/>
      <c r="AD357" s="200"/>
      <c r="AE357" s="200"/>
      <c r="AF357" s="200"/>
      <c r="AG357" s="200"/>
      <c r="AV357" s="153"/>
      <c r="AW357" s="153"/>
    </row>
    <row r="358" ht="12.7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  <c r="AB358" s="200"/>
      <c r="AC358" s="200"/>
      <c r="AD358" s="200"/>
      <c r="AE358" s="200"/>
      <c r="AF358" s="200"/>
      <c r="AG358" s="200"/>
      <c r="AV358" s="153"/>
      <c r="AW358" s="153"/>
    </row>
    <row r="359" ht="12.7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  <c r="AB359" s="200"/>
      <c r="AC359" s="200"/>
      <c r="AD359" s="200"/>
      <c r="AE359" s="200"/>
      <c r="AF359" s="200"/>
      <c r="AG359" s="200"/>
      <c r="AV359" s="153"/>
      <c r="AW359" s="153"/>
    </row>
    <row r="360" ht="12.7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  <c r="AB360" s="200"/>
      <c r="AC360" s="200"/>
      <c r="AD360" s="200"/>
      <c r="AE360" s="200"/>
      <c r="AF360" s="200"/>
      <c r="AG360" s="200"/>
      <c r="AV360" s="153"/>
      <c r="AW360" s="153"/>
    </row>
    <row r="361" ht="12.7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  <c r="AB361" s="200"/>
      <c r="AC361" s="200"/>
      <c r="AD361" s="200"/>
      <c r="AE361" s="200"/>
      <c r="AF361" s="200"/>
      <c r="AG361" s="200"/>
      <c r="AV361" s="153"/>
      <c r="AW361" s="153"/>
    </row>
    <row r="362" ht="12.7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V362" s="153"/>
      <c r="AW362" s="153"/>
    </row>
    <row r="363" ht="12.7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  <c r="AB363" s="200"/>
      <c r="AC363" s="200"/>
      <c r="AD363" s="200"/>
      <c r="AE363" s="200"/>
      <c r="AF363" s="200"/>
      <c r="AG363" s="200"/>
      <c r="AV363" s="153"/>
      <c r="AW363" s="153"/>
    </row>
    <row r="364" ht="12.7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200"/>
      <c r="AG364" s="200"/>
      <c r="AV364" s="153"/>
      <c r="AW364" s="153"/>
    </row>
    <row r="365" ht="12.7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  <c r="AB365" s="200"/>
      <c r="AC365" s="200"/>
      <c r="AD365" s="200"/>
      <c r="AE365" s="200"/>
      <c r="AF365" s="200"/>
      <c r="AG365" s="200"/>
      <c r="AV365" s="153"/>
      <c r="AW365" s="153"/>
    </row>
    <row r="366" ht="12.7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  <c r="AB366" s="200"/>
      <c r="AC366" s="200"/>
      <c r="AD366" s="200"/>
      <c r="AE366" s="200"/>
      <c r="AF366" s="200"/>
      <c r="AG366" s="200"/>
      <c r="AV366" s="153"/>
      <c r="AW366" s="153"/>
    </row>
    <row r="367" ht="12.7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  <c r="AV367" s="153"/>
      <c r="AW367" s="153"/>
    </row>
    <row r="368" ht="12.7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  <c r="AB368" s="200"/>
      <c r="AC368" s="200"/>
      <c r="AD368" s="200"/>
      <c r="AE368" s="200"/>
      <c r="AF368" s="200"/>
      <c r="AG368" s="200"/>
      <c r="AV368" s="153"/>
      <c r="AW368" s="153"/>
    </row>
    <row r="369" ht="12.7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  <c r="AB369" s="200"/>
      <c r="AC369" s="200"/>
      <c r="AD369" s="200"/>
      <c r="AE369" s="200"/>
      <c r="AF369" s="200"/>
      <c r="AG369" s="200"/>
      <c r="AV369" s="153"/>
      <c r="AW369" s="153"/>
    </row>
    <row r="370" ht="12.7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  <c r="AB370" s="200"/>
      <c r="AC370" s="200"/>
      <c r="AD370" s="200"/>
      <c r="AE370" s="200"/>
      <c r="AF370" s="200"/>
      <c r="AG370" s="200"/>
      <c r="AV370" s="153"/>
      <c r="AW370" s="153"/>
    </row>
    <row r="371" ht="12.7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00"/>
      <c r="AV371" s="153"/>
      <c r="AW371" s="153"/>
    </row>
    <row r="372" ht="12.7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V372" s="153"/>
      <c r="AW372" s="153"/>
    </row>
    <row r="373" ht="12.7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00"/>
      <c r="AV373" s="153"/>
      <c r="AW373" s="153"/>
    </row>
    <row r="374" ht="12.7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00"/>
      <c r="AV374" s="153"/>
      <c r="AW374" s="153"/>
    </row>
    <row r="375" ht="12.7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  <c r="AV375" s="153"/>
      <c r="AW375" s="153"/>
    </row>
    <row r="376" ht="12.7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00"/>
      <c r="AV376" s="153"/>
      <c r="AW376" s="153"/>
    </row>
    <row r="377" ht="12.7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00"/>
      <c r="AV377" s="153"/>
      <c r="AW377" s="153"/>
    </row>
    <row r="378" ht="12.7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V378" s="153"/>
      <c r="AW378" s="153"/>
    </row>
    <row r="379" ht="12.7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00"/>
      <c r="AV379" s="153"/>
      <c r="AW379" s="153"/>
    </row>
    <row r="380" ht="12.7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  <c r="AV380" s="153"/>
      <c r="AW380" s="153"/>
    </row>
    <row r="381" ht="12.7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V381" s="153"/>
      <c r="AW381" s="153"/>
    </row>
    <row r="382" ht="12.7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V382" s="153"/>
      <c r="AW382" s="153"/>
    </row>
    <row r="383" ht="12.7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  <c r="AV383" s="153"/>
      <c r="AW383" s="153"/>
    </row>
    <row r="384" ht="12.7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00"/>
      <c r="AV384" s="153"/>
      <c r="AW384" s="153"/>
    </row>
    <row r="385" ht="12.7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V385" s="153"/>
      <c r="AW385" s="153"/>
    </row>
    <row r="386" ht="12.7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  <c r="AV386" s="153"/>
      <c r="AW386" s="153"/>
    </row>
    <row r="387" ht="12.7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  <c r="AV387" s="153"/>
      <c r="AW387" s="153"/>
    </row>
    <row r="388" ht="12.7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V388" s="153"/>
      <c r="AW388" s="153"/>
    </row>
    <row r="389" ht="12.7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V389" s="153"/>
      <c r="AW389" s="153"/>
    </row>
    <row r="390" ht="12.7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00"/>
      <c r="AV390" s="153"/>
      <c r="AW390" s="153"/>
    </row>
    <row r="391" ht="12.7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V391" s="153"/>
      <c r="AW391" s="153"/>
    </row>
    <row r="392" ht="12.7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  <c r="AV392" s="153"/>
      <c r="AW392" s="153"/>
    </row>
    <row r="393" ht="12.7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V393" s="153"/>
      <c r="AW393" s="153"/>
    </row>
    <row r="394" ht="12.7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  <c r="AV394" s="153"/>
      <c r="AW394" s="153"/>
    </row>
    <row r="395" ht="12.7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V395" s="153"/>
      <c r="AW395" s="153"/>
    </row>
    <row r="396" ht="12.7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V396" s="153"/>
      <c r="AW396" s="153"/>
    </row>
    <row r="397" ht="12.7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V397" s="153"/>
      <c r="AW397" s="153"/>
    </row>
    <row r="398" ht="12.7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V398" s="153"/>
      <c r="AW398" s="153"/>
    </row>
    <row r="399" ht="12.7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V399" s="153"/>
      <c r="AW399" s="153"/>
    </row>
    <row r="400" ht="12.7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V400" s="153"/>
      <c r="AW400" s="153"/>
    </row>
    <row r="401" ht="12.7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200"/>
      <c r="AG401" s="200"/>
      <c r="AV401" s="153"/>
      <c r="AW401" s="153"/>
    </row>
    <row r="402" ht="12.7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V402" s="153"/>
      <c r="AW402" s="153"/>
    </row>
    <row r="403" ht="12.7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200"/>
      <c r="AG403" s="200"/>
      <c r="AV403" s="153"/>
      <c r="AW403" s="153"/>
    </row>
    <row r="404" ht="12.7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200"/>
      <c r="AG404" s="200"/>
      <c r="AV404" s="153"/>
      <c r="AW404" s="153"/>
    </row>
    <row r="405" ht="12.7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  <c r="AV405" s="153"/>
      <c r="AW405" s="153"/>
    </row>
    <row r="406" ht="12.7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  <c r="AV406" s="153"/>
      <c r="AW406" s="153"/>
    </row>
    <row r="407" ht="12.7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V407" s="153"/>
      <c r="AW407" s="153"/>
    </row>
    <row r="408" ht="12.7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V408" s="153"/>
      <c r="AW408" s="153"/>
    </row>
    <row r="409" ht="12.7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V409" s="153"/>
      <c r="AW409" s="153"/>
    </row>
    <row r="410" ht="12.7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V410" s="153"/>
      <c r="AW410" s="153"/>
    </row>
    <row r="411" ht="12.7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V411" s="153"/>
      <c r="AW411" s="153"/>
    </row>
    <row r="412" ht="12.7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V412" s="153"/>
      <c r="AW412" s="153"/>
    </row>
    <row r="413" ht="12.7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V413" s="153"/>
      <c r="AW413" s="153"/>
    </row>
    <row r="414" ht="12.7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V414" s="153"/>
      <c r="AW414" s="153"/>
    </row>
    <row r="415" ht="12.7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V415" s="153"/>
      <c r="AW415" s="153"/>
    </row>
    <row r="416" ht="12.7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V416" s="153"/>
      <c r="AW416" s="153"/>
    </row>
    <row r="417" ht="12.7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V417" s="153"/>
      <c r="AW417" s="153"/>
    </row>
    <row r="418" ht="12.7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V418" s="153"/>
      <c r="AW418" s="153"/>
    </row>
    <row r="419" ht="12.7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V419" s="153"/>
      <c r="AW419" s="153"/>
    </row>
    <row r="420" ht="12.7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V420" s="153"/>
      <c r="AW420" s="153"/>
    </row>
    <row r="421" ht="12.7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V421" s="153"/>
      <c r="AW421" s="153"/>
    </row>
    <row r="422" ht="12.7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V422" s="153"/>
      <c r="AW422" s="153"/>
    </row>
    <row r="423" ht="12.7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V423" s="153"/>
      <c r="AW423" s="153"/>
    </row>
    <row r="424" ht="12.7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V424" s="153"/>
      <c r="AW424" s="153"/>
    </row>
    <row r="425" ht="12.7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V425" s="153"/>
      <c r="AW425" s="153"/>
    </row>
    <row r="426" ht="12.7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V426" s="153"/>
      <c r="AW426" s="153"/>
    </row>
    <row r="427" ht="12.7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V427" s="153"/>
      <c r="AW427" s="153"/>
    </row>
    <row r="428" ht="12.7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V428" s="153"/>
      <c r="AW428" s="153"/>
    </row>
    <row r="429" ht="12.7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V429" s="153"/>
      <c r="AW429" s="153"/>
    </row>
    <row r="430" ht="12.7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V430" s="153"/>
      <c r="AW430" s="153"/>
    </row>
    <row r="431" ht="12.7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V431" s="153"/>
      <c r="AW431" s="153"/>
    </row>
    <row r="432" ht="12.7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V432" s="153"/>
      <c r="AW432" s="153"/>
    </row>
    <row r="433" ht="12.7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V433" s="153"/>
      <c r="AW433" s="153"/>
    </row>
    <row r="434" ht="12.7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V434" s="153"/>
      <c r="AW434" s="153"/>
    </row>
    <row r="435" ht="12.7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V435" s="153"/>
      <c r="AW435" s="153"/>
    </row>
    <row r="436" ht="12.7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V436" s="153"/>
      <c r="AW436" s="153"/>
    </row>
    <row r="437" ht="12.7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V437" s="153"/>
      <c r="AW437" s="153"/>
    </row>
    <row r="438" ht="12.7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V438" s="153"/>
      <c r="AW438" s="153"/>
    </row>
    <row r="439" ht="12.7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V439" s="153"/>
      <c r="AW439" s="153"/>
    </row>
    <row r="440" ht="12.7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V440" s="153"/>
      <c r="AW440" s="153"/>
    </row>
    <row r="441" ht="12.7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V441" s="153"/>
      <c r="AW441" s="153"/>
    </row>
    <row r="442" ht="12.7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V442" s="153"/>
      <c r="AW442" s="153"/>
    </row>
    <row r="443" ht="12.7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V443" s="153"/>
      <c r="AW443" s="153"/>
    </row>
    <row r="444" ht="12.7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V444" s="153"/>
      <c r="AW444" s="153"/>
    </row>
    <row r="445" ht="12.7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V445" s="153"/>
      <c r="AW445" s="153"/>
    </row>
    <row r="446" ht="12.7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V446" s="153"/>
      <c r="AW446" s="153"/>
    </row>
    <row r="447" ht="12.7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V447" s="153"/>
      <c r="AW447" s="153"/>
    </row>
    <row r="448" ht="12.7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V448" s="153"/>
      <c r="AW448" s="153"/>
    </row>
    <row r="449" ht="12.7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V449" s="153"/>
      <c r="AW449" s="153"/>
    </row>
    <row r="450" ht="12.7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V450" s="153"/>
      <c r="AW450" s="153"/>
    </row>
    <row r="451" ht="12.7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V451" s="153"/>
      <c r="AW451" s="153"/>
    </row>
    <row r="452" ht="12.7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V452" s="153"/>
      <c r="AW452" s="153"/>
    </row>
    <row r="453" ht="12.7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V453" s="153"/>
      <c r="AW453" s="153"/>
    </row>
    <row r="454" ht="12.7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V454" s="153"/>
      <c r="AW454" s="153"/>
    </row>
    <row r="455" ht="12.7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V455" s="153"/>
      <c r="AW455" s="153"/>
    </row>
    <row r="456" ht="12.7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V456" s="153"/>
      <c r="AW456" s="153"/>
    </row>
    <row r="457" ht="12.7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V457" s="153"/>
      <c r="AW457" s="153"/>
    </row>
    <row r="458" ht="12.7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V458" s="153"/>
      <c r="AW458" s="153"/>
    </row>
    <row r="459" ht="12.7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V459" s="153"/>
      <c r="AW459" s="153"/>
    </row>
    <row r="460" ht="12.7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V460" s="153"/>
      <c r="AW460" s="153"/>
    </row>
    <row r="461" ht="12.7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V461" s="153"/>
      <c r="AW461" s="153"/>
    </row>
    <row r="462" ht="12.7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V462" s="153"/>
      <c r="AW462" s="153"/>
    </row>
    <row r="463" ht="12.7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V463" s="153"/>
      <c r="AW463" s="153"/>
    </row>
    <row r="464" ht="12.7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V464" s="153"/>
      <c r="AW464" s="153"/>
    </row>
    <row r="465" ht="12.7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V465" s="153"/>
      <c r="AW465" s="153"/>
    </row>
    <row r="466" ht="12.7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V466" s="153"/>
      <c r="AW466" s="153"/>
    </row>
    <row r="467" ht="12.7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V467" s="153"/>
      <c r="AW467" s="153"/>
    </row>
    <row r="468" ht="12.7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V468" s="153"/>
      <c r="AW468" s="153"/>
    </row>
    <row r="469" ht="12.7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V469" s="153"/>
      <c r="AW469" s="153"/>
    </row>
    <row r="470" ht="12.7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V470" s="153"/>
      <c r="AW470" s="153"/>
    </row>
    <row r="471" ht="12.7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V471" s="153"/>
      <c r="AW471" s="153"/>
    </row>
    <row r="472" ht="12.7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V472" s="153"/>
      <c r="AW472" s="153"/>
    </row>
    <row r="473" ht="12.7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V473" s="153"/>
      <c r="AW473" s="153"/>
    </row>
    <row r="474" ht="12.7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V474" s="153"/>
      <c r="AW474" s="153"/>
    </row>
    <row r="475" ht="12.7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V475" s="153"/>
      <c r="AW475" s="153"/>
    </row>
    <row r="476" ht="12.7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V476" s="153"/>
      <c r="AW476" s="153"/>
    </row>
    <row r="477" ht="12.7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V477" s="153"/>
      <c r="AW477" s="153"/>
    </row>
    <row r="478" ht="12.7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V478" s="153"/>
      <c r="AW478" s="153"/>
    </row>
    <row r="479" ht="12.7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V479" s="153"/>
      <c r="AW479" s="153"/>
    </row>
    <row r="480" ht="12.7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V480" s="153"/>
      <c r="AW480" s="153"/>
    </row>
    <row r="481" ht="12.7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V481" s="153"/>
      <c r="AW481" s="153"/>
    </row>
    <row r="482" ht="12.7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V482" s="153"/>
      <c r="AW482" s="153"/>
    </row>
    <row r="483" ht="12.7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V483" s="153"/>
      <c r="AW483" s="153"/>
    </row>
    <row r="484" ht="12.7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V484" s="153"/>
      <c r="AW484" s="153"/>
    </row>
    <row r="485" ht="12.7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V485" s="153"/>
      <c r="AW485" s="153"/>
    </row>
    <row r="486" ht="12.7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V486" s="153"/>
      <c r="AW486" s="153"/>
    </row>
    <row r="487" ht="12.7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V487" s="153"/>
      <c r="AW487" s="153"/>
    </row>
    <row r="488" ht="12.7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V488" s="153"/>
      <c r="AW488" s="153"/>
    </row>
    <row r="489" ht="12.7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V489" s="153"/>
      <c r="AW489" s="153"/>
    </row>
    <row r="490" ht="12.7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V490" s="153"/>
      <c r="AW490" s="153"/>
    </row>
    <row r="491" ht="12.7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V491" s="153"/>
      <c r="AW491" s="153"/>
    </row>
    <row r="492" ht="12.7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V492" s="153"/>
      <c r="AW492" s="153"/>
    </row>
    <row r="493" ht="12.7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V493" s="153"/>
      <c r="AW493" s="153"/>
    </row>
    <row r="494" ht="12.7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V494" s="153"/>
      <c r="AW494" s="153"/>
    </row>
    <row r="495" ht="12.7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V495" s="153"/>
      <c r="AW495" s="153"/>
    </row>
    <row r="496" ht="12.7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V496" s="153"/>
      <c r="AW496" s="153"/>
    </row>
    <row r="497" ht="12.7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V497" s="153"/>
      <c r="AW497" s="153"/>
    </row>
    <row r="498" ht="12.7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V498" s="153"/>
      <c r="AW498" s="153"/>
    </row>
    <row r="499" ht="12.7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V499" s="153"/>
      <c r="AW499" s="153"/>
    </row>
    <row r="500" ht="12.7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V500" s="153"/>
      <c r="AW500" s="153"/>
    </row>
    <row r="501" ht="12.7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V501" s="153"/>
      <c r="AW501" s="153"/>
    </row>
    <row r="502" ht="12.7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V502" s="153"/>
      <c r="AW502" s="153"/>
    </row>
    <row r="503" ht="12.7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V503" s="153"/>
      <c r="AW503" s="153"/>
    </row>
    <row r="504" ht="12.7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V504" s="153"/>
      <c r="AW504" s="153"/>
    </row>
    <row r="505" ht="12.7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V505" s="153"/>
      <c r="AW505" s="153"/>
    </row>
    <row r="506" ht="12.7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V506" s="153"/>
      <c r="AW506" s="153"/>
    </row>
    <row r="507" ht="12.7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V507" s="153"/>
      <c r="AW507" s="153"/>
    </row>
    <row r="508" ht="12.7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V508" s="153"/>
      <c r="AW508" s="153"/>
    </row>
    <row r="509" ht="12.7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V509" s="153"/>
      <c r="AW509" s="153"/>
    </row>
    <row r="510" ht="12.7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V510" s="153"/>
      <c r="AW510" s="153"/>
    </row>
    <row r="511" ht="12.7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V511" s="153"/>
      <c r="AW511" s="153"/>
    </row>
    <row r="512" ht="12.7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V512" s="153"/>
      <c r="AW512" s="153"/>
    </row>
    <row r="513" ht="12.7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V513" s="153"/>
      <c r="AW513" s="153"/>
    </row>
    <row r="514" ht="12.7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V514" s="153"/>
      <c r="AW514" s="153"/>
    </row>
    <row r="515" ht="12.7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V515" s="153"/>
      <c r="AW515" s="153"/>
    </row>
    <row r="516" ht="12.7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V516" s="153"/>
      <c r="AW516" s="153"/>
    </row>
    <row r="517" ht="12.7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V517" s="153"/>
      <c r="AW517" s="153"/>
    </row>
    <row r="518" ht="12.7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V518" s="153"/>
      <c r="AW518" s="153"/>
    </row>
    <row r="519" ht="12.7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V519" s="153"/>
      <c r="AW519" s="153"/>
    </row>
    <row r="520" ht="12.7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V520" s="153"/>
      <c r="AW520" s="153"/>
    </row>
    <row r="521" ht="12.7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V521" s="153"/>
      <c r="AW521" s="153"/>
    </row>
    <row r="522" ht="12.7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V522" s="153"/>
      <c r="AW522" s="153"/>
    </row>
    <row r="523" ht="12.7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V523" s="153"/>
      <c r="AW523" s="153"/>
    </row>
    <row r="524" ht="12.7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V524" s="153"/>
      <c r="AW524" s="153"/>
    </row>
    <row r="525" ht="12.7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V525" s="153"/>
      <c r="AW525" s="153"/>
    </row>
    <row r="526" ht="12.7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V526" s="153"/>
      <c r="AW526" s="153"/>
    </row>
    <row r="527" ht="12.7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V527" s="153"/>
      <c r="AW527" s="153"/>
    </row>
    <row r="528" ht="12.7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V528" s="153"/>
      <c r="AW528" s="153"/>
    </row>
    <row r="529" ht="12.7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V529" s="153"/>
      <c r="AW529" s="153"/>
    </row>
    <row r="530" ht="12.7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V530" s="153"/>
      <c r="AW530" s="153"/>
    </row>
    <row r="531" ht="12.7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V531" s="153"/>
      <c r="AW531" s="153"/>
    </row>
    <row r="532" ht="12.7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V532" s="153"/>
      <c r="AW532" s="153"/>
    </row>
    <row r="533" ht="12.7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V533" s="153"/>
      <c r="AW533" s="153"/>
    </row>
    <row r="534" ht="12.7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V534" s="153"/>
      <c r="AW534" s="153"/>
    </row>
    <row r="535" ht="12.7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V535" s="153"/>
      <c r="AW535" s="153"/>
    </row>
    <row r="536" ht="12.7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V536" s="153"/>
      <c r="AW536" s="153"/>
    </row>
    <row r="537" ht="12.7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V537" s="153"/>
      <c r="AW537" s="153"/>
    </row>
    <row r="538" ht="12.7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V538" s="153"/>
      <c r="AW538" s="153"/>
    </row>
    <row r="539" ht="12.7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V539" s="153"/>
      <c r="AW539" s="153"/>
    </row>
    <row r="540" ht="12.7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V540" s="153"/>
      <c r="AW540" s="153"/>
    </row>
    <row r="541" ht="12.7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V541" s="153"/>
      <c r="AW541" s="153"/>
    </row>
    <row r="542" ht="12.7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V542" s="153"/>
      <c r="AW542" s="153"/>
    </row>
    <row r="543" ht="12.7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V543" s="153"/>
      <c r="AW543" s="153"/>
    </row>
    <row r="544" ht="12.7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V544" s="153"/>
      <c r="AW544" s="153"/>
    </row>
    <row r="545" ht="12.7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V545" s="153"/>
      <c r="AW545" s="153"/>
    </row>
    <row r="546" ht="12.7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V546" s="153"/>
      <c r="AW546" s="153"/>
    </row>
    <row r="547" ht="12.7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V547" s="153"/>
      <c r="AW547" s="153"/>
    </row>
    <row r="548" ht="12.7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V548" s="153"/>
      <c r="AW548" s="153"/>
    </row>
    <row r="549" ht="12.7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V549" s="153"/>
      <c r="AW549" s="153"/>
    </row>
    <row r="550" ht="12.7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V550" s="153"/>
      <c r="AW550" s="153"/>
    </row>
    <row r="551" ht="12.7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V551" s="153"/>
      <c r="AW551" s="153"/>
    </row>
    <row r="552" ht="12.7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V552" s="153"/>
      <c r="AW552" s="153"/>
    </row>
    <row r="553" ht="12.7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V553" s="153"/>
      <c r="AW553" s="153"/>
    </row>
    <row r="554" ht="12.7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V554" s="153"/>
      <c r="AW554" s="153"/>
    </row>
    <row r="555" ht="12.7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V555" s="153"/>
      <c r="AW555" s="153"/>
    </row>
    <row r="556" ht="12.7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V556" s="153"/>
      <c r="AW556" s="153"/>
    </row>
    <row r="557" ht="12.7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V557" s="153"/>
      <c r="AW557" s="153"/>
    </row>
    <row r="558" ht="12.7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V558" s="153"/>
      <c r="AW558" s="153"/>
    </row>
    <row r="559" ht="12.7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V559" s="153"/>
      <c r="AW559" s="153"/>
    </row>
    <row r="560" ht="12.7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V560" s="153"/>
      <c r="AW560" s="153"/>
    </row>
    <row r="561" ht="12.7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V561" s="153"/>
      <c r="AW561" s="153"/>
    </row>
    <row r="562" ht="12.7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V562" s="153"/>
      <c r="AW562" s="153"/>
    </row>
    <row r="563" ht="12.7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V563" s="153"/>
      <c r="AW563" s="153"/>
    </row>
    <row r="564" ht="12.7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V564" s="153"/>
      <c r="AW564" s="153"/>
    </row>
    <row r="565" ht="12.7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V565" s="153"/>
      <c r="AW565" s="153"/>
    </row>
    <row r="566" ht="12.7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V566" s="153"/>
      <c r="AW566" s="153"/>
    </row>
    <row r="567" ht="12.7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V567" s="153"/>
      <c r="AW567" s="153"/>
    </row>
    <row r="568" ht="12.7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V568" s="153"/>
      <c r="AW568" s="153"/>
    </row>
    <row r="569" ht="12.7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V569" s="153"/>
      <c r="AW569" s="153"/>
    </row>
    <row r="570" ht="12.7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V570" s="153"/>
      <c r="AW570" s="153"/>
    </row>
    <row r="571" ht="12.7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V571" s="153"/>
      <c r="AW571" s="153"/>
    </row>
    <row r="572" ht="12.7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V572" s="153"/>
      <c r="AW572" s="153"/>
    </row>
    <row r="573" ht="12.7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V573" s="153"/>
      <c r="AW573" s="153"/>
    </row>
    <row r="574" ht="12.7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V574" s="153"/>
      <c r="AW574" s="153"/>
    </row>
    <row r="575" ht="12.7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V575" s="153"/>
      <c r="AW575" s="153"/>
    </row>
    <row r="576" ht="12.7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V576" s="153"/>
      <c r="AW576" s="153"/>
    </row>
    <row r="577" ht="12.7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V577" s="153"/>
      <c r="AW577" s="153"/>
    </row>
    <row r="578" ht="12.7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V578" s="153"/>
      <c r="AW578" s="153"/>
    </row>
    <row r="579" ht="12.7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V579" s="153"/>
      <c r="AW579" s="153"/>
    </row>
    <row r="580" ht="12.7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V580" s="153"/>
      <c r="AW580" s="153"/>
    </row>
    <row r="581" ht="12.7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V581" s="153"/>
      <c r="AW581" s="153"/>
    </row>
    <row r="582" ht="12.7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V582" s="153"/>
      <c r="AW582" s="153"/>
    </row>
    <row r="583" ht="12.7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V583" s="153"/>
      <c r="AW583" s="153"/>
    </row>
    <row r="584" ht="12.7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V584" s="153"/>
      <c r="AW584" s="153"/>
    </row>
    <row r="585" ht="12.7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V585" s="153"/>
      <c r="AW585" s="153"/>
    </row>
    <row r="586" ht="12.7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V586" s="153"/>
      <c r="AW586" s="153"/>
    </row>
    <row r="587" ht="12.7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V587" s="153"/>
      <c r="AW587" s="153"/>
    </row>
    <row r="588" ht="12.7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V588" s="153"/>
      <c r="AW588" s="153"/>
    </row>
    <row r="589" ht="12.7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V589" s="153"/>
      <c r="AW589" s="153"/>
    </row>
    <row r="590" ht="12.7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V590" s="153"/>
      <c r="AW590" s="153"/>
    </row>
    <row r="591" ht="12.7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V591" s="153"/>
      <c r="AW591" s="153"/>
    </row>
    <row r="592" ht="12.7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V592" s="153"/>
      <c r="AW592" s="153"/>
    </row>
    <row r="593" ht="12.7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V593" s="153"/>
      <c r="AW593" s="153"/>
    </row>
    <row r="594" ht="12.7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V594" s="153"/>
      <c r="AW594" s="153"/>
    </row>
    <row r="595" ht="12.7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V595" s="153"/>
      <c r="AW595" s="153"/>
    </row>
    <row r="596" ht="12.7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V596" s="153"/>
      <c r="AW596" s="153"/>
    </row>
    <row r="597" ht="12.7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V597" s="153"/>
      <c r="AW597" s="153"/>
    </row>
    <row r="598" ht="12.7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V598" s="153"/>
      <c r="AW598" s="153"/>
    </row>
    <row r="599" ht="12.7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V599" s="153"/>
      <c r="AW599" s="153"/>
    </row>
    <row r="600" ht="12.7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V600" s="153"/>
      <c r="AW600" s="153"/>
    </row>
    <row r="601" ht="12.7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V601" s="153"/>
      <c r="AW601" s="153"/>
    </row>
    <row r="602" ht="12.7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V602" s="153"/>
      <c r="AW602" s="153"/>
    </row>
    <row r="603" ht="12.7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V603" s="153"/>
      <c r="AW603" s="153"/>
    </row>
    <row r="604" ht="12.7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V604" s="153"/>
      <c r="AW604" s="153"/>
    </row>
    <row r="605" ht="12.7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V605" s="153"/>
      <c r="AW605" s="153"/>
    </row>
    <row r="606" ht="12.7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V606" s="153"/>
      <c r="AW606" s="153"/>
    </row>
    <row r="607" ht="12.7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V607" s="153"/>
      <c r="AW607" s="153"/>
    </row>
    <row r="608" ht="12.7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V608" s="153"/>
      <c r="AW608" s="153"/>
    </row>
    <row r="609" ht="12.7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V609" s="153"/>
      <c r="AW609" s="153"/>
    </row>
    <row r="610" ht="12.7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V610" s="153"/>
      <c r="AW610" s="153"/>
    </row>
    <row r="611" ht="12.7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V611" s="153"/>
      <c r="AW611" s="153"/>
    </row>
    <row r="612" ht="12.7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V612" s="153"/>
      <c r="AW612" s="153"/>
    </row>
    <row r="613" ht="12.7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V613" s="153"/>
      <c r="AW613" s="153"/>
    </row>
    <row r="614" ht="12.7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V614" s="153"/>
      <c r="AW614" s="153"/>
    </row>
    <row r="615" ht="12.7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V615" s="153"/>
      <c r="AW615" s="153"/>
    </row>
    <row r="616" ht="12.7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V616" s="153"/>
      <c r="AW616" s="153"/>
    </row>
    <row r="617" ht="12.7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V617" s="153"/>
      <c r="AW617" s="153"/>
    </row>
    <row r="618" ht="12.7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V618" s="153"/>
      <c r="AW618" s="153"/>
    </row>
    <row r="619" ht="12.7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V619" s="153"/>
      <c r="AW619" s="153"/>
    </row>
    <row r="620" ht="12.7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V620" s="153"/>
      <c r="AW620" s="153"/>
    </row>
    <row r="621" ht="12.7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V621" s="153"/>
      <c r="AW621" s="153"/>
    </row>
    <row r="622" ht="12.7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V622" s="153"/>
      <c r="AW622" s="153"/>
    </row>
    <row r="623" ht="12.7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V623" s="153"/>
      <c r="AW623" s="153"/>
    </row>
    <row r="624" ht="12.7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V624" s="153"/>
      <c r="AW624" s="153"/>
    </row>
    <row r="625" ht="12.7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V625" s="153"/>
      <c r="AW625" s="153"/>
    </row>
    <row r="626" ht="12.7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V626" s="153"/>
      <c r="AW626" s="153"/>
    </row>
    <row r="627" ht="12.7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V627" s="153"/>
      <c r="AW627" s="153"/>
    </row>
    <row r="628" ht="12.7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V628" s="153"/>
      <c r="AW628" s="153"/>
    </row>
    <row r="629" ht="12.7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V629" s="153"/>
      <c r="AW629" s="153"/>
    </row>
    <row r="630" ht="12.7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V630" s="153"/>
      <c r="AW630" s="153"/>
    </row>
    <row r="631" ht="12.7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V631" s="153"/>
      <c r="AW631" s="153"/>
    </row>
    <row r="632" ht="12.7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V632" s="153"/>
      <c r="AW632" s="153"/>
    </row>
    <row r="633" ht="12.7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V633" s="153"/>
      <c r="AW633" s="153"/>
    </row>
    <row r="634" ht="12.7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V634" s="153"/>
      <c r="AW634" s="153"/>
    </row>
    <row r="635" ht="12.7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V635" s="153"/>
      <c r="AW635" s="153"/>
    </row>
    <row r="636" ht="12.7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V636" s="153"/>
      <c r="AW636" s="153"/>
    </row>
    <row r="637" ht="12.7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V637" s="153"/>
      <c r="AW637" s="153"/>
    </row>
    <row r="638" ht="12.7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V638" s="153"/>
      <c r="AW638" s="153"/>
    </row>
    <row r="639" ht="12.7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V639" s="153"/>
      <c r="AW639" s="153"/>
    </row>
    <row r="640" ht="12.7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V640" s="153"/>
      <c r="AW640" s="153"/>
    </row>
    <row r="641" ht="12.7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V641" s="153"/>
      <c r="AW641" s="153"/>
    </row>
    <row r="642" ht="12.7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V642" s="153"/>
      <c r="AW642" s="153"/>
    </row>
    <row r="643" ht="12.7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V643" s="153"/>
      <c r="AW643" s="153"/>
    </row>
    <row r="644" ht="12.7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V644" s="153"/>
      <c r="AW644" s="153"/>
    </row>
    <row r="645" ht="12.7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V645" s="153"/>
      <c r="AW645" s="153"/>
    </row>
    <row r="646" ht="12.7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V646" s="153"/>
      <c r="AW646" s="153"/>
    </row>
    <row r="647" ht="12.7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V647" s="153"/>
      <c r="AW647" s="153"/>
    </row>
    <row r="648" ht="12.7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V648" s="153"/>
      <c r="AW648" s="153"/>
    </row>
    <row r="649" ht="12.7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V649" s="153"/>
      <c r="AW649" s="153"/>
    </row>
    <row r="650" ht="12.7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V650" s="153"/>
      <c r="AW650" s="153"/>
    </row>
    <row r="651" ht="12.7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V651" s="153"/>
      <c r="AW651" s="153"/>
    </row>
    <row r="652" ht="12.7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V652" s="153"/>
      <c r="AW652" s="153"/>
    </row>
    <row r="653" ht="12.7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V653" s="153"/>
      <c r="AW653" s="153"/>
    </row>
    <row r="654" ht="12.7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V654" s="153"/>
      <c r="AW654" s="153"/>
    </row>
    <row r="655" ht="12.7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V655" s="153"/>
      <c r="AW655" s="153"/>
    </row>
    <row r="656" ht="12.7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V656" s="153"/>
      <c r="AW656" s="153"/>
    </row>
    <row r="657" ht="12.7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V657" s="153"/>
      <c r="AW657" s="153"/>
    </row>
    <row r="658" ht="12.7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V658" s="153"/>
      <c r="AW658" s="153"/>
    </row>
    <row r="659" ht="12.7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V659" s="153"/>
      <c r="AW659" s="153"/>
    </row>
    <row r="660" ht="12.7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V660" s="153"/>
      <c r="AW660" s="153"/>
    </row>
    <row r="661" ht="12.7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V661" s="153"/>
      <c r="AW661" s="153"/>
    </row>
    <row r="662" ht="12.7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V662" s="153"/>
      <c r="AW662" s="153"/>
    </row>
    <row r="663" ht="12.7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V663" s="153"/>
      <c r="AW663" s="153"/>
    </row>
    <row r="664" ht="12.7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V664" s="153"/>
      <c r="AW664" s="153"/>
    </row>
    <row r="665" ht="12.7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V665" s="153"/>
      <c r="AW665" s="153"/>
    </row>
    <row r="666" ht="12.7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V666" s="153"/>
      <c r="AW666" s="153"/>
    </row>
    <row r="667" ht="12.7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V667" s="153"/>
      <c r="AW667" s="153"/>
    </row>
    <row r="668" ht="12.7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V668" s="153"/>
      <c r="AW668" s="153"/>
    </row>
    <row r="669" ht="12.7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V669" s="153"/>
      <c r="AW669" s="153"/>
    </row>
    <row r="670" ht="12.7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V670" s="153"/>
      <c r="AW670" s="153"/>
    </row>
    <row r="671" ht="12.7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V671" s="153"/>
      <c r="AW671" s="153"/>
    </row>
    <row r="672" ht="12.7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V672" s="153"/>
      <c r="AW672" s="153"/>
    </row>
    <row r="673" ht="12.7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V673" s="153"/>
      <c r="AW673" s="153"/>
    </row>
    <row r="674" ht="12.7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V674" s="153"/>
      <c r="AW674" s="153"/>
    </row>
    <row r="675" ht="12.7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V675" s="153"/>
      <c r="AW675" s="153"/>
    </row>
    <row r="676" ht="12.7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V676" s="153"/>
      <c r="AW676" s="153"/>
    </row>
    <row r="677" ht="12.7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V677" s="153"/>
      <c r="AW677" s="153"/>
    </row>
    <row r="678" ht="12.7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V678" s="153"/>
      <c r="AW678" s="153"/>
    </row>
    <row r="679" ht="12.7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V679" s="153"/>
      <c r="AW679" s="153"/>
    </row>
    <row r="680" ht="12.7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V680" s="153"/>
      <c r="AW680" s="153"/>
    </row>
    <row r="681" ht="12.7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V681" s="153"/>
      <c r="AW681" s="153"/>
    </row>
    <row r="682" ht="12.7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V682" s="153"/>
      <c r="AW682" s="153"/>
    </row>
    <row r="683" ht="12.7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V683" s="153"/>
      <c r="AW683" s="153"/>
    </row>
    <row r="684" ht="12.7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V684" s="153"/>
      <c r="AW684" s="153"/>
    </row>
    <row r="685" ht="12.7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V685" s="153"/>
      <c r="AW685" s="153"/>
    </row>
    <row r="686" ht="12.7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V686" s="153"/>
      <c r="AW686" s="153"/>
    </row>
    <row r="687" ht="12.7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V687" s="153"/>
      <c r="AW687" s="153"/>
    </row>
    <row r="688" ht="12.7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V688" s="153"/>
      <c r="AW688" s="153"/>
    </row>
    <row r="689" ht="12.7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V689" s="153"/>
      <c r="AW689" s="153"/>
    </row>
    <row r="690" ht="12.7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V690" s="153"/>
      <c r="AW690" s="153"/>
    </row>
    <row r="691" ht="12.7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V691" s="153"/>
      <c r="AW691" s="153"/>
    </row>
    <row r="692" ht="12.7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V692" s="153"/>
      <c r="AW692" s="153"/>
    </row>
    <row r="693" ht="12.7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V693" s="153"/>
      <c r="AW693" s="153"/>
    </row>
    <row r="694" ht="12.7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V694" s="153"/>
      <c r="AW694" s="153"/>
    </row>
    <row r="695" ht="12.7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V695" s="153"/>
      <c r="AW695" s="153"/>
    </row>
    <row r="696" ht="12.7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V696" s="153"/>
      <c r="AW696" s="153"/>
    </row>
    <row r="697" ht="12.7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V697" s="153"/>
      <c r="AW697" s="153"/>
    </row>
    <row r="698" ht="12.7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V698" s="153"/>
      <c r="AW698" s="153"/>
    </row>
    <row r="699" ht="12.7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V699" s="153"/>
      <c r="AW699" s="153"/>
    </row>
    <row r="700" ht="12.7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V700" s="153"/>
      <c r="AW700" s="153"/>
    </row>
    <row r="701" ht="12.7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V701" s="153"/>
      <c r="AW701" s="153"/>
    </row>
    <row r="702" ht="12.7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V702" s="153"/>
      <c r="AW702" s="153"/>
    </row>
    <row r="703" ht="12.7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V703" s="153"/>
      <c r="AW703" s="153"/>
    </row>
    <row r="704" ht="12.7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V704" s="153"/>
      <c r="AW704" s="153"/>
    </row>
    <row r="705" ht="12.7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V705" s="153"/>
      <c r="AW705" s="153"/>
    </row>
    <row r="706" ht="12.7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V706" s="153"/>
      <c r="AW706" s="153"/>
    </row>
    <row r="707" ht="12.7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V707" s="153"/>
      <c r="AW707" s="153"/>
    </row>
    <row r="708" ht="12.7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V708" s="153"/>
      <c r="AW708" s="153"/>
    </row>
    <row r="709" ht="12.7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V709" s="153"/>
      <c r="AW709" s="153"/>
    </row>
    <row r="710" ht="12.7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V710" s="153"/>
      <c r="AW710" s="153"/>
    </row>
    <row r="711" ht="12.7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V711" s="153"/>
      <c r="AW711" s="153"/>
    </row>
    <row r="712" ht="12.7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V712" s="153"/>
      <c r="AW712" s="153"/>
    </row>
    <row r="713" ht="12.7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V713" s="153"/>
      <c r="AW713" s="153"/>
    </row>
    <row r="714" ht="12.7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V714" s="153"/>
      <c r="AW714" s="153"/>
    </row>
    <row r="715" ht="12.7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V715" s="153"/>
      <c r="AW715" s="153"/>
    </row>
    <row r="716" ht="12.7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V716" s="153"/>
      <c r="AW716" s="153"/>
    </row>
    <row r="717" ht="12.7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V717" s="153"/>
      <c r="AW717" s="153"/>
    </row>
    <row r="718" ht="12.7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V718" s="153"/>
      <c r="AW718" s="153"/>
    </row>
    <row r="719" ht="12.7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V719" s="153"/>
      <c r="AW719" s="153"/>
    </row>
    <row r="720" ht="12.7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V720" s="153"/>
      <c r="AW720" s="153"/>
    </row>
    <row r="721" ht="12.7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V721" s="153"/>
      <c r="AW721" s="153"/>
    </row>
    <row r="722" ht="12.7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V722" s="153"/>
      <c r="AW722" s="153"/>
    </row>
    <row r="723" ht="12.7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V723" s="153"/>
      <c r="AW723" s="153"/>
    </row>
    <row r="724" ht="12.7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V724" s="153"/>
      <c r="AW724" s="153"/>
    </row>
    <row r="725" ht="12.7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V725" s="153"/>
      <c r="AW725" s="153"/>
    </row>
    <row r="726" ht="12.7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V726" s="153"/>
      <c r="AW726" s="153"/>
    </row>
    <row r="727" ht="12.7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V727" s="153"/>
      <c r="AW727" s="153"/>
    </row>
    <row r="728" ht="12.7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V728" s="153"/>
      <c r="AW728" s="153"/>
    </row>
    <row r="729" ht="12.7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V729" s="153"/>
      <c r="AW729" s="153"/>
    </row>
    <row r="730" ht="12.7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V730" s="153"/>
      <c r="AW730" s="153"/>
    </row>
    <row r="731" ht="12.7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V731" s="153"/>
      <c r="AW731" s="153"/>
    </row>
    <row r="732" ht="12.7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V732" s="153"/>
      <c r="AW732" s="153"/>
    </row>
    <row r="733" ht="12.7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V733" s="153"/>
      <c r="AW733" s="153"/>
    </row>
    <row r="734" ht="12.7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V734" s="153"/>
      <c r="AW734" s="153"/>
    </row>
    <row r="735" ht="12.7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V735" s="153"/>
      <c r="AW735" s="153"/>
    </row>
    <row r="736" ht="12.7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V736" s="153"/>
      <c r="AW736" s="153"/>
    </row>
    <row r="737" ht="12.7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V737" s="153"/>
      <c r="AW737" s="153"/>
    </row>
    <row r="738" ht="12.7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V738" s="153"/>
      <c r="AW738" s="153"/>
    </row>
    <row r="739" ht="12.7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V739" s="153"/>
      <c r="AW739" s="153"/>
    </row>
    <row r="740" ht="12.7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V740" s="153"/>
      <c r="AW740" s="153"/>
    </row>
    <row r="741" ht="12.7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V741" s="153"/>
      <c r="AW741" s="153"/>
    </row>
    <row r="742" ht="12.7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V742" s="153"/>
      <c r="AW742" s="153"/>
    </row>
    <row r="743" ht="12.7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V743" s="153"/>
      <c r="AW743" s="153"/>
    </row>
    <row r="744" ht="12.7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V744" s="153"/>
      <c r="AW744" s="153"/>
    </row>
    <row r="745" ht="12.7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V745" s="153"/>
      <c r="AW745" s="153"/>
    </row>
    <row r="746" ht="12.7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V746" s="153"/>
      <c r="AW746" s="153"/>
    </row>
    <row r="747" ht="12.7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V747" s="153"/>
      <c r="AW747" s="153"/>
    </row>
    <row r="748" ht="12.7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V748" s="153"/>
      <c r="AW748" s="153"/>
    </row>
    <row r="749" ht="12.7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V749" s="153"/>
      <c r="AW749" s="153"/>
    </row>
    <row r="750" ht="12.7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V750" s="153"/>
      <c r="AW750" s="153"/>
    </row>
    <row r="751" ht="12.7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V751" s="153"/>
      <c r="AW751" s="153"/>
    </row>
    <row r="752" ht="12.7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V752" s="153"/>
      <c r="AW752" s="153"/>
    </row>
    <row r="753" ht="12.7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V753" s="153"/>
      <c r="AW753" s="153"/>
    </row>
    <row r="754" ht="12.7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V754" s="153"/>
      <c r="AW754" s="153"/>
    </row>
    <row r="755" ht="12.7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V755" s="153"/>
      <c r="AW755" s="153"/>
    </row>
    <row r="756" ht="12.7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V756" s="153"/>
      <c r="AW756" s="153"/>
    </row>
    <row r="757" ht="12.7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V757" s="153"/>
      <c r="AW757" s="153"/>
    </row>
    <row r="758" ht="12.7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V758" s="153"/>
      <c r="AW758" s="153"/>
    </row>
    <row r="759" ht="12.7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V759" s="153"/>
      <c r="AW759" s="153"/>
    </row>
    <row r="760" ht="12.7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V760" s="153"/>
      <c r="AW760" s="153"/>
    </row>
    <row r="761" ht="12.7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V761" s="153"/>
      <c r="AW761" s="153"/>
    </row>
    <row r="762" ht="12.7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V762" s="153"/>
      <c r="AW762" s="153"/>
    </row>
    <row r="763" ht="12.7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V763" s="153"/>
      <c r="AW763" s="153"/>
    </row>
    <row r="764" ht="12.7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V764" s="153"/>
      <c r="AW764" s="153"/>
    </row>
    <row r="765" ht="12.7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V765" s="153"/>
      <c r="AW765" s="153"/>
    </row>
    <row r="766" ht="12.7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V766" s="153"/>
      <c r="AW766" s="153"/>
    </row>
    <row r="767" ht="12.7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V767" s="153"/>
      <c r="AW767" s="153"/>
    </row>
    <row r="768" ht="12.7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V768" s="153"/>
      <c r="AW768" s="153"/>
    </row>
    <row r="769" ht="12.7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V769" s="153"/>
      <c r="AW769" s="153"/>
    </row>
    <row r="770" ht="12.7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V770" s="153"/>
      <c r="AW770" s="153"/>
    </row>
    <row r="771" ht="12.7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V771" s="153"/>
      <c r="AW771" s="153"/>
    </row>
    <row r="772" ht="12.7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V772" s="153"/>
      <c r="AW772" s="153"/>
    </row>
    <row r="773" ht="12.7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V773" s="153"/>
      <c r="AW773" s="153"/>
    </row>
    <row r="774" ht="12.7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V774" s="153"/>
      <c r="AW774" s="153"/>
    </row>
    <row r="775" ht="12.7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V775" s="153"/>
      <c r="AW775" s="153"/>
    </row>
    <row r="776" ht="12.7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V776" s="153"/>
      <c r="AW776" s="153"/>
    </row>
    <row r="777" ht="12.7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V777" s="153"/>
      <c r="AW777" s="153"/>
    </row>
    <row r="778" ht="12.7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V778" s="153"/>
      <c r="AW778" s="153"/>
    </row>
    <row r="779" ht="12.7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V779" s="153"/>
      <c r="AW779" s="153"/>
    </row>
    <row r="780" ht="12.7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V780" s="153"/>
      <c r="AW780" s="153"/>
    </row>
    <row r="781" ht="12.7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V781" s="153"/>
      <c r="AW781" s="153"/>
    </row>
    <row r="782" ht="12.7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V782" s="153"/>
      <c r="AW782" s="153"/>
    </row>
    <row r="783" ht="12.7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V783" s="153"/>
      <c r="AW783" s="153"/>
    </row>
    <row r="784" ht="12.7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V784" s="153"/>
      <c r="AW784" s="153"/>
    </row>
    <row r="785" ht="12.7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V785" s="153"/>
      <c r="AW785" s="153"/>
    </row>
    <row r="786" ht="12.7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V786" s="153"/>
      <c r="AW786" s="153"/>
    </row>
    <row r="787" ht="12.7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V787" s="153"/>
      <c r="AW787" s="153"/>
    </row>
    <row r="788" ht="12.7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V788" s="153"/>
      <c r="AW788" s="153"/>
    </row>
    <row r="789" ht="12.7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V789" s="153"/>
      <c r="AW789" s="153"/>
    </row>
    <row r="790" ht="12.7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V790" s="153"/>
      <c r="AW790" s="153"/>
    </row>
    <row r="791" ht="12.7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V791" s="153"/>
      <c r="AW791" s="153"/>
    </row>
    <row r="792" ht="12.7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V792" s="153"/>
      <c r="AW792" s="153"/>
    </row>
    <row r="793" ht="12.7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V793" s="153"/>
      <c r="AW793" s="153"/>
    </row>
    <row r="794" ht="12.7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V794" s="153"/>
      <c r="AW794" s="153"/>
    </row>
    <row r="795" ht="12.7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V795" s="153"/>
      <c r="AW795" s="153"/>
    </row>
    <row r="796" ht="12.7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V796" s="153"/>
      <c r="AW796" s="153"/>
    </row>
    <row r="797" ht="12.7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V797" s="153"/>
      <c r="AW797" s="153"/>
    </row>
    <row r="798" ht="12.7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V798" s="153"/>
      <c r="AW798" s="153"/>
    </row>
    <row r="799" ht="12.7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V799" s="153"/>
      <c r="AW799" s="153"/>
    </row>
    <row r="800" ht="12.7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V800" s="153"/>
      <c r="AW800" s="153"/>
    </row>
    <row r="801" ht="12.7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V801" s="153"/>
      <c r="AW801" s="153"/>
    </row>
    <row r="802" ht="12.7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V802" s="153"/>
      <c r="AW802" s="153"/>
    </row>
    <row r="803" ht="12.7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V803" s="153"/>
      <c r="AW803" s="153"/>
    </row>
    <row r="804" ht="12.7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V804" s="153"/>
      <c r="AW804" s="153"/>
    </row>
    <row r="805" ht="12.7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V805" s="153"/>
      <c r="AW805" s="153"/>
    </row>
    <row r="806" ht="12.7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V806" s="153"/>
      <c r="AW806" s="153"/>
    </row>
    <row r="807" ht="12.7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V807" s="153"/>
      <c r="AW807" s="153"/>
    </row>
    <row r="808" ht="12.7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V808" s="153"/>
      <c r="AW808" s="153"/>
    </row>
    <row r="809" ht="12.7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V809" s="153"/>
      <c r="AW809" s="153"/>
    </row>
    <row r="810" ht="12.7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V810" s="153"/>
      <c r="AW810" s="153"/>
    </row>
    <row r="811" ht="12.7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V811" s="153"/>
      <c r="AW811" s="153"/>
    </row>
    <row r="812" ht="12.7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V812" s="153"/>
      <c r="AW812" s="153"/>
    </row>
    <row r="813" ht="12.7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V813" s="153"/>
      <c r="AW813" s="153"/>
    </row>
    <row r="814" ht="12.7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V814" s="153"/>
      <c r="AW814" s="153"/>
    </row>
    <row r="815" ht="12.7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V815" s="153"/>
      <c r="AW815" s="153"/>
    </row>
    <row r="816" ht="12.7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V816" s="153"/>
      <c r="AW816" s="153"/>
    </row>
    <row r="817" ht="12.7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V817" s="153"/>
      <c r="AW817" s="153"/>
    </row>
    <row r="818" ht="12.7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V818" s="153"/>
      <c r="AW818" s="153"/>
    </row>
    <row r="819" ht="12.7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V819" s="153"/>
      <c r="AW819" s="153"/>
    </row>
    <row r="820" ht="12.7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V820" s="153"/>
      <c r="AW820" s="153"/>
    </row>
    <row r="821" ht="12.7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V821" s="153"/>
      <c r="AW821" s="153"/>
    </row>
    <row r="822" ht="12.7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V822" s="153"/>
      <c r="AW822" s="153"/>
    </row>
    <row r="823" ht="12.7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V823" s="153"/>
      <c r="AW823" s="153"/>
    </row>
    <row r="824" ht="12.7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V824" s="153"/>
      <c r="AW824" s="153"/>
    </row>
    <row r="825" ht="12.7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V825" s="153"/>
      <c r="AW825" s="153"/>
    </row>
    <row r="826" ht="12.7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V826" s="153"/>
      <c r="AW826" s="153"/>
    </row>
    <row r="827" ht="12.7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V827" s="153"/>
      <c r="AW827" s="153"/>
    </row>
    <row r="828" ht="12.7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V828" s="153"/>
      <c r="AW828" s="153"/>
    </row>
    <row r="829" ht="12.7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V829" s="153"/>
      <c r="AW829" s="153"/>
    </row>
    <row r="830" ht="12.7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V830" s="153"/>
      <c r="AW830" s="153"/>
    </row>
    <row r="831" ht="12.7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V831" s="153"/>
      <c r="AW831" s="153"/>
    </row>
    <row r="832" ht="12.7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V832" s="153"/>
      <c r="AW832" s="153"/>
    </row>
    <row r="833" ht="12.7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V833" s="153"/>
      <c r="AW833" s="153"/>
    </row>
    <row r="834" ht="12.7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V834" s="153"/>
      <c r="AW834" s="153"/>
    </row>
    <row r="835" ht="12.7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V835" s="153"/>
      <c r="AW835" s="153"/>
    </row>
    <row r="836" ht="12.7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V836" s="153"/>
      <c r="AW836" s="153"/>
    </row>
    <row r="837" ht="12.7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V837" s="153"/>
      <c r="AW837" s="153"/>
    </row>
    <row r="838" ht="12.7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V838" s="153"/>
      <c r="AW838" s="153"/>
    </row>
    <row r="839" ht="12.7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V839" s="153"/>
      <c r="AW839" s="153"/>
    </row>
    <row r="840" ht="12.7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V840" s="153"/>
      <c r="AW840" s="153"/>
    </row>
    <row r="841" ht="12.7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V841" s="153"/>
      <c r="AW841" s="153"/>
    </row>
    <row r="842" ht="12.7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V842" s="153"/>
      <c r="AW842" s="153"/>
    </row>
    <row r="843" ht="12.7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V843" s="153"/>
      <c r="AW843" s="153"/>
    </row>
    <row r="844" ht="12.7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V844" s="153"/>
      <c r="AW844" s="153"/>
    </row>
    <row r="845" ht="12.7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V845" s="153"/>
      <c r="AW845" s="153"/>
    </row>
    <row r="846" ht="12.7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V846" s="153"/>
      <c r="AW846" s="153"/>
    </row>
    <row r="847" ht="12.7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V847" s="153"/>
      <c r="AW847" s="153"/>
    </row>
    <row r="848" ht="12.7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V848" s="153"/>
      <c r="AW848" s="153"/>
    </row>
    <row r="849" ht="12.7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V849" s="153"/>
      <c r="AW849" s="153"/>
    </row>
    <row r="850" ht="12.7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V850" s="153"/>
      <c r="AW850" s="153"/>
    </row>
    <row r="851" ht="12.7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V851" s="153"/>
      <c r="AW851" s="153"/>
    </row>
    <row r="852" ht="12.7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V852" s="153"/>
      <c r="AW852" s="153"/>
    </row>
    <row r="853" ht="12.7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V853" s="153"/>
      <c r="AW853" s="153"/>
    </row>
    <row r="854" ht="12.7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V854" s="153"/>
      <c r="AW854" s="153"/>
    </row>
    <row r="855" ht="12.7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V855" s="153"/>
      <c r="AW855" s="153"/>
    </row>
    <row r="856" ht="12.7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V856" s="153"/>
      <c r="AW856" s="153"/>
    </row>
    <row r="857" ht="12.7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V857" s="153"/>
      <c r="AW857" s="153"/>
    </row>
    <row r="858" ht="12.7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V858" s="153"/>
      <c r="AW858" s="153"/>
    </row>
    <row r="859" ht="12.7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V859" s="153"/>
      <c r="AW859" s="153"/>
    </row>
    <row r="860" ht="12.7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V860" s="153"/>
      <c r="AW860" s="153"/>
    </row>
    <row r="861" ht="12.7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V861" s="153"/>
      <c r="AW861" s="153"/>
    </row>
    <row r="862" ht="12.7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V862" s="153"/>
      <c r="AW862" s="153"/>
    </row>
    <row r="863" ht="12.7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V863" s="153"/>
      <c r="AW863" s="153"/>
    </row>
    <row r="864" ht="12.7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V864" s="153"/>
      <c r="AW864" s="153"/>
    </row>
    <row r="865" ht="12.7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V865" s="153"/>
      <c r="AW865" s="153"/>
    </row>
    <row r="866" ht="12.7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V866" s="153"/>
      <c r="AW866" s="153"/>
    </row>
    <row r="867" ht="12.7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V867" s="153"/>
      <c r="AW867" s="153"/>
    </row>
    <row r="868" ht="12.7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V868" s="153"/>
      <c r="AW868" s="153"/>
    </row>
    <row r="869" ht="12.7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V869" s="153"/>
      <c r="AW869" s="153"/>
    </row>
    <row r="870" ht="12.7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V870" s="153"/>
      <c r="AW870" s="153"/>
    </row>
    <row r="871" ht="12.7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V871" s="153"/>
      <c r="AW871" s="153"/>
    </row>
    <row r="872" ht="12.7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V872" s="153"/>
      <c r="AW872" s="153"/>
    </row>
    <row r="873" ht="12.7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V873" s="153"/>
      <c r="AW873" s="153"/>
    </row>
    <row r="874" ht="12.7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V874" s="153"/>
      <c r="AW874" s="153"/>
    </row>
    <row r="875" ht="12.7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V875" s="153"/>
      <c r="AW875" s="153"/>
    </row>
    <row r="876" ht="12.7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V876" s="153"/>
      <c r="AW876" s="153"/>
    </row>
    <row r="877" ht="12.7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V877" s="153"/>
      <c r="AW877" s="153"/>
    </row>
    <row r="878" ht="12.7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V878" s="153"/>
      <c r="AW878" s="153"/>
    </row>
    <row r="879" ht="12.7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V879" s="153"/>
      <c r="AW879" s="153"/>
    </row>
    <row r="880" ht="12.7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V880" s="153"/>
      <c r="AW880" s="153"/>
    </row>
    <row r="881" ht="12.7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V881" s="153"/>
      <c r="AW881" s="153"/>
    </row>
    <row r="882" ht="12.7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V882" s="153"/>
      <c r="AW882" s="153"/>
    </row>
    <row r="883" ht="12.7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V883" s="153"/>
      <c r="AW883" s="153"/>
    </row>
    <row r="884" ht="12.7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V884" s="153"/>
      <c r="AW884" s="153"/>
    </row>
    <row r="885" ht="12.7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V885" s="153"/>
      <c r="AW885" s="153"/>
    </row>
    <row r="886" ht="12.7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V886" s="153"/>
      <c r="AW886" s="153"/>
    </row>
    <row r="887" ht="12.7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V887" s="153"/>
      <c r="AW887" s="153"/>
    </row>
    <row r="888" ht="12.7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V888" s="153"/>
      <c r="AW888" s="153"/>
    </row>
    <row r="889" ht="12.7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V889" s="153"/>
      <c r="AW889" s="153"/>
    </row>
    <row r="890" ht="12.7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V890" s="153"/>
      <c r="AW890" s="153"/>
    </row>
    <row r="891" ht="12.7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V891" s="153"/>
      <c r="AW891" s="153"/>
    </row>
    <row r="892" ht="12.7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V892" s="153"/>
      <c r="AW892" s="153"/>
    </row>
    <row r="893" ht="12.7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V893" s="153"/>
      <c r="AW893" s="153"/>
    </row>
    <row r="894" ht="12.7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V894" s="153"/>
      <c r="AW894" s="153"/>
    </row>
    <row r="895" ht="12.7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V895" s="153"/>
      <c r="AW895" s="153"/>
    </row>
    <row r="896" ht="12.7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V896" s="153"/>
      <c r="AW896" s="153"/>
    </row>
    <row r="897" ht="12.7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V897" s="153"/>
      <c r="AW897" s="153"/>
    </row>
    <row r="898" ht="12.7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V898" s="153"/>
      <c r="AW898" s="153"/>
    </row>
    <row r="899" ht="12.7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V899" s="153"/>
      <c r="AW899" s="153"/>
    </row>
    <row r="900" ht="12.7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V900" s="153"/>
      <c r="AW900" s="153"/>
    </row>
    <row r="901" ht="12.7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V901" s="153"/>
      <c r="AW901" s="153"/>
    </row>
    <row r="902" ht="12.7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V902" s="153"/>
      <c r="AW902" s="153"/>
    </row>
    <row r="903" ht="12.7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V903" s="153"/>
      <c r="AW903" s="153"/>
    </row>
    <row r="904" ht="12.7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V904" s="153"/>
      <c r="AW904" s="153"/>
    </row>
    <row r="905" ht="12.7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V905" s="153"/>
      <c r="AW905" s="153"/>
    </row>
    <row r="906" ht="12.7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V906" s="153"/>
      <c r="AW906" s="153"/>
    </row>
    <row r="907" ht="12.7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V907" s="153"/>
      <c r="AW907" s="153"/>
    </row>
    <row r="908" ht="12.7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V908" s="153"/>
      <c r="AW908" s="153"/>
    </row>
    <row r="909" ht="12.7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V909" s="153"/>
      <c r="AW909" s="153"/>
    </row>
    <row r="910" ht="12.7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V910" s="153"/>
      <c r="AW910" s="153"/>
    </row>
    <row r="911" ht="12.7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V911" s="153"/>
      <c r="AW911" s="153"/>
    </row>
    <row r="912" ht="12.7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V912" s="153"/>
      <c r="AW912" s="153"/>
    </row>
    <row r="913" ht="12.7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V913" s="153"/>
      <c r="AW913" s="153"/>
    </row>
    <row r="914" ht="12.7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V914" s="153"/>
      <c r="AW914" s="153"/>
    </row>
    <row r="915" ht="12.7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V915" s="153"/>
      <c r="AW915" s="153"/>
    </row>
    <row r="916" ht="12.7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V916" s="153"/>
      <c r="AW916" s="153"/>
    </row>
    <row r="917" ht="12.7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V917" s="153"/>
      <c r="AW917" s="153"/>
    </row>
    <row r="918" ht="12.7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V918" s="153"/>
      <c r="AW918" s="153"/>
    </row>
    <row r="919" ht="12.7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V919" s="153"/>
      <c r="AW919" s="153"/>
    </row>
    <row r="920" ht="12.7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V920" s="153"/>
      <c r="AW920" s="153"/>
    </row>
    <row r="921" ht="12.7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V921" s="153"/>
      <c r="AW921" s="153"/>
    </row>
    <row r="922" ht="12.7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V922" s="153"/>
      <c r="AW922" s="153"/>
    </row>
    <row r="923" ht="12.7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V923" s="153"/>
      <c r="AW923" s="153"/>
    </row>
    <row r="924" ht="12.7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V924" s="153"/>
      <c r="AW924" s="153"/>
    </row>
    <row r="925" ht="12.7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V925" s="153"/>
      <c r="AW925" s="153"/>
    </row>
    <row r="926" ht="12.7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V926" s="153"/>
      <c r="AW926" s="153"/>
    </row>
    <row r="927" ht="12.7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V927" s="153"/>
      <c r="AW927" s="153"/>
    </row>
    <row r="928" ht="12.7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V928" s="153"/>
      <c r="AW928" s="153"/>
    </row>
    <row r="929" ht="12.7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V929" s="153"/>
      <c r="AW929" s="153"/>
    </row>
    <row r="930" ht="12.7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V930" s="153"/>
      <c r="AW930" s="153"/>
    </row>
    <row r="931" ht="12.7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V931" s="153"/>
      <c r="AW931" s="153"/>
    </row>
    <row r="932" ht="12.7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V932" s="153"/>
      <c r="AW932" s="153"/>
    </row>
    <row r="933" ht="12.7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V933" s="153"/>
      <c r="AW933" s="153"/>
    </row>
    <row r="934" ht="12.7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V934" s="153"/>
      <c r="AW934" s="153"/>
    </row>
    <row r="935" ht="12.7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V935" s="153"/>
      <c r="AW935" s="153"/>
    </row>
    <row r="936" ht="12.7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V936" s="153"/>
      <c r="AW936" s="153"/>
    </row>
    <row r="937" ht="12.7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V937" s="153"/>
      <c r="AW937" s="153"/>
    </row>
    <row r="938" ht="12.7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V938" s="153"/>
      <c r="AW938" s="153"/>
    </row>
    <row r="939" ht="12.7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V939" s="153"/>
      <c r="AW939" s="153"/>
    </row>
    <row r="940" ht="12.7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V940" s="153"/>
      <c r="AW940" s="153"/>
    </row>
    <row r="941" ht="12.7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V941" s="153"/>
      <c r="AW941" s="153"/>
    </row>
    <row r="942" ht="12.7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V942" s="153"/>
      <c r="AW942" s="153"/>
    </row>
    <row r="943" ht="12.7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V943" s="153"/>
      <c r="AW943" s="153"/>
    </row>
    <row r="944" ht="12.7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V944" s="153"/>
      <c r="AW944" s="153"/>
    </row>
    <row r="945" ht="12.7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V945" s="153"/>
      <c r="AW945" s="153"/>
    </row>
    <row r="946" ht="12.7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V946" s="153"/>
      <c r="AW946" s="153"/>
    </row>
    <row r="947" ht="12.7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V947" s="153"/>
      <c r="AW947" s="153"/>
    </row>
    <row r="948" ht="12.7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V948" s="153"/>
      <c r="AW948" s="153"/>
    </row>
    <row r="949" ht="12.7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V949" s="153"/>
      <c r="AW949" s="153"/>
    </row>
    <row r="950" ht="12.7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V950" s="153"/>
      <c r="AW950" s="153"/>
    </row>
    <row r="951" ht="12.7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V951" s="153"/>
      <c r="AW951" s="153"/>
    </row>
    <row r="952" ht="12.7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V952" s="153"/>
      <c r="AW952" s="153"/>
    </row>
    <row r="953" ht="12.7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V953" s="153"/>
      <c r="AW953" s="153"/>
    </row>
    <row r="954" ht="12.7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V954" s="153"/>
      <c r="AW954" s="153"/>
    </row>
    <row r="955" ht="12.7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V955" s="153"/>
      <c r="AW955" s="153"/>
    </row>
    <row r="956" ht="12.7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V956" s="153"/>
      <c r="AW956" s="153"/>
    </row>
    <row r="957" ht="12.7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V957" s="153"/>
      <c r="AW957" s="153"/>
    </row>
    <row r="958" ht="12.7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V958" s="153"/>
      <c r="AW958" s="153"/>
    </row>
    <row r="959" ht="12.7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V959" s="153"/>
      <c r="AW959" s="153"/>
    </row>
    <row r="960" ht="12.7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V960" s="153"/>
      <c r="AW960" s="153"/>
    </row>
    <row r="961" ht="12.7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V961" s="153"/>
      <c r="AW961" s="153"/>
    </row>
    <row r="962" ht="12.7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V962" s="153"/>
      <c r="AW962" s="153"/>
    </row>
    <row r="963" ht="12.7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V963" s="153"/>
      <c r="AW963" s="153"/>
    </row>
    <row r="964" ht="12.7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V964" s="153"/>
      <c r="AW964" s="153"/>
    </row>
    <row r="965" ht="12.7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V965" s="153"/>
      <c r="AW965" s="153"/>
    </row>
    <row r="966" ht="12.7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V966" s="153"/>
      <c r="AW966" s="153"/>
    </row>
    <row r="967" ht="12.7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V967" s="153"/>
      <c r="AW967" s="153"/>
    </row>
    <row r="968" ht="12.7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V968" s="153"/>
      <c r="AW968" s="153"/>
    </row>
    <row r="969" ht="12.7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V969" s="153"/>
      <c r="AW969" s="153"/>
    </row>
    <row r="970" ht="12.7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V970" s="153"/>
      <c r="AW970" s="153"/>
    </row>
    <row r="971" ht="12.7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V971" s="153"/>
      <c r="AW971" s="153"/>
    </row>
    <row r="972" ht="12.7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V972" s="153"/>
      <c r="AW972" s="153"/>
    </row>
    <row r="973" ht="12.7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V973" s="153"/>
      <c r="AW973" s="153"/>
    </row>
    <row r="974" ht="12.7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V974" s="153"/>
      <c r="AW974" s="153"/>
    </row>
    <row r="975" ht="12.7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V975" s="153"/>
      <c r="AW975" s="153"/>
    </row>
    <row r="976" ht="12.7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V976" s="153"/>
      <c r="AW976" s="153"/>
    </row>
    <row r="977" ht="12.7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V977" s="153"/>
      <c r="AW977" s="153"/>
    </row>
    <row r="978" ht="12.7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V978" s="153"/>
      <c r="AW978" s="153"/>
    </row>
    <row r="979" ht="12.7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V979" s="153"/>
      <c r="AW979" s="153"/>
    </row>
    <row r="980" ht="12.7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V980" s="153"/>
      <c r="AW980" s="153"/>
    </row>
    <row r="981" ht="12.7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V981" s="153"/>
      <c r="AW981" s="153"/>
    </row>
    <row r="982" ht="12.7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V982" s="153"/>
      <c r="AW982" s="153"/>
    </row>
    <row r="983" ht="12.7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V983" s="153"/>
      <c r="AW983" s="153"/>
    </row>
    <row r="984" ht="12.7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V984" s="153"/>
      <c r="AW984" s="153"/>
    </row>
    <row r="985" ht="12.7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V985" s="153"/>
      <c r="AW985" s="153"/>
    </row>
    <row r="986" ht="12.7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V986" s="153"/>
      <c r="AW986" s="153"/>
    </row>
    <row r="987" ht="12.7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  <c r="AB987" s="200"/>
      <c r="AC987" s="200"/>
      <c r="AD987" s="200"/>
      <c r="AE987" s="200"/>
      <c r="AF987" s="200"/>
      <c r="AG987" s="200"/>
      <c r="AV987" s="153"/>
      <c r="AW987" s="153"/>
    </row>
    <row r="988" ht="12.7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  <c r="AB988" s="200"/>
      <c r="AC988" s="200"/>
      <c r="AD988" s="200"/>
      <c r="AE988" s="200"/>
      <c r="AF988" s="200"/>
      <c r="AG988" s="200"/>
      <c r="AV988" s="153"/>
      <c r="AW988" s="153"/>
    </row>
    <row r="989" ht="12.7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  <c r="AB989" s="200"/>
      <c r="AC989" s="200"/>
      <c r="AD989" s="200"/>
      <c r="AE989" s="200"/>
      <c r="AF989" s="200"/>
      <c r="AG989" s="200"/>
      <c r="AV989" s="153"/>
      <c r="AW989" s="153"/>
    </row>
    <row r="990" ht="12.7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  <c r="AB990" s="200"/>
      <c r="AC990" s="200"/>
      <c r="AD990" s="200"/>
      <c r="AE990" s="200"/>
      <c r="AF990" s="200"/>
      <c r="AG990" s="200"/>
      <c r="AV990" s="153"/>
      <c r="AW990" s="153"/>
    </row>
    <row r="991" ht="12.7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  <c r="AB991" s="200"/>
      <c r="AC991" s="200"/>
      <c r="AD991" s="200"/>
      <c r="AE991" s="200"/>
      <c r="AF991" s="200"/>
      <c r="AG991" s="200"/>
      <c r="AV991" s="153"/>
      <c r="AW991" s="153"/>
    </row>
    <row r="992" ht="12.7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  <c r="AB992" s="200"/>
      <c r="AC992" s="200"/>
      <c r="AD992" s="200"/>
      <c r="AE992" s="200"/>
      <c r="AF992" s="200"/>
      <c r="AG992" s="200"/>
      <c r="AV992" s="153"/>
      <c r="AW992" s="153"/>
    </row>
    <row r="993" ht="12.7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  <c r="AB993" s="200"/>
      <c r="AC993" s="200"/>
      <c r="AD993" s="200"/>
      <c r="AE993" s="200"/>
      <c r="AF993" s="200"/>
      <c r="AG993" s="200"/>
      <c r="AV993" s="153"/>
      <c r="AW993" s="153"/>
    </row>
    <row r="994" ht="12.7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  <c r="AB994" s="200"/>
      <c r="AC994" s="200"/>
      <c r="AD994" s="200"/>
      <c r="AE994" s="200"/>
      <c r="AF994" s="200"/>
      <c r="AG994" s="200"/>
      <c r="AV994" s="153"/>
      <c r="AW994" s="153"/>
    </row>
    <row r="995" ht="12.7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  <c r="AB995" s="200"/>
      <c r="AC995" s="200"/>
      <c r="AD995" s="200"/>
      <c r="AE995" s="200"/>
      <c r="AF995" s="200"/>
      <c r="AG995" s="200"/>
      <c r="AV995" s="153"/>
      <c r="AW995" s="153"/>
    </row>
    <row r="996" ht="12.7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  <c r="AB996" s="200"/>
      <c r="AC996" s="200"/>
      <c r="AD996" s="200"/>
      <c r="AE996" s="200"/>
      <c r="AF996" s="200"/>
      <c r="AG996" s="200"/>
      <c r="AV996" s="153"/>
      <c r="AW996" s="153"/>
    </row>
    <row r="997" ht="12.7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  <c r="AB997" s="200"/>
      <c r="AC997" s="200"/>
      <c r="AD997" s="200"/>
      <c r="AE997" s="200"/>
      <c r="AF997" s="200"/>
      <c r="AG997" s="200"/>
      <c r="AV997" s="153"/>
      <c r="AW997" s="153"/>
    </row>
    <row r="998" ht="12.7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  <c r="AB998" s="200"/>
      <c r="AC998" s="200"/>
      <c r="AD998" s="200"/>
      <c r="AE998" s="200"/>
      <c r="AF998" s="200"/>
      <c r="AG998" s="200"/>
      <c r="AV998" s="153"/>
      <c r="AW998" s="153"/>
    </row>
    <row r="999" ht="12.7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  <c r="AB999" s="200"/>
      <c r="AC999" s="200"/>
      <c r="AD999" s="200"/>
      <c r="AE999" s="200"/>
      <c r="AF999" s="200"/>
      <c r="AG999" s="200"/>
      <c r="AV999" s="153"/>
      <c r="AW999" s="153"/>
    </row>
    <row r="1000" ht="12.7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  <c r="AB1000" s="200"/>
      <c r="AC1000" s="200"/>
      <c r="AD1000" s="200"/>
      <c r="AE1000" s="200"/>
      <c r="AF1000" s="200"/>
      <c r="AG1000" s="200"/>
      <c r="AV1000" s="153"/>
      <c r="AW1000" s="153"/>
    </row>
    <row r="1001" ht="12.75" customHeight="1">
      <c r="A1001" s="200"/>
      <c r="B1001" s="200"/>
      <c r="C1001" s="200"/>
      <c r="D1001" s="200"/>
      <c r="E1001" s="200"/>
      <c r="F1001" s="200"/>
      <c r="G1001" s="200"/>
      <c r="H1001" s="200"/>
      <c r="I1001" s="200"/>
      <c r="J1001" s="200"/>
      <c r="K1001" s="200"/>
      <c r="L1001" s="200"/>
      <c r="M1001" s="200"/>
      <c r="N1001" s="200"/>
      <c r="O1001" s="200"/>
      <c r="P1001" s="200"/>
      <c r="Q1001" s="200"/>
      <c r="R1001" s="200"/>
      <c r="S1001" s="200"/>
      <c r="T1001" s="200"/>
      <c r="U1001" s="200"/>
      <c r="V1001" s="200"/>
      <c r="W1001" s="200"/>
      <c r="X1001" s="200"/>
      <c r="Y1001" s="200"/>
      <c r="Z1001" s="200"/>
      <c r="AA1001" s="200"/>
      <c r="AB1001" s="200"/>
      <c r="AC1001" s="200"/>
      <c r="AD1001" s="200"/>
      <c r="AE1001" s="200"/>
      <c r="AF1001" s="200"/>
      <c r="AG1001" s="200"/>
      <c r="AV1001" s="153"/>
      <c r="AW1001" s="153"/>
    </row>
    <row r="1002" ht="12.75" customHeight="1">
      <c r="A1002" s="200"/>
      <c r="B1002" s="200"/>
      <c r="C1002" s="200"/>
      <c r="D1002" s="200"/>
      <c r="E1002" s="200"/>
      <c r="F1002" s="200"/>
      <c r="G1002" s="200"/>
      <c r="H1002" s="200"/>
      <c r="I1002" s="200"/>
      <c r="J1002" s="200"/>
      <c r="K1002" s="200"/>
      <c r="L1002" s="200"/>
      <c r="M1002" s="200"/>
      <c r="N1002" s="200"/>
      <c r="O1002" s="200"/>
      <c r="P1002" s="200"/>
      <c r="Q1002" s="200"/>
      <c r="R1002" s="200"/>
      <c r="S1002" s="200"/>
      <c r="T1002" s="200"/>
      <c r="U1002" s="200"/>
      <c r="V1002" s="200"/>
      <c r="W1002" s="200"/>
      <c r="X1002" s="200"/>
      <c r="Y1002" s="200"/>
      <c r="Z1002" s="200"/>
      <c r="AA1002" s="200"/>
      <c r="AB1002" s="200"/>
      <c r="AC1002" s="200"/>
      <c r="AD1002" s="200"/>
      <c r="AE1002" s="200"/>
      <c r="AF1002" s="200"/>
      <c r="AG1002" s="200"/>
      <c r="AV1002" s="153"/>
      <c r="AW1002" s="153"/>
    </row>
    <row r="1003" ht="12.75" customHeight="1">
      <c r="A1003" s="200"/>
      <c r="B1003" s="200"/>
      <c r="C1003" s="200"/>
      <c r="D1003" s="200"/>
      <c r="E1003" s="200"/>
      <c r="F1003" s="200"/>
      <c r="G1003" s="200"/>
      <c r="H1003" s="200"/>
      <c r="I1003" s="200"/>
      <c r="J1003" s="200"/>
      <c r="K1003" s="200"/>
      <c r="L1003" s="200"/>
      <c r="M1003" s="200"/>
      <c r="N1003" s="200"/>
      <c r="O1003" s="200"/>
      <c r="P1003" s="200"/>
      <c r="Q1003" s="200"/>
      <c r="R1003" s="200"/>
      <c r="S1003" s="200"/>
      <c r="T1003" s="200"/>
      <c r="U1003" s="200"/>
      <c r="V1003" s="200"/>
      <c r="W1003" s="200"/>
      <c r="X1003" s="200"/>
      <c r="Y1003" s="200"/>
      <c r="Z1003" s="200"/>
      <c r="AA1003" s="200"/>
      <c r="AB1003" s="200"/>
      <c r="AC1003" s="200"/>
      <c r="AD1003" s="200"/>
      <c r="AE1003" s="200"/>
      <c r="AF1003" s="200"/>
      <c r="AG1003" s="200"/>
      <c r="AV1003" s="153"/>
      <c r="AW1003" s="153"/>
    </row>
    <row r="1004" ht="12.75" customHeight="1">
      <c r="A1004" s="200"/>
      <c r="B1004" s="200"/>
      <c r="C1004" s="200"/>
      <c r="D1004" s="200"/>
      <c r="E1004" s="200"/>
      <c r="F1004" s="200"/>
      <c r="G1004" s="200"/>
      <c r="H1004" s="200"/>
      <c r="I1004" s="200"/>
      <c r="J1004" s="200"/>
      <c r="K1004" s="200"/>
      <c r="L1004" s="200"/>
      <c r="M1004" s="200"/>
      <c r="N1004" s="200"/>
      <c r="O1004" s="200"/>
      <c r="P1004" s="200"/>
      <c r="Q1004" s="200"/>
      <c r="R1004" s="200"/>
      <c r="S1004" s="200"/>
      <c r="T1004" s="200"/>
      <c r="U1004" s="200"/>
      <c r="V1004" s="200"/>
      <c r="W1004" s="200"/>
      <c r="X1004" s="200"/>
      <c r="Y1004" s="200"/>
      <c r="Z1004" s="200"/>
      <c r="AA1004" s="200"/>
      <c r="AB1004" s="200"/>
      <c r="AC1004" s="200"/>
      <c r="AD1004" s="200"/>
      <c r="AE1004" s="200"/>
      <c r="AF1004" s="200"/>
      <c r="AG1004" s="200"/>
    </row>
    <row r="1005" ht="12.75" customHeight="1">
      <c r="A1005" s="200"/>
      <c r="B1005" s="200"/>
      <c r="C1005" s="200"/>
      <c r="D1005" s="200"/>
      <c r="E1005" s="200"/>
      <c r="F1005" s="200"/>
      <c r="G1005" s="200"/>
      <c r="H1005" s="200"/>
      <c r="I1005" s="200"/>
      <c r="J1005" s="200"/>
      <c r="K1005" s="200"/>
      <c r="L1005" s="200"/>
      <c r="M1005" s="200"/>
      <c r="N1005" s="200"/>
      <c r="O1005" s="200"/>
      <c r="P1005" s="200"/>
      <c r="Q1005" s="200"/>
      <c r="R1005" s="200"/>
      <c r="S1005" s="200"/>
      <c r="T1005" s="200"/>
      <c r="U1005" s="200"/>
      <c r="V1005" s="200"/>
      <c r="W1005" s="200"/>
      <c r="X1005" s="200"/>
      <c r="Y1005" s="200"/>
      <c r="Z1005" s="200"/>
      <c r="AA1005" s="200"/>
      <c r="AB1005" s="200"/>
      <c r="AC1005" s="200"/>
      <c r="AD1005" s="200"/>
      <c r="AE1005" s="200"/>
      <c r="AF1005" s="200"/>
      <c r="AG1005" s="200"/>
    </row>
    <row r="1006" ht="12.75" customHeight="1">
      <c r="A1006" s="200"/>
      <c r="B1006" s="200"/>
      <c r="C1006" s="200"/>
      <c r="D1006" s="200"/>
      <c r="E1006" s="200"/>
      <c r="F1006" s="200"/>
      <c r="G1006" s="200"/>
      <c r="H1006" s="200"/>
      <c r="I1006" s="200"/>
      <c r="J1006" s="200"/>
      <c r="K1006" s="200"/>
      <c r="L1006" s="200"/>
      <c r="M1006" s="200"/>
      <c r="N1006" s="200"/>
      <c r="O1006" s="200"/>
      <c r="P1006" s="200"/>
      <c r="Q1006" s="200"/>
      <c r="R1006" s="200"/>
      <c r="S1006" s="200"/>
      <c r="T1006" s="200"/>
      <c r="U1006" s="200"/>
      <c r="V1006" s="200"/>
      <c r="W1006" s="200"/>
      <c r="X1006" s="200"/>
      <c r="Y1006" s="200"/>
      <c r="Z1006" s="200"/>
      <c r="AA1006" s="200"/>
      <c r="AB1006" s="200"/>
      <c r="AC1006" s="200"/>
      <c r="AD1006" s="200"/>
      <c r="AE1006" s="200"/>
      <c r="AF1006" s="200"/>
      <c r="AG1006" s="200"/>
    </row>
  </sheetData>
  <mergeCells count="2">
    <mergeCell ref="D2:K2"/>
    <mergeCell ref="L2:W2"/>
  </mergeCells>
  <conditionalFormatting sqref="AV5:AZ64">
    <cfRule type="cellIs" dxfId="6" priority="1" operator="equal">
      <formula>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6" width="9.0"/>
  </cols>
  <sheetData>
    <row r="1" ht="15.75" customHeight="1"/>
    <row r="2" ht="15.75" customHeight="1">
      <c r="G2" s="200" t="s">
        <v>420</v>
      </c>
    </row>
    <row r="3" ht="15.75" customHeight="1">
      <c r="A3" s="1"/>
      <c r="B3" s="1"/>
      <c r="C3" s="1"/>
      <c r="D3" s="1"/>
      <c r="E3" s="1"/>
      <c r="F3" s="1"/>
      <c r="G3" s="301"/>
      <c r="H3" s="1"/>
    </row>
    <row r="4" ht="15.75" customHeight="1">
      <c r="A4" s="279"/>
      <c r="B4" s="279"/>
      <c r="C4" s="279"/>
      <c r="D4" s="279"/>
      <c r="E4" s="279"/>
      <c r="F4" s="279"/>
      <c r="G4" s="279"/>
      <c r="H4" s="279"/>
    </row>
    <row r="5" ht="4.5" customHeight="1">
      <c r="A5" s="279"/>
      <c r="B5" s="279"/>
      <c r="C5" s="279"/>
      <c r="D5" s="279"/>
      <c r="E5" s="279"/>
      <c r="F5" s="279"/>
      <c r="G5" s="279"/>
      <c r="H5" s="279"/>
    </row>
    <row r="6" ht="15.0" customHeight="1">
      <c r="A6" s="302" t="s">
        <v>421</v>
      </c>
      <c r="I6" s="1"/>
    </row>
    <row r="7" ht="4.5" customHeight="1"/>
    <row r="8" ht="15.0" customHeight="1">
      <c r="A8" s="303" t="s">
        <v>266</v>
      </c>
      <c r="B8" s="303"/>
      <c r="C8" s="303"/>
      <c r="D8" s="303"/>
      <c r="E8" s="303" t="s">
        <v>64</v>
      </c>
      <c r="F8" s="303"/>
      <c r="G8" s="303" t="s">
        <v>267</v>
      </c>
      <c r="H8" s="303"/>
      <c r="I8" s="304"/>
      <c r="J8" s="304"/>
      <c r="K8" s="304"/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</row>
    <row r="9" ht="15.0" customHeight="1">
      <c r="A9" s="200"/>
      <c r="B9" s="200"/>
      <c r="C9" s="200"/>
      <c r="D9" s="200"/>
      <c r="E9" s="305"/>
      <c r="F9" s="200"/>
      <c r="G9" s="305"/>
      <c r="H9" s="200"/>
    </row>
    <row r="10" ht="15.75" customHeight="1">
      <c r="L10" s="306"/>
    </row>
    <row r="11" ht="15.0" customHeight="1">
      <c r="A11" s="307" t="s">
        <v>422</v>
      </c>
      <c r="B11" s="308"/>
      <c r="C11" s="308"/>
      <c r="D11" s="308"/>
      <c r="E11" s="308"/>
      <c r="F11" s="308"/>
      <c r="G11" s="308" t="s">
        <v>423</v>
      </c>
      <c r="H11" s="309"/>
      <c r="L11" s="306"/>
    </row>
    <row r="12" ht="15.75" customHeight="1">
      <c r="A12" s="200"/>
      <c r="B12" s="200"/>
      <c r="C12" s="200"/>
      <c r="D12" s="200"/>
      <c r="E12" s="200"/>
      <c r="F12" s="200"/>
      <c r="G12" s="298"/>
      <c r="H12" s="200"/>
      <c r="L12" s="306"/>
    </row>
    <row r="13" ht="15.75" customHeight="1">
      <c r="A13" s="200"/>
      <c r="B13" s="200"/>
      <c r="C13" s="200"/>
      <c r="D13" s="200"/>
      <c r="E13" s="200"/>
      <c r="F13" s="200"/>
      <c r="G13" s="298"/>
      <c r="H13" s="200"/>
      <c r="L13" s="306"/>
    </row>
    <row r="14" ht="15.75" customHeight="1">
      <c r="A14" s="200"/>
      <c r="B14" s="200"/>
      <c r="C14" s="200"/>
      <c r="D14" s="200"/>
      <c r="E14" s="200"/>
      <c r="F14" s="200"/>
      <c r="G14" s="298"/>
      <c r="H14" s="200"/>
      <c r="L14" s="306"/>
    </row>
    <row r="15" ht="15.75" customHeight="1">
      <c r="A15" s="200"/>
      <c r="B15" s="200"/>
      <c r="C15" s="200"/>
      <c r="D15" s="200"/>
      <c r="E15" s="200"/>
      <c r="F15" s="200"/>
      <c r="G15" s="298"/>
      <c r="H15" s="200"/>
      <c r="L15" s="306"/>
    </row>
    <row r="16" ht="15.75" customHeight="1">
      <c r="A16" s="200"/>
      <c r="C16" s="200"/>
      <c r="G16" s="298"/>
      <c r="L16" s="306"/>
    </row>
    <row r="17" ht="15.75" customHeight="1">
      <c r="A17" s="200"/>
      <c r="C17" s="200"/>
      <c r="D17" s="200"/>
      <c r="E17" s="200"/>
      <c r="F17" s="200"/>
      <c r="G17" s="298"/>
      <c r="L17" s="306"/>
    </row>
    <row r="18" ht="13.5" customHeight="1">
      <c r="A18" s="200"/>
      <c r="C18" s="200"/>
      <c r="D18" s="200"/>
      <c r="E18" s="200"/>
      <c r="F18" s="200"/>
      <c r="G18" s="298"/>
      <c r="L18" s="306"/>
    </row>
    <row r="19" ht="13.5" customHeight="1">
      <c r="A19" s="200"/>
      <c r="C19" s="200"/>
      <c r="D19" s="200"/>
      <c r="E19" s="200"/>
      <c r="F19" s="200"/>
      <c r="G19" s="298"/>
      <c r="L19" s="306"/>
    </row>
    <row r="20" ht="13.5" customHeight="1">
      <c r="A20" s="200"/>
      <c r="C20" s="200"/>
      <c r="D20" s="200"/>
      <c r="E20" s="200"/>
      <c r="F20" s="200"/>
      <c r="G20" s="298"/>
      <c r="L20" s="306"/>
    </row>
    <row r="21" ht="15.75" customHeight="1">
      <c r="A21" s="200"/>
      <c r="C21" s="200"/>
      <c r="G21" s="298"/>
      <c r="L21" s="306"/>
    </row>
    <row r="22" ht="15.75" customHeight="1">
      <c r="A22" s="200"/>
      <c r="C22" s="200"/>
      <c r="G22" s="298"/>
      <c r="L22" s="306"/>
    </row>
    <row r="23" ht="15.75" customHeight="1">
      <c r="A23" s="200"/>
      <c r="C23" s="200"/>
      <c r="G23" s="298"/>
      <c r="L23" s="306"/>
    </row>
    <row r="24" ht="15.75" customHeight="1">
      <c r="A24" s="200"/>
      <c r="C24" s="200"/>
      <c r="G24" s="298"/>
      <c r="L24" s="306"/>
    </row>
    <row r="25" ht="15.75" customHeight="1">
      <c r="A25" s="200"/>
      <c r="C25" s="200"/>
      <c r="G25" s="298"/>
      <c r="L25" s="306"/>
    </row>
    <row r="26" ht="15.75" customHeight="1">
      <c r="A26" s="200"/>
      <c r="C26" s="1"/>
      <c r="G26" s="298"/>
      <c r="L26" s="306"/>
    </row>
    <row r="27" ht="15.75" customHeight="1">
      <c r="A27" s="200"/>
      <c r="C27" s="1"/>
      <c r="G27" s="298"/>
      <c r="L27" s="306"/>
    </row>
    <row r="28" ht="15.75" customHeight="1">
      <c r="A28" s="200"/>
      <c r="C28" s="1"/>
      <c r="G28" s="298"/>
      <c r="L28" s="306"/>
    </row>
    <row r="29" ht="15.75" customHeight="1">
      <c r="A29" s="200"/>
      <c r="G29" s="298"/>
      <c r="L29" s="306"/>
    </row>
    <row r="30" ht="15.75" customHeight="1">
      <c r="A30" s="200"/>
      <c r="G30" s="298"/>
      <c r="L30" s="306"/>
    </row>
    <row r="31" ht="15.75" customHeight="1">
      <c r="A31" s="200"/>
      <c r="G31" s="298"/>
      <c r="L31" s="306"/>
    </row>
    <row r="32" ht="15.75" customHeight="1">
      <c r="A32" s="200"/>
      <c r="G32" s="298"/>
      <c r="L32" s="306"/>
    </row>
    <row r="33" ht="15.75" customHeight="1">
      <c r="A33" s="200"/>
      <c r="G33" s="298"/>
      <c r="L33" s="306"/>
    </row>
    <row r="34" ht="15.75" customHeight="1">
      <c r="A34" s="200"/>
      <c r="G34" s="298"/>
      <c r="L34" s="306"/>
    </row>
    <row r="35" ht="15.75" customHeight="1">
      <c r="A35" s="200"/>
      <c r="G35" s="298"/>
      <c r="L35" s="306"/>
    </row>
    <row r="36" ht="15.75" customHeight="1">
      <c r="A36" s="200"/>
      <c r="L36" s="306"/>
    </row>
    <row r="37" ht="15.75" customHeight="1">
      <c r="A37" s="200"/>
      <c r="L37" s="306"/>
    </row>
    <row r="38" ht="15.75" customHeight="1">
      <c r="L38" s="306"/>
    </row>
    <row r="39" ht="15.75" customHeight="1">
      <c r="L39" s="306"/>
    </row>
    <row r="40" ht="15.75" customHeight="1">
      <c r="L40" s="306"/>
    </row>
    <row r="41" ht="15.75" customHeight="1">
      <c r="L41" s="306"/>
    </row>
    <row r="42" ht="15.75" customHeight="1">
      <c r="L42" s="306"/>
    </row>
    <row r="43" ht="15.75" customHeight="1">
      <c r="L43" s="306"/>
    </row>
    <row r="44" ht="15.75" customHeight="1">
      <c r="L44" s="306"/>
    </row>
    <row r="45" ht="15.75" customHeight="1">
      <c r="L45" s="306"/>
    </row>
    <row r="46" ht="15.75" customHeight="1">
      <c r="L46" s="306"/>
    </row>
    <row r="47" ht="15.75" customHeight="1">
      <c r="L47" s="306"/>
    </row>
    <row r="48" ht="15.75" customHeight="1">
      <c r="L48" s="306"/>
    </row>
    <row r="49" ht="15.75" customHeight="1">
      <c r="L49" s="306"/>
    </row>
    <row r="50" ht="15.75" customHeight="1">
      <c r="L50" s="306"/>
    </row>
    <row r="51" ht="15.75" customHeight="1">
      <c r="L51" s="306"/>
    </row>
    <row r="52" ht="15.75" customHeight="1">
      <c r="L52" s="306"/>
    </row>
    <row r="53" ht="15.75" customHeight="1">
      <c r="L53" s="306"/>
    </row>
    <row r="54" ht="15.75" customHeight="1">
      <c r="L54" s="306"/>
    </row>
    <row r="55" ht="15.75" customHeight="1">
      <c r="L55" s="306"/>
    </row>
    <row r="56" ht="15.75" customHeight="1">
      <c r="L56" s="306"/>
    </row>
    <row r="57" ht="15.75" customHeight="1">
      <c r="L57" s="306"/>
    </row>
    <row r="58" ht="15.75" customHeight="1">
      <c r="L58" s="306"/>
    </row>
    <row r="59" ht="15.75" customHeight="1">
      <c r="L59" s="306"/>
    </row>
    <row r="60" ht="15.75" customHeight="1">
      <c r="L60" s="306"/>
    </row>
    <row r="61" ht="15.75" customHeight="1">
      <c r="L61" s="306"/>
    </row>
    <row r="62" ht="15.75" customHeight="1">
      <c r="L62" s="306"/>
    </row>
    <row r="63" ht="15.75" customHeight="1">
      <c r="L63" s="306"/>
    </row>
    <row r="64" ht="15.75" customHeight="1">
      <c r="L64" s="306"/>
    </row>
    <row r="65" ht="15.75" customHeight="1">
      <c r="L65" s="306"/>
    </row>
    <row r="66" ht="15.75" customHeight="1">
      <c r="L66" s="306"/>
    </row>
    <row r="67" ht="15.75" customHeight="1">
      <c r="L67" s="306"/>
    </row>
    <row r="68" ht="15.75" customHeight="1">
      <c r="L68" s="306"/>
    </row>
    <row r="69" ht="15.75" customHeight="1">
      <c r="L69" s="306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H6"/>
  </mergeCells>
  <dataValidations>
    <dataValidation type="list" allowBlank="1" showErrorMessage="1" sqref="E9">
      <formula1>$L$10:$L$69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6" width="9.0"/>
  </cols>
  <sheetData>
    <row r="1" ht="15.75" customHeight="1">
      <c r="G1" s="314"/>
    </row>
    <row r="2" ht="15.75" customHeight="1">
      <c r="G2" s="315" t="s">
        <v>420</v>
      </c>
    </row>
    <row r="3" ht="15.75" customHeight="1">
      <c r="A3" s="1"/>
      <c r="B3" s="1"/>
      <c r="C3" s="1"/>
      <c r="D3" s="1"/>
      <c r="E3" s="1"/>
      <c r="F3" s="1"/>
      <c r="G3" s="316">
        <v>46238.0</v>
      </c>
      <c r="H3" s="1"/>
    </row>
    <row r="4" ht="15.75" customHeight="1">
      <c r="A4" s="279"/>
      <c r="B4" s="279"/>
      <c r="C4" s="279"/>
      <c r="D4" s="279"/>
      <c r="E4" s="279"/>
      <c r="F4" s="279"/>
      <c r="G4" s="19"/>
      <c r="H4" s="279"/>
    </row>
    <row r="5" ht="4.5" customHeight="1">
      <c r="A5" s="279"/>
      <c r="B5" s="279"/>
      <c r="C5" s="279"/>
      <c r="D5" s="279"/>
      <c r="E5" s="279"/>
      <c r="F5" s="279"/>
      <c r="G5" s="19"/>
      <c r="H5" s="279"/>
    </row>
    <row r="6" ht="15.0" customHeight="1">
      <c r="A6" s="317" t="s">
        <v>424</v>
      </c>
      <c r="I6" s="1"/>
    </row>
    <row r="7" ht="4.5" customHeight="1">
      <c r="G7" s="314"/>
    </row>
    <row r="8" ht="15.0" customHeight="1">
      <c r="A8" s="303" t="s">
        <v>266</v>
      </c>
      <c r="B8" s="303"/>
      <c r="C8" s="303"/>
      <c r="D8" s="303"/>
      <c r="E8" s="303" t="s">
        <v>64</v>
      </c>
      <c r="F8" s="303"/>
      <c r="G8" s="318" t="s">
        <v>267</v>
      </c>
      <c r="H8" s="303"/>
      <c r="I8" s="304"/>
      <c r="J8" s="304"/>
      <c r="K8" s="304"/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</row>
    <row r="9" ht="15.0" customHeight="1">
      <c r="A9" s="319" t="s">
        <v>400</v>
      </c>
      <c r="B9" s="200"/>
      <c r="D9" s="200"/>
      <c r="E9" s="320">
        <v>1001.0</v>
      </c>
      <c r="F9" s="200"/>
      <c r="G9" s="320">
        <v>2034086.0</v>
      </c>
      <c r="H9" s="200"/>
    </row>
    <row r="10" ht="15.75" customHeight="1">
      <c r="G10" s="314"/>
    </row>
    <row r="11" ht="15.0" customHeight="1">
      <c r="A11" s="307" t="s">
        <v>422</v>
      </c>
      <c r="B11" s="308"/>
      <c r="C11" s="308"/>
      <c r="D11" s="308"/>
      <c r="E11" s="308"/>
      <c r="F11" s="308"/>
      <c r="G11" s="321" t="s">
        <v>423</v>
      </c>
      <c r="H11" s="309"/>
    </row>
    <row r="12" ht="15.75" customHeight="1">
      <c r="A12" s="205" t="s">
        <v>306</v>
      </c>
      <c r="C12" s="322"/>
      <c r="G12" s="323">
        <v>161.26964734628683</v>
      </c>
      <c r="H12" s="319"/>
    </row>
    <row r="13" ht="15.75" customHeight="1">
      <c r="A13" s="205" t="s">
        <v>312</v>
      </c>
      <c r="C13" s="324"/>
      <c r="G13" s="323">
        <v>-1049.8999999999999</v>
      </c>
      <c r="H13" s="319"/>
    </row>
    <row r="14" ht="15.75" customHeight="1">
      <c r="A14" s="325" t="s">
        <v>313</v>
      </c>
      <c r="B14" s="326"/>
      <c r="C14" s="327"/>
      <c r="D14" s="326"/>
      <c r="E14" s="1"/>
      <c r="F14" s="1"/>
      <c r="G14" s="328">
        <v>-1621.2299999999998</v>
      </c>
      <c r="H14" s="329"/>
    </row>
    <row r="15" ht="15.75" customHeight="1">
      <c r="A15" s="330" t="s">
        <v>315</v>
      </c>
      <c r="B15" s="331"/>
      <c r="C15" s="332"/>
      <c r="D15" s="331"/>
      <c r="E15" s="333"/>
      <c r="F15" s="334"/>
      <c r="G15" s="335">
        <v>0.004769299744111777</v>
      </c>
      <c r="H15" s="336"/>
    </row>
    <row r="16" ht="15.75" customHeight="1">
      <c r="A16" s="319"/>
      <c r="B16" s="1"/>
      <c r="C16" s="337"/>
      <c r="D16" s="1"/>
      <c r="E16" s="1"/>
      <c r="F16" s="1"/>
      <c r="G16" s="338"/>
    </row>
    <row r="17" ht="15.75" customHeight="1">
      <c r="A17" s="319"/>
      <c r="B17" s="1"/>
      <c r="C17" s="339"/>
      <c r="D17" s="1"/>
      <c r="E17" s="1"/>
      <c r="F17" s="1"/>
      <c r="G17" s="340"/>
    </row>
    <row r="18" ht="13.5" customHeight="1">
      <c r="A18" s="319"/>
      <c r="B18" s="1"/>
      <c r="C18" s="339"/>
      <c r="D18" s="1"/>
      <c r="E18" s="1"/>
      <c r="F18" s="1"/>
      <c r="G18" s="340"/>
    </row>
    <row r="19" ht="13.5" customHeight="1">
      <c r="A19" s="205" t="s">
        <v>425</v>
      </c>
      <c r="C19" s="341" t="s">
        <v>426</v>
      </c>
      <c r="G19" s="342"/>
    </row>
    <row r="20" ht="13.5" customHeight="1">
      <c r="A20" s="205"/>
      <c r="C20" s="322" t="s">
        <v>427</v>
      </c>
      <c r="G20" s="342"/>
    </row>
    <row r="21" ht="15.75" customHeight="1">
      <c r="A21" s="205"/>
      <c r="C21" s="322" t="s">
        <v>428</v>
      </c>
      <c r="G21" s="342"/>
    </row>
    <row r="22" ht="15.75" customHeight="1">
      <c r="A22" s="205"/>
      <c r="C22" s="322" t="s">
        <v>429</v>
      </c>
      <c r="G22" s="342"/>
    </row>
    <row r="23" ht="15.75" customHeight="1">
      <c r="A23" s="205"/>
      <c r="C23" s="324"/>
      <c r="G23" s="342"/>
    </row>
    <row r="24" ht="15.75" customHeight="1">
      <c r="A24" s="205"/>
      <c r="C24" s="324"/>
      <c r="G24" s="342"/>
    </row>
    <row r="25" ht="15.75" customHeight="1">
      <c r="A25" s="205"/>
      <c r="C25" s="322"/>
      <c r="G25" s="342"/>
      <c r="H25" s="319"/>
    </row>
    <row r="26" ht="15.75" customHeight="1">
      <c r="A26" s="205"/>
      <c r="C26" s="322"/>
      <c r="G26" s="342"/>
      <c r="H26" s="319"/>
    </row>
    <row r="27" ht="15.75" customHeight="1">
      <c r="A27" s="205"/>
      <c r="C27" s="322"/>
      <c r="G27" s="342"/>
      <c r="H27" s="319"/>
    </row>
    <row r="28" ht="15.75" customHeight="1">
      <c r="A28" s="205"/>
      <c r="C28" s="322"/>
      <c r="G28" s="342"/>
    </row>
    <row r="29" ht="15.75" customHeight="1">
      <c r="A29" s="205"/>
      <c r="C29" s="324"/>
      <c r="G29" s="342"/>
    </row>
    <row r="30" ht="15.75" customHeight="1">
      <c r="A30" s="205"/>
      <c r="C30" s="324"/>
      <c r="G30" s="342"/>
      <c r="I30" s="343"/>
    </row>
    <row r="31" ht="15.75" customHeight="1">
      <c r="A31" s="205"/>
      <c r="C31" s="322"/>
      <c r="G31" s="342"/>
      <c r="H31" s="205"/>
    </row>
    <row r="32" ht="15.75" customHeight="1">
      <c r="A32" s="205"/>
      <c r="C32" s="322"/>
      <c r="F32" s="205"/>
      <c r="G32" s="342"/>
      <c r="H32" s="205"/>
    </row>
    <row r="33" ht="15.75" customHeight="1">
      <c r="A33" s="205"/>
      <c r="C33" s="322"/>
      <c r="G33" s="342"/>
    </row>
    <row r="34" ht="15.75" customHeight="1">
      <c r="A34" s="205"/>
      <c r="C34" s="322"/>
      <c r="G34" s="344"/>
    </row>
    <row r="35" ht="15.75" customHeight="1">
      <c r="A35" s="205"/>
      <c r="C35" s="322"/>
      <c r="G35" s="344"/>
    </row>
    <row r="36" ht="15.75" customHeight="1">
      <c r="C36" s="322"/>
      <c r="G36" s="344"/>
    </row>
    <row r="37" ht="15.75" customHeight="1">
      <c r="C37" s="322"/>
      <c r="G37" s="344"/>
    </row>
    <row r="38" ht="15.75" customHeight="1">
      <c r="C38" s="322"/>
      <c r="G38" s="344"/>
    </row>
    <row r="39" ht="15.75" customHeight="1">
      <c r="C39" s="324"/>
      <c r="G39" s="344"/>
    </row>
    <row r="40" ht="15.75" customHeight="1">
      <c r="C40" s="324"/>
      <c r="G40" s="344"/>
    </row>
    <row r="41" ht="15.75" customHeight="1">
      <c r="A41" s="325"/>
      <c r="B41" s="326"/>
      <c r="C41" s="339"/>
      <c r="D41" s="326"/>
      <c r="E41" s="1"/>
      <c r="F41" s="1"/>
      <c r="G41" s="345"/>
    </row>
    <row r="42" ht="15.75" customHeight="1">
      <c r="A42" s="346"/>
      <c r="B42" s="326"/>
      <c r="C42" s="339"/>
      <c r="D42" s="326"/>
      <c r="E42" s="1"/>
      <c r="F42" s="1"/>
      <c r="G42" s="345"/>
    </row>
    <row r="43" ht="15.75" customHeight="1">
      <c r="A43" s="346"/>
      <c r="B43" s="326"/>
      <c r="C43" s="339"/>
      <c r="D43" s="326"/>
      <c r="E43" s="1"/>
      <c r="F43" s="1"/>
      <c r="G43" s="345"/>
    </row>
    <row r="44" ht="15.75" customHeight="1">
      <c r="A44" s="346"/>
      <c r="B44" s="326"/>
      <c r="C44" s="339"/>
      <c r="D44" s="326"/>
      <c r="E44" s="1"/>
      <c r="F44" s="1"/>
      <c r="G44" s="345"/>
    </row>
    <row r="45" ht="15.75" customHeight="1">
      <c r="A45" s="346"/>
      <c r="B45" s="326"/>
      <c r="C45" s="327"/>
      <c r="D45" s="326"/>
      <c r="E45" s="1"/>
      <c r="F45" s="1"/>
      <c r="G45" s="345"/>
    </row>
    <row r="46" ht="15.75" customHeight="1">
      <c r="A46" s="346"/>
      <c r="B46" s="326"/>
      <c r="C46" s="327"/>
      <c r="D46" s="326"/>
      <c r="E46" s="1"/>
      <c r="F46" s="1"/>
      <c r="G46" s="57"/>
    </row>
    <row r="47" ht="15.75" customHeight="1">
      <c r="A47" s="346"/>
      <c r="B47" s="326"/>
      <c r="C47" s="327"/>
      <c r="D47" s="326"/>
      <c r="E47" s="1"/>
      <c r="F47" s="1"/>
      <c r="G47" s="57"/>
    </row>
    <row r="48" ht="15.75" customHeight="1">
      <c r="A48" s="346"/>
      <c r="B48" s="326"/>
      <c r="C48" s="327"/>
      <c r="D48" s="326"/>
      <c r="E48" s="1"/>
      <c r="F48" s="1"/>
      <c r="G48" s="57"/>
    </row>
    <row r="49" ht="15.75" customHeight="1">
      <c r="A49" s="346"/>
      <c r="B49" s="326"/>
      <c r="C49" s="327"/>
      <c r="D49" s="326"/>
      <c r="E49" s="1"/>
      <c r="F49" s="1"/>
      <c r="G49" s="57"/>
    </row>
    <row r="50" ht="15.75" customHeight="1">
      <c r="A50" s="346"/>
      <c r="B50" s="326"/>
      <c r="C50" s="327"/>
      <c r="D50" s="326"/>
      <c r="E50" s="1"/>
      <c r="F50" s="1"/>
      <c r="G50" s="57"/>
    </row>
    <row r="51" ht="15.75" customHeight="1">
      <c r="A51" s="346"/>
      <c r="B51" s="326"/>
      <c r="C51" s="326"/>
      <c r="D51" s="326"/>
      <c r="E51" s="1"/>
      <c r="F51" s="1"/>
      <c r="G51" s="57"/>
    </row>
    <row r="52" ht="15.75" customHeight="1">
      <c r="A52" s="346"/>
      <c r="B52" s="326"/>
      <c r="C52" s="326"/>
      <c r="D52" s="326"/>
      <c r="E52" s="1"/>
      <c r="F52" s="1"/>
      <c r="G52" s="57"/>
    </row>
    <row r="53" ht="15.75" customHeight="1">
      <c r="A53" s="346"/>
      <c r="B53" s="326"/>
      <c r="C53" s="326"/>
      <c r="D53" s="326"/>
      <c r="E53" s="1"/>
      <c r="F53" s="1"/>
      <c r="G53" s="57"/>
    </row>
    <row r="54" ht="15.75" customHeight="1">
      <c r="A54" s="346"/>
      <c r="B54" s="326"/>
      <c r="C54" s="326"/>
      <c r="D54" s="326"/>
      <c r="E54" s="1"/>
      <c r="F54" s="1"/>
      <c r="G54" s="57"/>
    </row>
    <row r="55" ht="15.75" customHeight="1">
      <c r="A55" s="346"/>
      <c r="B55" s="326"/>
      <c r="C55" s="326"/>
      <c r="D55" s="326"/>
      <c r="E55" s="1"/>
      <c r="F55" s="1"/>
      <c r="G55" s="57"/>
    </row>
    <row r="56" ht="15.75" customHeight="1">
      <c r="A56" s="346"/>
      <c r="B56" s="326"/>
      <c r="C56" s="326"/>
      <c r="D56" s="326"/>
      <c r="E56" s="1"/>
      <c r="F56" s="1"/>
      <c r="G56" s="57"/>
    </row>
    <row r="57" ht="15.75" customHeight="1">
      <c r="A57" s="346"/>
      <c r="B57" s="326"/>
      <c r="C57" s="326"/>
      <c r="D57" s="326"/>
      <c r="E57" s="1"/>
      <c r="F57" s="1"/>
      <c r="G57" s="57"/>
    </row>
    <row r="58" ht="15.75" customHeight="1">
      <c r="A58" s="346"/>
      <c r="B58" s="326"/>
      <c r="C58" s="326"/>
      <c r="D58" s="326"/>
      <c r="E58" s="1"/>
      <c r="F58" s="1"/>
      <c r="G58" s="57"/>
    </row>
    <row r="59" ht="15.75" customHeight="1">
      <c r="A59" s="346"/>
      <c r="B59" s="326"/>
      <c r="C59" s="326"/>
      <c r="D59" s="326"/>
      <c r="E59" s="1"/>
      <c r="F59" s="1"/>
      <c r="G59" s="57"/>
    </row>
    <row r="60" ht="15.75" customHeight="1">
      <c r="A60" s="346"/>
      <c r="B60" s="326"/>
      <c r="C60" s="326"/>
      <c r="D60" s="326"/>
      <c r="E60" s="1"/>
      <c r="F60" s="1"/>
      <c r="G60" s="57"/>
    </row>
    <row r="61" ht="15.75" customHeight="1">
      <c r="A61" s="347"/>
      <c r="G61" s="314"/>
    </row>
    <row r="62" ht="15.75" customHeight="1">
      <c r="A62" s="347"/>
      <c r="G62" s="314"/>
    </row>
    <row r="63" ht="15.75" customHeight="1">
      <c r="A63" s="347"/>
      <c r="G63" s="314"/>
    </row>
    <row r="64" ht="15.75" customHeight="1">
      <c r="A64" s="347"/>
      <c r="G64" s="314"/>
    </row>
    <row r="65" ht="15.75" customHeight="1">
      <c r="A65" s="347"/>
      <c r="G65" s="314"/>
    </row>
    <row r="66" ht="15.75" customHeight="1">
      <c r="A66" s="347"/>
      <c r="G66" s="314"/>
    </row>
    <row r="67" ht="15.75" customHeight="1">
      <c r="A67" s="347"/>
      <c r="G67" s="314"/>
    </row>
    <row r="68" ht="15.75" customHeight="1">
      <c r="A68" s="347"/>
      <c r="G68" s="314"/>
    </row>
    <row r="69" ht="15.75" customHeight="1">
      <c r="A69" s="347"/>
      <c r="G69" s="314"/>
    </row>
    <row r="70" ht="15.75" customHeight="1">
      <c r="A70" s="347"/>
      <c r="G70" s="314"/>
    </row>
    <row r="71" ht="15.75" customHeight="1">
      <c r="A71" s="347"/>
      <c r="G71" s="314"/>
    </row>
    <row r="72" ht="15.75" customHeight="1">
      <c r="A72" s="347"/>
      <c r="G72" s="314"/>
    </row>
    <row r="73" ht="15.75" customHeight="1">
      <c r="A73" s="347"/>
      <c r="G73" s="314"/>
    </row>
    <row r="74" ht="15.75" customHeight="1">
      <c r="A74" s="347"/>
      <c r="G74" s="314"/>
    </row>
    <row r="75" ht="15.75" customHeight="1">
      <c r="A75" s="347"/>
      <c r="G75" s="314"/>
    </row>
    <row r="76" ht="15.75" customHeight="1">
      <c r="A76" s="347"/>
      <c r="G76" s="314"/>
    </row>
    <row r="77" ht="15.75" customHeight="1">
      <c r="A77" s="347"/>
      <c r="G77" s="314"/>
    </row>
    <row r="78" ht="15.75" customHeight="1">
      <c r="A78" s="347"/>
      <c r="G78" s="314"/>
    </row>
    <row r="79" ht="15.75" customHeight="1">
      <c r="A79" s="347"/>
      <c r="G79" s="314"/>
    </row>
    <row r="80" ht="15.75" customHeight="1">
      <c r="A80" s="347"/>
      <c r="G80" s="314"/>
    </row>
    <row r="81" ht="15.75" customHeight="1">
      <c r="A81" s="347"/>
      <c r="G81" s="314"/>
    </row>
    <row r="82" ht="15.75" customHeight="1">
      <c r="A82" s="347"/>
      <c r="G82" s="314"/>
    </row>
    <row r="83" ht="15.75" customHeight="1">
      <c r="A83" s="347"/>
      <c r="G83" s="314"/>
    </row>
    <row r="84" ht="15.75" customHeight="1">
      <c r="A84" s="347"/>
      <c r="G84" s="314"/>
    </row>
    <row r="85" ht="15.75" customHeight="1">
      <c r="A85" s="347"/>
      <c r="G85" s="314"/>
    </row>
    <row r="86" ht="15.75" customHeight="1">
      <c r="A86" s="347"/>
      <c r="G86" s="314"/>
    </row>
    <row r="87" ht="15.75" customHeight="1">
      <c r="A87" s="347"/>
      <c r="G87" s="314"/>
    </row>
    <row r="88" ht="15.75" customHeight="1">
      <c r="A88" s="347"/>
      <c r="G88" s="314"/>
    </row>
    <row r="89" ht="15.75" customHeight="1">
      <c r="A89" s="347"/>
      <c r="G89" s="314"/>
    </row>
    <row r="90" ht="15.75" customHeight="1">
      <c r="A90" s="347"/>
      <c r="G90" s="314"/>
    </row>
    <row r="91" ht="15.75" customHeight="1">
      <c r="A91" s="347"/>
      <c r="G91" s="314"/>
    </row>
    <row r="92" ht="15.75" customHeight="1">
      <c r="A92" s="347"/>
      <c r="G92" s="314"/>
    </row>
    <row r="93" ht="15.75" customHeight="1">
      <c r="A93" s="347"/>
      <c r="G93" s="314"/>
    </row>
    <row r="94" ht="15.75" customHeight="1">
      <c r="A94" s="347"/>
      <c r="G94" s="314"/>
    </row>
    <row r="95" ht="15.75" customHeight="1">
      <c r="A95" s="347"/>
      <c r="G95" s="314"/>
    </row>
    <row r="96" ht="15.75" customHeight="1">
      <c r="A96" s="347"/>
      <c r="G96" s="314"/>
    </row>
    <row r="97" ht="15.75" customHeight="1">
      <c r="A97" s="347"/>
      <c r="G97" s="314"/>
    </row>
    <row r="98" ht="15.75" customHeight="1">
      <c r="A98" s="347"/>
      <c r="G98" s="314"/>
    </row>
    <row r="99" ht="15.75" customHeight="1">
      <c r="A99" s="347"/>
      <c r="G99" s="314"/>
    </row>
    <row r="100" ht="15.75" customHeight="1">
      <c r="A100" s="347"/>
      <c r="G100" s="314"/>
    </row>
    <row r="101" ht="15.75" customHeight="1">
      <c r="A101" s="347"/>
      <c r="G101" s="314"/>
    </row>
    <row r="102" ht="15.75" customHeight="1">
      <c r="A102" s="347"/>
      <c r="G102" s="314"/>
    </row>
    <row r="103" ht="15.75" customHeight="1">
      <c r="A103" s="347"/>
      <c r="G103" s="314"/>
    </row>
    <row r="104" ht="15.75" customHeight="1">
      <c r="A104" s="347"/>
      <c r="G104" s="314"/>
    </row>
    <row r="105" ht="15.75" customHeight="1">
      <c r="A105" s="347"/>
      <c r="G105" s="314"/>
    </row>
    <row r="106" ht="15.75" customHeight="1">
      <c r="A106" s="347"/>
      <c r="G106" s="314"/>
    </row>
    <row r="107" ht="15.75" customHeight="1">
      <c r="A107" s="347"/>
      <c r="G107" s="314"/>
    </row>
    <row r="108" ht="15.75" customHeight="1">
      <c r="A108" s="347"/>
      <c r="G108" s="314"/>
    </row>
    <row r="109" ht="15.75" customHeight="1">
      <c r="A109" s="347"/>
      <c r="G109" s="314"/>
    </row>
    <row r="110" ht="15.75" customHeight="1">
      <c r="A110" s="347"/>
      <c r="G110" s="314"/>
    </row>
    <row r="111" ht="15.75" customHeight="1">
      <c r="A111" s="347"/>
      <c r="G111" s="314"/>
    </row>
    <row r="112" ht="15.75" customHeight="1">
      <c r="A112" s="347"/>
      <c r="G112" s="314"/>
    </row>
    <row r="113" ht="15.75" customHeight="1">
      <c r="A113" s="347"/>
      <c r="G113" s="314"/>
    </row>
    <row r="114" ht="15.75" customHeight="1">
      <c r="A114" s="347"/>
      <c r="G114" s="314"/>
    </row>
    <row r="115" ht="15.75" customHeight="1">
      <c r="A115" s="347"/>
      <c r="G115" s="314"/>
    </row>
    <row r="116" ht="15.75" customHeight="1">
      <c r="A116" s="347"/>
      <c r="G116" s="314"/>
    </row>
    <row r="117" ht="15.75" customHeight="1">
      <c r="A117" s="347"/>
      <c r="G117" s="314"/>
    </row>
    <row r="118" ht="15.75" customHeight="1">
      <c r="A118" s="347"/>
      <c r="G118" s="314"/>
    </row>
    <row r="119" ht="15.75" customHeight="1">
      <c r="A119" s="347"/>
      <c r="G119" s="314"/>
    </row>
    <row r="120" ht="15.75" customHeight="1">
      <c r="A120" s="347"/>
      <c r="G120" s="314"/>
    </row>
    <row r="121" ht="15.75" customHeight="1">
      <c r="A121" s="347"/>
      <c r="G121" s="314"/>
    </row>
    <row r="122" ht="15.75" customHeight="1">
      <c r="A122" s="347"/>
      <c r="G122" s="314"/>
    </row>
    <row r="123" ht="15.75" customHeight="1">
      <c r="A123" s="347"/>
      <c r="G123" s="314"/>
    </row>
    <row r="124" ht="15.75" customHeight="1">
      <c r="A124" s="347"/>
      <c r="G124" s="314"/>
    </row>
    <row r="125" ht="15.75" customHeight="1">
      <c r="A125" s="347"/>
      <c r="G125" s="314"/>
    </row>
    <row r="126" ht="15.75" customHeight="1">
      <c r="A126" s="347"/>
      <c r="G126" s="314"/>
    </row>
    <row r="127" ht="15.75" customHeight="1">
      <c r="A127" s="347"/>
      <c r="G127" s="314"/>
    </row>
    <row r="128" ht="15.75" customHeight="1">
      <c r="A128" s="347"/>
      <c r="G128" s="314"/>
    </row>
    <row r="129" ht="15.75" customHeight="1">
      <c r="A129" s="347"/>
      <c r="G129" s="314"/>
    </row>
    <row r="130" ht="15.75" customHeight="1">
      <c r="A130" s="347"/>
      <c r="G130" s="314"/>
    </row>
    <row r="131" ht="15.75" customHeight="1">
      <c r="A131" s="347"/>
      <c r="G131" s="314"/>
    </row>
    <row r="132" ht="15.75" customHeight="1">
      <c r="A132" s="347"/>
      <c r="G132" s="314"/>
    </row>
    <row r="133" ht="15.75" customHeight="1">
      <c r="A133" s="347"/>
      <c r="G133" s="314"/>
    </row>
    <row r="134" ht="15.75" customHeight="1">
      <c r="A134" s="347"/>
      <c r="G134" s="314"/>
    </row>
    <row r="135" ht="15.75" customHeight="1">
      <c r="A135" s="347"/>
      <c r="G135" s="314"/>
    </row>
    <row r="136" ht="15.75" customHeight="1">
      <c r="A136" s="347"/>
      <c r="G136" s="314"/>
    </row>
    <row r="137" ht="15.75" customHeight="1">
      <c r="A137" s="347"/>
      <c r="G137" s="314"/>
    </row>
    <row r="138" ht="15.75" customHeight="1">
      <c r="A138" s="347"/>
      <c r="G138" s="314"/>
    </row>
    <row r="139" ht="15.75" customHeight="1">
      <c r="A139" s="347"/>
      <c r="G139" s="314"/>
    </row>
    <row r="140" ht="15.75" customHeight="1">
      <c r="A140" s="347"/>
      <c r="G140" s="314"/>
    </row>
    <row r="141" ht="15.75" customHeight="1">
      <c r="A141" s="347"/>
      <c r="G141" s="314"/>
    </row>
    <row r="142" ht="15.75" customHeight="1">
      <c r="A142" s="347"/>
      <c r="G142" s="314"/>
    </row>
    <row r="143" ht="15.75" customHeight="1">
      <c r="A143" s="347"/>
      <c r="G143" s="314"/>
    </row>
    <row r="144" ht="15.75" customHeight="1">
      <c r="A144" s="347"/>
      <c r="G144" s="314"/>
    </row>
    <row r="145" ht="15.75" customHeight="1">
      <c r="A145" s="347"/>
      <c r="G145" s="314"/>
    </row>
    <row r="146" ht="15.75" customHeight="1">
      <c r="A146" s="347"/>
      <c r="G146" s="314"/>
    </row>
    <row r="147" ht="15.75" customHeight="1">
      <c r="A147" s="347"/>
      <c r="G147" s="314"/>
    </row>
    <row r="148" ht="15.75" customHeight="1">
      <c r="A148" s="347"/>
      <c r="G148" s="314"/>
    </row>
    <row r="149" ht="15.75" customHeight="1">
      <c r="A149" s="347"/>
      <c r="G149" s="314"/>
    </row>
    <row r="150" ht="15.75" customHeight="1">
      <c r="A150" s="347"/>
      <c r="G150" s="314"/>
    </row>
    <row r="151" ht="15.75" customHeight="1">
      <c r="A151" s="347"/>
      <c r="G151" s="314"/>
    </row>
    <row r="152" ht="15.75" customHeight="1">
      <c r="A152" s="347"/>
      <c r="G152" s="314"/>
    </row>
    <row r="153" ht="15.75" customHeight="1">
      <c r="A153" s="347"/>
      <c r="G153" s="314"/>
    </row>
    <row r="154" ht="15.75" customHeight="1">
      <c r="A154" s="347"/>
      <c r="G154" s="314"/>
    </row>
    <row r="155" ht="15.75" customHeight="1">
      <c r="A155" s="347"/>
      <c r="G155" s="314"/>
    </row>
    <row r="156" ht="15.75" customHeight="1">
      <c r="A156" s="347"/>
      <c r="G156" s="314"/>
    </row>
    <row r="157" ht="15.75" customHeight="1">
      <c r="A157" s="347"/>
      <c r="G157" s="314"/>
    </row>
    <row r="158" ht="15.75" customHeight="1">
      <c r="A158" s="347"/>
      <c r="G158" s="314"/>
    </row>
    <row r="159" ht="15.75" customHeight="1">
      <c r="A159" s="347"/>
      <c r="G159" s="314"/>
    </row>
    <row r="160" ht="15.75" customHeight="1">
      <c r="A160" s="347"/>
      <c r="G160" s="314"/>
    </row>
    <row r="161" ht="15.75" customHeight="1">
      <c r="A161" s="347"/>
      <c r="G161" s="314"/>
    </row>
    <row r="162" ht="15.75" customHeight="1">
      <c r="A162" s="347"/>
      <c r="G162" s="314"/>
    </row>
    <row r="163" ht="15.75" customHeight="1">
      <c r="A163" s="347"/>
      <c r="G163" s="314"/>
    </row>
    <row r="164" ht="15.75" customHeight="1">
      <c r="A164" s="347"/>
      <c r="G164" s="314"/>
    </row>
    <row r="165" ht="15.75" customHeight="1">
      <c r="A165" s="347"/>
      <c r="G165" s="314"/>
    </row>
    <row r="166" ht="15.75" customHeight="1">
      <c r="A166" s="347"/>
      <c r="G166" s="314"/>
    </row>
    <row r="167" ht="15.75" customHeight="1">
      <c r="A167" s="347"/>
      <c r="G167" s="314"/>
    </row>
    <row r="168" ht="15.75" customHeight="1">
      <c r="A168" s="347"/>
      <c r="G168" s="314"/>
    </row>
    <row r="169" ht="15.75" customHeight="1">
      <c r="A169" s="347"/>
      <c r="G169" s="314"/>
    </row>
    <row r="170" ht="15.75" customHeight="1">
      <c r="A170" s="347"/>
      <c r="G170" s="314"/>
    </row>
    <row r="171" ht="15.75" customHeight="1">
      <c r="A171" s="347"/>
      <c r="G171" s="314"/>
    </row>
    <row r="172" ht="15.75" customHeight="1">
      <c r="A172" s="347"/>
      <c r="G172" s="314"/>
    </row>
    <row r="173" ht="15.75" customHeight="1">
      <c r="A173" s="347"/>
      <c r="G173" s="314"/>
    </row>
    <row r="174" ht="15.75" customHeight="1">
      <c r="A174" s="347"/>
      <c r="G174" s="314"/>
    </row>
    <row r="175" ht="15.75" customHeight="1">
      <c r="A175" s="347"/>
      <c r="G175" s="314"/>
    </row>
    <row r="176" ht="15.75" customHeight="1">
      <c r="A176" s="347"/>
      <c r="G176" s="314"/>
    </row>
    <row r="177" ht="15.75" customHeight="1">
      <c r="A177" s="347"/>
      <c r="G177" s="314"/>
    </row>
    <row r="178" ht="15.75" customHeight="1">
      <c r="A178" s="347"/>
      <c r="G178" s="314"/>
    </row>
    <row r="179" ht="15.75" customHeight="1">
      <c r="A179" s="347"/>
      <c r="G179" s="314"/>
    </row>
    <row r="180" ht="15.75" customHeight="1">
      <c r="A180" s="347"/>
      <c r="G180" s="314"/>
    </row>
    <row r="181" ht="15.75" customHeight="1">
      <c r="A181" s="347"/>
      <c r="G181" s="314"/>
    </row>
    <row r="182" ht="15.75" customHeight="1">
      <c r="A182" s="347"/>
      <c r="G182" s="314"/>
    </row>
    <row r="183" ht="15.75" customHeight="1">
      <c r="A183" s="347"/>
      <c r="G183" s="314"/>
    </row>
    <row r="184" ht="15.75" customHeight="1">
      <c r="A184" s="347"/>
      <c r="G184" s="314"/>
    </row>
    <row r="185" ht="15.75" customHeight="1">
      <c r="A185" s="347"/>
      <c r="G185" s="314"/>
    </row>
    <row r="186" ht="15.75" customHeight="1">
      <c r="A186" s="347"/>
      <c r="G186" s="314"/>
    </row>
    <row r="187" ht="15.75" customHeight="1">
      <c r="A187" s="347"/>
      <c r="G187" s="314"/>
    </row>
    <row r="188" ht="15.75" customHeight="1">
      <c r="A188" s="347"/>
      <c r="G188" s="314"/>
    </row>
    <row r="189" ht="15.75" customHeight="1">
      <c r="A189" s="347"/>
      <c r="G189" s="314"/>
    </row>
    <row r="190" ht="15.75" customHeight="1">
      <c r="A190" s="347"/>
      <c r="G190" s="314"/>
    </row>
    <row r="191" ht="15.75" customHeight="1">
      <c r="A191" s="347"/>
      <c r="G191" s="314"/>
    </row>
    <row r="192" ht="15.75" customHeight="1">
      <c r="A192" s="347"/>
      <c r="G192" s="314"/>
    </row>
    <row r="193" ht="15.75" customHeight="1">
      <c r="A193" s="347"/>
      <c r="G193" s="314"/>
    </row>
    <row r="194" ht="15.75" customHeight="1">
      <c r="A194" s="347"/>
      <c r="G194" s="314"/>
    </row>
    <row r="195" ht="15.75" customHeight="1">
      <c r="A195" s="347"/>
      <c r="G195" s="314"/>
    </row>
    <row r="196" ht="15.75" customHeight="1">
      <c r="A196" s="347"/>
      <c r="G196" s="314"/>
    </row>
    <row r="197" ht="15.75" customHeight="1">
      <c r="A197" s="347"/>
      <c r="G197" s="314"/>
    </row>
    <row r="198" ht="15.75" customHeight="1">
      <c r="A198" s="347"/>
      <c r="G198" s="314"/>
    </row>
    <row r="199" ht="15.75" customHeight="1">
      <c r="A199" s="347"/>
      <c r="G199" s="314"/>
    </row>
    <row r="200" ht="15.75" customHeight="1">
      <c r="A200" s="347"/>
      <c r="G200" s="314"/>
    </row>
    <row r="201" ht="15.75" customHeight="1">
      <c r="A201" s="347"/>
      <c r="G201" s="314"/>
    </row>
    <row r="202" ht="15.75" customHeight="1">
      <c r="A202" s="347"/>
      <c r="G202" s="314"/>
    </row>
    <row r="203" ht="15.75" customHeight="1">
      <c r="A203" s="347"/>
      <c r="G203" s="314"/>
    </row>
    <row r="204" ht="15.75" customHeight="1">
      <c r="A204" s="347"/>
      <c r="G204" s="314"/>
    </row>
    <row r="205" ht="15.75" customHeight="1">
      <c r="A205" s="347"/>
      <c r="G205" s="314"/>
    </row>
    <row r="206" ht="15.75" customHeight="1">
      <c r="A206" s="347"/>
      <c r="G206" s="314"/>
    </row>
    <row r="207" ht="15.75" customHeight="1">
      <c r="A207" s="347"/>
      <c r="G207" s="314"/>
    </row>
    <row r="208" ht="15.75" customHeight="1">
      <c r="A208" s="347"/>
      <c r="G208" s="314"/>
    </row>
    <row r="209" ht="15.75" customHeight="1">
      <c r="A209" s="347"/>
      <c r="G209" s="314"/>
    </row>
    <row r="210" ht="15.75" customHeight="1">
      <c r="A210" s="347"/>
      <c r="G210" s="314"/>
    </row>
    <row r="211" ht="15.75" customHeight="1">
      <c r="A211" s="347"/>
      <c r="G211" s="314"/>
    </row>
    <row r="212" ht="15.75" customHeight="1">
      <c r="A212" s="347"/>
      <c r="G212" s="314"/>
    </row>
    <row r="213" ht="15.75" customHeight="1">
      <c r="A213" s="347"/>
      <c r="G213" s="314"/>
    </row>
    <row r="214" ht="15.75" customHeight="1">
      <c r="A214" s="347"/>
      <c r="G214" s="314"/>
    </row>
    <row r="215" ht="15.75" customHeight="1">
      <c r="A215" s="347"/>
      <c r="G215" s="314"/>
    </row>
    <row r="216" ht="15.75" customHeight="1">
      <c r="A216" s="347"/>
      <c r="G216" s="314"/>
    </row>
    <row r="217" ht="15.75" customHeight="1">
      <c r="A217" s="347"/>
      <c r="G217" s="314"/>
    </row>
    <row r="218" ht="15.75" customHeight="1">
      <c r="A218" s="347"/>
      <c r="G218" s="314"/>
    </row>
    <row r="219" ht="15.75" customHeight="1">
      <c r="A219" s="347"/>
      <c r="G219" s="314"/>
    </row>
    <row r="220" ht="15.75" customHeight="1">
      <c r="A220" s="347"/>
      <c r="G220" s="314"/>
    </row>
    <row r="221" ht="15.75" customHeight="1">
      <c r="A221" s="347"/>
      <c r="G221" s="314"/>
    </row>
    <row r="222" ht="15.75" customHeight="1">
      <c r="A222" s="347"/>
      <c r="G222" s="314"/>
    </row>
    <row r="223" ht="15.75" customHeight="1">
      <c r="A223" s="347"/>
      <c r="G223" s="314"/>
    </row>
    <row r="224" ht="15.75" customHeight="1">
      <c r="A224" s="347"/>
      <c r="G224" s="314"/>
    </row>
    <row r="225" ht="15.75" customHeight="1">
      <c r="A225" s="347"/>
      <c r="G225" s="314"/>
    </row>
    <row r="226" ht="15.75" customHeight="1">
      <c r="A226" s="347"/>
      <c r="G226" s="314"/>
    </row>
    <row r="227" ht="15.75" customHeight="1">
      <c r="A227" s="347"/>
      <c r="G227" s="314"/>
    </row>
    <row r="228" ht="15.75" customHeight="1">
      <c r="A228" s="347"/>
      <c r="G228" s="314"/>
    </row>
    <row r="229" ht="15.75" customHeight="1">
      <c r="A229" s="347"/>
      <c r="G229" s="314"/>
    </row>
    <row r="230" ht="15.75" customHeight="1">
      <c r="A230" s="347"/>
      <c r="G230" s="314"/>
    </row>
    <row r="231" ht="15.75" customHeight="1">
      <c r="A231" s="347"/>
      <c r="G231" s="314"/>
    </row>
    <row r="232" ht="15.75" customHeight="1">
      <c r="A232" s="347"/>
      <c r="G232" s="314"/>
    </row>
    <row r="233" ht="15.75" customHeight="1">
      <c r="A233" s="347"/>
      <c r="G233" s="314"/>
    </row>
    <row r="234" ht="15.75" customHeight="1">
      <c r="A234" s="347"/>
      <c r="G234" s="314"/>
    </row>
    <row r="235" ht="15.75" customHeight="1">
      <c r="A235" s="347"/>
      <c r="G235" s="314"/>
    </row>
    <row r="236" ht="15.75" customHeight="1">
      <c r="A236" s="347"/>
      <c r="G236" s="314"/>
    </row>
    <row r="237" ht="15.75" customHeight="1">
      <c r="A237" s="347"/>
      <c r="G237" s="314"/>
    </row>
    <row r="238" ht="15.75" customHeight="1">
      <c r="A238" s="347"/>
      <c r="G238" s="314"/>
    </row>
    <row r="239" ht="15.75" customHeight="1">
      <c r="A239" s="347"/>
      <c r="G239" s="314"/>
    </row>
    <row r="240" ht="15.75" customHeight="1">
      <c r="A240" s="347"/>
      <c r="G240" s="314"/>
    </row>
    <row r="241" ht="15.75" customHeight="1">
      <c r="A241" s="347"/>
      <c r="G241" s="314"/>
    </row>
    <row r="242" ht="15.75" customHeight="1">
      <c r="A242" s="347"/>
      <c r="G242" s="314"/>
    </row>
    <row r="243" ht="15.75" customHeight="1">
      <c r="A243" s="347"/>
      <c r="G243" s="314"/>
    </row>
    <row r="244" ht="15.75" customHeight="1">
      <c r="A244" s="347"/>
      <c r="G244" s="314"/>
    </row>
    <row r="245" ht="15.75" customHeight="1">
      <c r="A245" s="347"/>
      <c r="G245" s="314"/>
    </row>
    <row r="246" ht="15.75" customHeight="1">
      <c r="A246" s="347"/>
      <c r="G246" s="314"/>
    </row>
    <row r="247" ht="15.75" customHeight="1">
      <c r="A247" s="347"/>
      <c r="G247" s="314"/>
    </row>
    <row r="248" ht="15.75" customHeight="1">
      <c r="A248" s="347"/>
      <c r="G248" s="314"/>
    </row>
    <row r="249" ht="15.75" customHeight="1">
      <c r="A249" s="347"/>
      <c r="G249" s="314"/>
    </row>
    <row r="250" ht="15.75" customHeight="1">
      <c r="A250" s="347"/>
      <c r="G250" s="314"/>
    </row>
    <row r="251" ht="15.75" customHeight="1">
      <c r="A251" s="347"/>
      <c r="G251" s="314"/>
    </row>
    <row r="252" ht="15.75" customHeight="1">
      <c r="A252" s="347"/>
      <c r="G252" s="314"/>
    </row>
    <row r="253" ht="15.75" customHeight="1">
      <c r="A253" s="347"/>
      <c r="G253" s="314"/>
    </row>
    <row r="254" ht="15.75" customHeight="1">
      <c r="A254" s="347"/>
      <c r="G254" s="314"/>
    </row>
    <row r="255" ht="15.75" customHeight="1">
      <c r="A255" s="347"/>
      <c r="G255" s="314"/>
    </row>
    <row r="256" ht="15.75" customHeight="1">
      <c r="A256" s="347"/>
      <c r="G256" s="314"/>
    </row>
    <row r="257" ht="15.75" customHeight="1">
      <c r="A257" s="347"/>
      <c r="G257" s="314"/>
    </row>
    <row r="258" ht="15.75" customHeight="1">
      <c r="A258" s="347"/>
      <c r="G258" s="314"/>
    </row>
    <row r="259" ht="15.75" customHeight="1">
      <c r="A259" s="347"/>
      <c r="G259" s="314"/>
    </row>
    <row r="260" ht="15.75" customHeight="1">
      <c r="A260" s="347"/>
      <c r="G260" s="314"/>
    </row>
    <row r="261" ht="15.75" customHeight="1">
      <c r="A261" s="347"/>
      <c r="G261" s="314"/>
    </row>
    <row r="262" ht="15.75" customHeight="1">
      <c r="A262" s="347"/>
      <c r="G262" s="314"/>
    </row>
    <row r="263" ht="15.75" customHeight="1">
      <c r="A263" s="347"/>
      <c r="G263" s="314"/>
    </row>
    <row r="264" ht="15.75" customHeight="1">
      <c r="A264" s="347"/>
      <c r="G264" s="314"/>
    </row>
    <row r="265" ht="15.75" customHeight="1">
      <c r="A265" s="347"/>
      <c r="G265" s="314"/>
    </row>
    <row r="266" ht="15.75" customHeight="1">
      <c r="A266" s="347"/>
      <c r="G266" s="314"/>
    </row>
    <row r="267" ht="15.75" customHeight="1">
      <c r="A267" s="347"/>
      <c r="G267" s="314"/>
    </row>
    <row r="268" ht="15.75" customHeight="1">
      <c r="A268" s="347"/>
      <c r="G268" s="314"/>
    </row>
    <row r="269" ht="15.75" customHeight="1">
      <c r="A269" s="347"/>
      <c r="G269" s="314"/>
    </row>
    <row r="270" ht="15.75" customHeight="1">
      <c r="A270" s="347"/>
      <c r="G270" s="314"/>
    </row>
    <row r="271" ht="15.75" customHeight="1">
      <c r="A271" s="347"/>
      <c r="G271" s="314"/>
    </row>
    <row r="272" ht="15.75" customHeight="1">
      <c r="A272" s="347"/>
      <c r="G272" s="314"/>
    </row>
    <row r="273" ht="15.75" customHeight="1">
      <c r="A273" s="347"/>
      <c r="G273" s="314"/>
    </row>
    <row r="274" ht="15.75" customHeight="1">
      <c r="A274" s="347"/>
      <c r="G274" s="314"/>
    </row>
    <row r="275" ht="15.75" customHeight="1">
      <c r="A275" s="347"/>
      <c r="G275" s="314"/>
    </row>
    <row r="276" ht="15.75" customHeight="1">
      <c r="A276" s="347"/>
      <c r="G276" s="314"/>
    </row>
    <row r="277" ht="15.75" customHeight="1">
      <c r="A277" s="347"/>
      <c r="G277" s="314"/>
    </row>
    <row r="278" ht="15.75" customHeight="1">
      <c r="A278" s="347"/>
      <c r="G278" s="314"/>
    </row>
    <row r="279" ht="15.75" customHeight="1">
      <c r="A279" s="347"/>
      <c r="G279" s="314"/>
    </row>
    <row r="280" ht="15.75" customHeight="1">
      <c r="A280" s="347"/>
      <c r="G280" s="314"/>
    </row>
    <row r="281" ht="15.75" customHeight="1">
      <c r="A281" s="347"/>
      <c r="G281" s="314"/>
    </row>
    <row r="282" ht="15.75" customHeight="1">
      <c r="A282" s="347"/>
      <c r="G282" s="314"/>
    </row>
    <row r="283" ht="15.75" customHeight="1">
      <c r="A283" s="347"/>
      <c r="G283" s="314"/>
    </row>
    <row r="284" ht="15.75" customHeight="1">
      <c r="A284" s="347"/>
      <c r="G284" s="314"/>
    </row>
    <row r="285" ht="15.75" customHeight="1">
      <c r="A285" s="347"/>
      <c r="G285" s="314"/>
    </row>
    <row r="286" ht="15.75" customHeight="1">
      <c r="A286" s="347"/>
      <c r="G286" s="314"/>
    </row>
    <row r="287" ht="15.75" customHeight="1">
      <c r="A287" s="347"/>
      <c r="G287" s="314"/>
    </row>
    <row r="288" ht="15.75" customHeight="1">
      <c r="A288" s="347"/>
      <c r="G288" s="314"/>
    </row>
    <row r="289" ht="15.75" customHeight="1">
      <c r="A289" s="347"/>
      <c r="G289" s="314"/>
    </row>
    <row r="290" ht="15.75" customHeight="1">
      <c r="A290" s="347"/>
      <c r="G290" s="314"/>
    </row>
    <row r="291" ht="15.75" customHeight="1">
      <c r="A291" s="347"/>
      <c r="G291" s="314"/>
    </row>
    <row r="292" ht="15.75" customHeight="1">
      <c r="A292" s="347"/>
      <c r="G292" s="314"/>
    </row>
    <row r="293" ht="15.75" customHeight="1">
      <c r="A293" s="347"/>
      <c r="G293" s="314"/>
    </row>
    <row r="294" ht="15.75" customHeight="1">
      <c r="A294" s="347"/>
      <c r="G294" s="314"/>
    </row>
    <row r="295" ht="15.75" customHeight="1">
      <c r="A295" s="347"/>
      <c r="G295" s="314"/>
    </row>
    <row r="296" ht="15.75" customHeight="1">
      <c r="A296" s="347"/>
      <c r="G296" s="314"/>
    </row>
    <row r="297" ht="15.75" customHeight="1">
      <c r="A297" s="347"/>
      <c r="G297" s="314"/>
    </row>
    <row r="298" ht="15.75" customHeight="1">
      <c r="A298" s="347"/>
      <c r="G298" s="314"/>
    </row>
    <row r="299" ht="15.75" customHeight="1">
      <c r="A299" s="347"/>
      <c r="G299" s="314"/>
    </row>
    <row r="300" ht="15.75" customHeight="1">
      <c r="A300" s="347"/>
      <c r="G300" s="314"/>
    </row>
    <row r="301" ht="15.75" customHeight="1">
      <c r="A301" s="347"/>
      <c r="G301" s="314"/>
    </row>
    <row r="302" ht="15.75" customHeight="1">
      <c r="A302" s="347"/>
      <c r="G302" s="314"/>
    </row>
    <row r="303" ht="15.75" customHeight="1">
      <c r="A303" s="347"/>
      <c r="G303" s="314"/>
    </row>
    <row r="304" ht="15.75" customHeight="1">
      <c r="A304" s="347"/>
      <c r="G304" s="314"/>
    </row>
    <row r="305" ht="15.75" customHeight="1">
      <c r="A305" s="347"/>
      <c r="G305" s="314"/>
    </row>
    <row r="306" ht="15.75" customHeight="1">
      <c r="A306" s="347"/>
      <c r="G306" s="314"/>
    </row>
    <row r="307" ht="15.75" customHeight="1">
      <c r="A307" s="347"/>
      <c r="G307" s="314"/>
    </row>
    <row r="308" ht="15.75" customHeight="1">
      <c r="A308" s="347"/>
      <c r="G308" s="314"/>
    </row>
    <row r="309" ht="15.75" customHeight="1">
      <c r="A309" s="347"/>
      <c r="G309" s="314"/>
    </row>
    <row r="310" ht="15.75" customHeight="1">
      <c r="A310" s="347"/>
      <c r="G310" s="314"/>
    </row>
    <row r="311" ht="15.75" customHeight="1">
      <c r="A311" s="347"/>
      <c r="G311" s="314"/>
    </row>
    <row r="312" ht="15.75" customHeight="1">
      <c r="A312" s="347"/>
      <c r="G312" s="314"/>
    </row>
    <row r="313" ht="15.75" customHeight="1">
      <c r="A313" s="347"/>
      <c r="G313" s="314"/>
    </row>
    <row r="314" ht="15.75" customHeight="1">
      <c r="A314" s="347"/>
      <c r="G314" s="314"/>
    </row>
    <row r="315" ht="15.75" customHeight="1">
      <c r="A315" s="347"/>
      <c r="G315" s="314"/>
    </row>
    <row r="316" ht="15.75" customHeight="1">
      <c r="A316" s="347"/>
      <c r="G316" s="314"/>
    </row>
    <row r="317" ht="15.75" customHeight="1">
      <c r="A317" s="347"/>
      <c r="G317" s="314"/>
    </row>
    <row r="318" ht="15.75" customHeight="1">
      <c r="A318" s="347"/>
      <c r="G318" s="314"/>
    </row>
    <row r="319" ht="15.75" customHeight="1">
      <c r="A319" s="347"/>
      <c r="G319" s="314"/>
    </row>
    <row r="320" ht="15.75" customHeight="1">
      <c r="A320" s="347"/>
      <c r="G320" s="314"/>
    </row>
    <row r="321" ht="15.75" customHeight="1">
      <c r="A321" s="347"/>
      <c r="G321" s="314"/>
    </row>
    <row r="322" ht="15.75" customHeight="1">
      <c r="A322" s="347"/>
      <c r="G322" s="314"/>
    </row>
    <row r="323" ht="15.75" customHeight="1">
      <c r="A323" s="347"/>
      <c r="G323" s="314"/>
    </row>
    <row r="324" ht="15.75" customHeight="1">
      <c r="A324" s="347"/>
      <c r="G324" s="314"/>
    </row>
    <row r="325" ht="15.75" customHeight="1">
      <c r="A325" s="347"/>
      <c r="G325" s="314"/>
    </row>
    <row r="326" ht="15.75" customHeight="1">
      <c r="A326" s="347"/>
      <c r="G326" s="314"/>
    </row>
    <row r="327" ht="15.75" customHeight="1">
      <c r="A327" s="347"/>
      <c r="G327" s="314"/>
    </row>
    <row r="328" ht="15.75" customHeight="1">
      <c r="A328" s="347"/>
      <c r="G328" s="314"/>
    </row>
    <row r="329" ht="15.75" customHeight="1">
      <c r="A329" s="347"/>
      <c r="G329" s="314"/>
    </row>
    <row r="330" ht="15.75" customHeight="1">
      <c r="A330" s="347"/>
      <c r="G330" s="314"/>
    </row>
    <row r="331" ht="15.75" customHeight="1">
      <c r="A331" s="347"/>
      <c r="G331" s="314"/>
    </row>
    <row r="332" ht="15.75" customHeight="1">
      <c r="A332" s="347"/>
      <c r="G332" s="314"/>
    </row>
    <row r="333" ht="15.75" customHeight="1">
      <c r="A333" s="347"/>
      <c r="G333" s="314"/>
    </row>
    <row r="334" ht="15.75" customHeight="1">
      <c r="A334" s="347"/>
      <c r="G334" s="314"/>
    </row>
    <row r="335" ht="15.75" customHeight="1">
      <c r="A335" s="347"/>
      <c r="G335" s="314"/>
    </row>
    <row r="336" ht="15.75" customHeight="1">
      <c r="A336" s="347"/>
      <c r="G336" s="314"/>
    </row>
    <row r="337" ht="15.75" customHeight="1">
      <c r="A337" s="347"/>
      <c r="G337" s="314"/>
    </row>
    <row r="338" ht="15.75" customHeight="1">
      <c r="A338" s="347"/>
      <c r="G338" s="314"/>
    </row>
    <row r="339" ht="15.75" customHeight="1">
      <c r="A339" s="347"/>
      <c r="G339" s="314"/>
    </row>
    <row r="340" ht="15.75" customHeight="1">
      <c r="A340" s="347"/>
      <c r="G340" s="314"/>
    </row>
    <row r="341" ht="15.75" customHeight="1">
      <c r="A341" s="347"/>
      <c r="G341" s="314"/>
    </row>
    <row r="342" ht="15.75" customHeight="1">
      <c r="A342" s="347"/>
      <c r="G342" s="314"/>
    </row>
    <row r="343" ht="15.75" customHeight="1">
      <c r="A343" s="347"/>
      <c r="G343" s="314"/>
    </row>
    <row r="344" ht="15.75" customHeight="1">
      <c r="A344" s="347"/>
      <c r="G344" s="314"/>
    </row>
    <row r="345" ht="15.75" customHeight="1">
      <c r="A345" s="347"/>
      <c r="G345" s="314"/>
    </row>
    <row r="346" ht="15.75" customHeight="1">
      <c r="G346" s="314"/>
    </row>
    <row r="347" ht="15.75" customHeight="1">
      <c r="G347" s="314"/>
    </row>
    <row r="348" ht="15.75" customHeight="1">
      <c r="G348" s="314"/>
    </row>
    <row r="349" ht="15.75" customHeight="1">
      <c r="G349" s="314"/>
    </row>
    <row r="350" ht="15.75" customHeight="1">
      <c r="G350" s="314"/>
    </row>
    <row r="351" ht="15.75" customHeight="1">
      <c r="G351" s="314"/>
    </row>
    <row r="352" ht="15.75" customHeight="1">
      <c r="G352" s="314"/>
    </row>
    <row r="353" ht="15.75" customHeight="1">
      <c r="G353" s="314"/>
    </row>
    <row r="354" ht="15.75" customHeight="1">
      <c r="G354" s="314"/>
    </row>
    <row r="355" ht="15.75" customHeight="1">
      <c r="G355" s="314"/>
    </row>
    <row r="356" ht="15.75" customHeight="1">
      <c r="G356" s="314"/>
    </row>
    <row r="357" ht="15.75" customHeight="1">
      <c r="G357" s="314"/>
    </row>
    <row r="358" ht="15.75" customHeight="1">
      <c r="G358" s="314"/>
    </row>
    <row r="359" ht="15.75" customHeight="1">
      <c r="G359" s="314"/>
    </row>
    <row r="360" ht="15.75" customHeight="1">
      <c r="G360" s="314"/>
    </row>
    <row r="361" ht="15.75" customHeight="1">
      <c r="G361" s="314"/>
    </row>
    <row r="362" ht="15.75" customHeight="1">
      <c r="G362" s="314"/>
    </row>
    <row r="363" ht="15.75" customHeight="1">
      <c r="G363" s="314"/>
    </row>
    <row r="364" ht="15.75" customHeight="1">
      <c r="G364" s="314"/>
    </row>
    <row r="365" ht="15.75" customHeight="1">
      <c r="G365" s="314"/>
    </row>
    <row r="366" ht="15.75" customHeight="1">
      <c r="G366" s="314"/>
    </row>
    <row r="367" ht="15.75" customHeight="1">
      <c r="G367" s="314"/>
    </row>
    <row r="368" ht="15.75" customHeight="1">
      <c r="G368" s="314"/>
    </row>
    <row r="369" ht="15.75" customHeight="1">
      <c r="G369" s="314"/>
    </row>
    <row r="370" ht="15.75" customHeight="1">
      <c r="G370" s="314"/>
    </row>
    <row r="371" ht="15.75" customHeight="1">
      <c r="G371" s="314"/>
    </row>
    <row r="372" ht="15.75" customHeight="1">
      <c r="G372" s="314"/>
    </row>
    <row r="373" ht="15.75" customHeight="1">
      <c r="G373" s="314"/>
    </row>
    <row r="374" ht="15.75" customHeight="1">
      <c r="G374" s="314"/>
    </row>
    <row r="375" ht="15.75" customHeight="1">
      <c r="G375" s="314"/>
    </row>
    <row r="376" ht="15.75" customHeight="1">
      <c r="G376" s="314"/>
    </row>
    <row r="377" ht="15.75" customHeight="1">
      <c r="G377" s="314"/>
    </row>
    <row r="378" ht="15.75" customHeight="1">
      <c r="G378" s="314"/>
    </row>
    <row r="379" ht="15.75" customHeight="1">
      <c r="G379" s="314"/>
    </row>
    <row r="380" ht="15.75" customHeight="1">
      <c r="G380" s="314"/>
    </row>
    <row r="381" ht="15.75" customHeight="1">
      <c r="G381" s="314"/>
    </row>
    <row r="382" ht="15.75" customHeight="1">
      <c r="G382" s="314"/>
    </row>
    <row r="383" ht="15.75" customHeight="1">
      <c r="G383" s="314"/>
    </row>
    <row r="384" ht="15.75" customHeight="1">
      <c r="G384" s="314"/>
    </row>
    <row r="385" ht="15.75" customHeight="1">
      <c r="G385" s="314"/>
    </row>
    <row r="386" ht="15.75" customHeight="1">
      <c r="G386" s="314"/>
    </row>
    <row r="387" ht="15.75" customHeight="1">
      <c r="G387" s="314"/>
    </row>
    <row r="388" ht="15.75" customHeight="1">
      <c r="G388" s="314"/>
    </row>
    <row r="389" ht="15.75" customHeight="1">
      <c r="G389" s="314"/>
    </row>
    <row r="390" ht="15.75" customHeight="1">
      <c r="G390" s="314"/>
    </row>
    <row r="391" ht="15.75" customHeight="1">
      <c r="G391" s="314"/>
    </row>
    <row r="392" ht="15.75" customHeight="1">
      <c r="G392" s="314"/>
    </row>
    <row r="393" ht="15.75" customHeight="1">
      <c r="G393" s="314"/>
    </row>
    <row r="394" ht="15.75" customHeight="1">
      <c r="G394" s="314"/>
    </row>
    <row r="395" ht="15.75" customHeight="1">
      <c r="G395" s="314"/>
    </row>
    <row r="396" ht="15.75" customHeight="1">
      <c r="G396" s="314"/>
    </row>
    <row r="397" ht="15.75" customHeight="1">
      <c r="G397" s="314"/>
    </row>
    <row r="398" ht="15.75" customHeight="1">
      <c r="G398" s="314"/>
    </row>
    <row r="399" ht="15.75" customHeight="1">
      <c r="G399" s="314"/>
    </row>
    <row r="400" ht="15.75" customHeight="1">
      <c r="G400" s="314"/>
    </row>
    <row r="401" ht="15.75" customHeight="1">
      <c r="G401" s="314"/>
    </row>
    <row r="402" ht="15.75" customHeight="1">
      <c r="G402" s="314"/>
    </row>
    <row r="403" ht="15.75" customHeight="1">
      <c r="G403" s="314"/>
    </row>
    <row r="404" ht="15.75" customHeight="1">
      <c r="G404" s="314"/>
    </row>
    <row r="405" ht="15.75" customHeight="1">
      <c r="G405" s="314"/>
    </row>
    <row r="406" ht="15.75" customHeight="1">
      <c r="G406" s="314"/>
    </row>
    <row r="407" ht="15.75" customHeight="1">
      <c r="G407" s="314"/>
    </row>
    <row r="408" ht="15.75" customHeight="1">
      <c r="G408" s="314"/>
    </row>
    <row r="409" ht="15.75" customHeight="1">
      <c r="G409" s="314"/>
    </row>
    <row r="410" ht="15.75" customHeight="1">
      <c r="G410" s="314"/>
    </row>
    <row r="411" ht="15.75" customHeight="1">
      <c r="G411" s="314"/>
    </row>
    <row r="412" ht="15.75" customHeight="1">
      <c r="G412" s="314"/>
    </row>
    <row r="413" ht="15.75" customHeight="1">
      <c r="G413" s="314"/>
    </row>
    <row r="414" ht="15.75" customHeight="1">
      <c r="G414" s="314"/>
    </row>
    <row r="415" ht="15.75" customHeight="1">
      <c r="G415" s="314"/>
    </row>
    <row r="416" ht="15.75" customHeight="1">
      <c r="G416" s="314"/>
    </row>
    <row r="417" ht="15.75" customHeight="1">
      <c r="G417" s="314"/>
    </row>
    <row r="418" ht="15.75" customHeight="1">
      <c r="G418" s="314"/>
    </row>
    <row r="419" ht="15.75" customHeight="1">
      <c r="G419" s="314"/>
    </row>
    <row r="420" ht="15.75" customHeight="1">
      <c r="G420" s="314"/>
    </row>
    <row r="421" ht="15.75" customHeight="1">
      <c r="G421" s="314"/>
    </row>
    <row r="422" ht="15.75" customHeight="1">
      <c r="G422" s="314"/>
    </row>
    <row r="423" ht="15.75" customHeight="1">
      <c r="G423" s="314"/>
    </row>
    <row r="424" ht="15.75" customHeight="1">
      <c r="G424" s="314"/>
    </row>
    <row r="425" ht="15.75" customHeight="1">
      <c r="G425" s="314"/>
    </row>
    <row r="426" ht="15.75" customHeight="1">
      <c r="G426" s="314"/>
    </row>
    <row r="427" ht="15.75" customHeight="1">
      <c r="G427" s="314"/>
    </row>
    <row r="428" ht="15.75" customHeight="1">
      <c r="G428" s="314"/>
    </row>
    <row r="429" ht="15.75" customHeight="1">
      <c r="G429" s="314"/>
    </row>
    <row r="430" ht="15.75" customHeight="1">
      <c r="G430" s="314"/>
    </row>
    <row r="431" ht="15.75" customHeight="1">
      <c r="G431" s="314"/>
    </row>
    <row r="432" ht="15.75" customHeight="1">
      <c r="G432" s="314"/>
    </row>
    <row r="433" ht="15.75" customHeight="1">
      <c r="G433" s="314"/>
    </row>
    <row r="434" ht="15.75" customHeight="1">
      <c r="G434" s="314"/>
    </row>
    <row r="435" ht="15.75" customHeight="1">
      <c r="G435" s="314"/>
    </row>
    <row r="436" ht="15.75" customHeight="1">
      <c r="G436" s="314"/>
    </row>
    <row r="437" ht="15.75" customHeight="1">
      <c r="G437" s="314"/>
    </row>
    <row r="438" ht="15.75" customHeight="1">
      <c r="G438" s="314"/>
    </row>
    <row r="439" ht="15.75" customHeight="1">
      <c r="G439" s="314"/>
    </row>
    <row r="440" ht="15.75" customHeight="1">
      <c r="G440" s="314"/>
    </row>
    <row r="441" ht="15.75" customHeight="1">
      <c r="G441" s="314"/>
    </row>
    <row r="442" ht="15.75" customHeight="1">
      <c r="G442" s="314"/>
    </row>
    <row r="443" ht="15.75" customHeight="1">
      <c r="G443" s="314"/>
    </row>
    <row r="444" ht="15.75" customHeight="1">
      <c r="G444" s="314"/>
    </row>
    <row r="445" ht="15.75" customHeight="1">
      <c r="G445" s="314"/>
    </row>
    <row r="446" ht="15.75" customHeight="1">
      <c r="G446" s="314"/>
    </row>
    <row r="447" ht="15.75" customHeight="1">
      <c r="G447" s="314"/>
    </row>
    <row r="448" ht="15.75" customHeight="1">
      <c r="G448" s="314"/>
    </row>
    <row r="449" ht="15.75" customHeight="1">
      <c r="G449" s="314"/>
    </row>
    <row r="450" ht="15.75" customHeight="1">
      <c r="G450" s="314"/>
    </row>
    <row r="451" ht="15.75" customHeight="1">
      <c r="G451" s="314"/>
    </row>
    <row r="452" ht="15.75" customHeight="1">
      <c r="G452" s="314"/>
    </row>
    <row r="453" ht="15.75" customHeight="1">
      <c r="G453" s="314"/>
    </row>
    <row r="454" ht="15.75" customHeight="1">
      <c r="G454" s="314"/>
    </row>
    <row r="455" ht="15.75" customHeight="1">
      <c r="G455" s="314"/>
    </row>
    <row r="456" ht="15.75" customHeight="1">
      <c r="G456" s="314"/>
    </row>
    <row r="457" ht="15.75" customHeight="1">
      <c r="G457" s="314"/>
    </row>
    <row r="458" ht="15.75" customHeight="1">
      <c r="G458" s="314"/>
    </row>
    <row r="459" ht="15.75" customHeight="1">
      <c r="G459" s="314"/>
    </row>
    <row r="460" ht="15.75" customHeight="1">
      <c r="G460" s="314"/>
    </row>
    <row r="461" ht="15.75" customHeight="1">
      <c r="G461" s="314"/>
    </row>
    <row r="462" ht="15.75" customHeight="1">
      <c r="G462" s="314"/>
    </row>
    <row r="463" ht="15.75" customHeight="1">
      <c r="G463" s="314"/>
    </row>
    <row r="464" ht="15.75" customHeight="1">
      <c r="G464" s="314"/>
    </row>
    <row r="465" ht="15.75" customHeight="1">
      <c r="G465" s="314"/>
    </row>
    <row r="466" ht="15.75" customHeight="1">
      <c r="G466" s="314"/>
    </row>
    <row r="467" ht="15.75" customHeight="1">
      <c r="G467" s="314"/>
    </row>
    <row r="468" ht="15.75" customHeight="1">
      <c r="G468" s="314"/>
    </row>
    <row r="469" ht="15.75" customHeight="1">
      <c r="G469" s="314"/>
    </row>
    <row r="470" ht="15.75" customHeight="1">
      <c r="G470" s="314"/>
    </row>
    <row r="471" ht="15.75" customHeight="1">
      <c r="G471" s="314"/>
    </row>
    <row r="472" ht="15.75" customHeight="1">
      <c r="G472" s="314"/>
    </row>
    <row r="473" ht="15.75" customHeight="1">
      <c r="G473" s="314"/>
    </row>
    <row r="474" ht="15.75" customHeight="1">
      <c r="G474" s="314"/>
    </row>
    <row r="475" ht="15.75" customHeight="1">
      <c r="G475" s="314"/>
    </row>
    <row r="476" ht="15.75" customHeight="1">
      <c r="G476" s="314"/>
    </row>
    <row r="477" ht="15.75" customHeight="1">
      <c r="G477" s="314"/>
    </row>
    <row r="478" ht="15.75" customHeight="1">
      <c r="G478" s="314"/>
    </row>
    <row r="479" ht="15.75" customHeight="1">
      <c r="G479" s="314"/>
    </row>
    <row r="480" ht="15.75" customHeight="1">
      <c r="G480" s="314"/>
    </row>
    <row r="481" ht="15.75" customHeight="1">
      <c r="G481" s="314"/>
    </row>
    <row r="482" ht="15.75" customHeight="1">
      <c r="G482" s="314"/>
    </row>
    <row r="483" ht="15.75" customHeight="1">
      <c r="G483" s="314"/>
    </row>
    <row r="484" ht="15.75" customHeight="1">
      <c r="G484" s="314"/>
    </row>
    <row r="485" ht="15.75" customHeight="1">
      <c r="G485" s="314"/>
    </row>
    <row r="486" ht="15.75" customHeight="1">
      <c r="G486" s="314"/>
    </row>
    <row r="487" ht="15.75" customHeight="1">
      <c r="G487" s="314"/>
    </row>
    <row r="488" ht="15.75" customHeight="1">
      <c r="G488" s="314"/>
    </row>
    <row r="489" ht="15.75" customHeight="1">
      <c r="G489" s="314"/>
    </row>
    <row r="490" ht="15.75" customHeight="1">
      <c r="G490" s="314"/>
    </row>
    <row r="491" ht="15.75" customHeight="1">
      <c r="G491" s="314"/>
    </row>
    <row r="492" ht="15.75" customHeight="1">
      <c r="G492" s="314"/>
    </row>
    <row r="493" ht="15.75" customHeight="1">
      <c r="G493" s="314"/>
    </row>
    <row r="494" ht="15.75" customHeight="1">
      <c r="G494" s="314"/>
    </row>
    <row r="495" ht="15.75" customHeight="1">
      <c r="G495" s="314"/>
    </row>
    <row r="496" ht="15.75" customHeight="1">
      <c r="G496" s="314"/>
    </row>
    <row r="497" ht="15.75" customHeight="1">
      <c r="G497" s="314"/>
    </row>
    <row r="498" ht="15.75" customHeight="1">
      <c r="G498" s="314"/>
    </row>
    <row r="499" ht="15.75" customHeight="1">
      <c r="G499" s="314"/>
    </row>
    <row r="500" ht="15.75" customHeight="1">
      <c r="G500" s="314"/>
    </row>
    <row r="501" ht="15.75" customHeight="1">
      <c r="G501" s="314"/>
    </row>
    <row r="502" ht="15.75" customHeight="1">
      <c r="G502" s="314"/>
    </row>
    <row r="503" ht="15.75" customHeight="1">
      <c r="G503" s="314"/>
    </row>
    <row r="504" ht="15.75" customHeight="1">
      <c r="G504" s="314"/>
    </row>
    <row r="505" ht="15.75" customHeight="1">
      <c r="G505" s="314"/>
    </row>
    <row r="506" ht="15.75" customHeight="1">
      <c r="G506" s="314"/>
    </row>
    <row r="507" ht="15.75" customHeight="1">
      <c r="G507" s="314"/>
    </row>
    <row r="508" ht="15.75" customHeight="1">
      <c r="G508" s="314"/>
    </row>
    <row r="509" ht="15.75" customHeight="1">
      <c r="G509" s="314"/>
    </row>
    <row r="510" ht="15.75" customHeight="1">
      <c r="G510" s="314"/>
    </row>
    <row r="511" ht="15.75" customHeight="1">
      <c r="G511" s="314"/>
    </row>
    <row r="512" ht="15.75" customHeight="1">
      <c r="G512" s="314"/>
    </row>
    <row r="513" ht="15.75" customHeight="1">
      <c r="G513" s="314"/>
    </row>
    <row r="514" ht="15.75" customHeight="1">
      <c r="G514" s="314"/>
    </row>
    <row r="515" ht="15.75" customHeight="1">
      <c r="G515" s="314"/>
    </row>
    <row r="516" ht="15.75" customHeight="1">
      <c r="G516" s="314"/>
    </row>
    <row r="517" ht="15.75" customHeight="1">
      <c r="G517" s="314"/>
    </row>
    <row r="518" ht="15.75" customHeight="1">
      <c r="G518" s="314"/>
    </row>
    <row r="519" ht="15.75" customHeight="1">
      <c r="G519" s="314"/>
    </row>
    <row r="520" ht="15.75" customHeight="1">
      <c r="G520" s="314"/>
    </row>
    <row r="521" ht="15.75" customHeight="1">
      <c r="G521" s="314"/>
    </row>
    <row r="522" ht="15.75" customHeight="1">
      <c r="G522" s="314"/>
    </row>
    <row r="523" ht="15.75" customHeight="1">
      <c r="G523" s="314"/>
    </row>
    <row r="524" ht="15.75" customHeight="1">
      <c r="G524" s="314"/>
    </row>
    <row r="525" ht="15.75" customHeight="1">
      <c r="G525" s="314"/>
    </row>
    <row r="526" ht="15.75" customHeight="1">
      <c r="G526" s="314"/>
    </row>
    <row r="527" ht="15.75" customHeight="1">
      <c r="G527" s="314"/>
    </row>
    <row r="528" ht="15.75" customHeight="1">
      <c r="G528" s="314"/>
    </row>
    <row r="529" ht="15.75" customHeight="1">
      <c r="G529" s="314"/>
    </row>
    <row r="530" ht="15.75" customHeight="1">
      <c r="G530" s="314"/>
    </row>
    <row r="531" ht="15.75" customHeight="1">
      <c r="G531" s="314"/>
    </row>
    <row r="532" ht="15.75" customHeight="1">
      <c r="G532" s="314"/>
    </row>
    <row r="533" ht="15.75" customHeight="1">
      <c r="G533" s="314"/>
    </row>
    <row r="534" ht="15.75" customHeight="1">
      <c r="G534" s="314"/>
    </row>
    <row r="535" ht="15.75" customHeight="1">
      <c r="G535" s="314"/>
    </row>
    <row r="536" ht="15.75" customHeight="1">
      <c r="G536" s="314"/>
    </row>
    <row r="537" ht="15.75" customHeight="1">
      <c r="G537" s="314"/>
    </row>
    <row r="538" ht="15.75" customHeight="1">
      <c r="G538" s="314"/>
    </row>
    <row r="539" ht="15.75" customHeight="1">
      <c r="G539" s="314"/>
    </row>
    <row r="540" ht="15.75" customHeight="1">
      <c r="G540" s="314"/>
    </row>
    <row r="541" ht="15.75" customHeight="1">
      <c r="G541" s="314"/>
    </row>
    <row r="542" ht="15.75" customHeight="1">
      <c r="G542" s="314"/>
    </row>
    <row r="543" ht="15.75" customHeight="1">
      <c r="G543" s="314"/>
    </row>
    <row r="544" ht="15.75" customHeight="1">
      <c r="G544" s="314"/>
    </row>
    <row r="545" ht="15.75" customHeight="1">
      <c r="G545" s="314"/>
    </row>
    <row r="546" ht="15.75" customHeight="1">
      <c r="G546" s="314"/>
    </row>
    <row r="547" ht="15.75" customHeight="1">
      <c r="G547" s="314"/>
    </row>
    <row r="548" ht="15.75" customHeight="1">
      <c r="G548" s="314"/>
    </row>
    <row r="549" ht="15.75" customHeight="1">
      <c r="G549" s="314"/>
    </row>
    <row r="550" ht="15.75" customHeight="1">
      <c r="G550" s="314"/>
    </row>
    <row r="551" ht="15.75" customHeight="1">
      <c r="G551" s="314"/>
    </row>
    <row r="552" ht="15.75" customHeight="1">
      <c r="G552" s="314"/>
    </row>
    <row r="553" ht="15.75" customHeight="1">
      <c r="G553" s="314"/>
    </row>
    <row r="554" ht="15.75" customHeight="1">
      <c r="G554" s="314"/>
    </row>
    <row r="555" ht="15.75" customHeight="1">
      <c r="G555" s="314"/>
    </row>
    <row r="556" ht="15.75" customHeight="1">
      <c r="G556" s="314"/>
    </row>
    <row r="557" ht="15.75" customHeight="1">
      <c r="G557" s="314"/>
    </row>
    <row r="558" ht="15.75" customHeight="1">
      <c r="G558" s="314"/>
    </row>
    <row r="559" ht="15.75" customHeight="1">
      <c r="G559" s="314"/>
    </row>
    <row r="560" ht="15.75" customHeight="1">
      <c r="G560" s="314"/>
    </row>
    <row r="561" ht="15.75" customHeight="1">
      <c r="G561" s="314"/>
    </row>
    <row r="562" ht="15.75" customHeight="1">
      <c r="G562" s="314"/>
    </row>
    <row r="563" ht="15.75" customHeight="1">
      <c r="G563" s="314"/>
    </row>
    <row r="564" ht="15.75" customHeight="1">
      <c r="G564" s="314"/>
    </row>
    <row r="565" ht="15.75" customHeight="1">
      <c r="G565" s="314"/>
    </row>
    <row r="566" ht="15.75" customHeight="1">
      <c r="G566" s="314"/>
    </row>
    <row r="567" ht="15.75" customHeight="1">
      <c r="G567" s="314"/>
    </row>
    <row r="568" ht="15.75" customHeight="1">
      <c r="G568" s="314"/>
    </row>
    <row r="569" ht="15.75" customHeight="1">
      <c r="G569" s="314"/>
    </row>
    <row r="570" ht="15.75" customHeight="1">
      <c r="G570" s="314"/>
    </row>
    <row r="571" ht="15.75" customHeight="1">
      <c r="G571" s="314"/>
    </row>
    <row r="572" ht="15.75" customHeight="1">
      <c r="G572" s="314"/>
    </row>
    <row r="573" ht="15.75" customHeight="1">
      <c r="G573" s="314"/>
    </row>
    <row r="574" ht="15.75" customHeight="1">
      <c r="G574" s="314"/>
    </row>
    <row r="575" ht="15.75" customHeight="1">
      <c r="G575" s="314"/>
    </row>
    <row r="576" ht="15.75" customHeight="1">
      <c r="G576" s="314"/>
    </row>
    <row r="577" ht="15.75" customHeight="1">
      <c r="G577" s="314"/>
    </row>
    <row r="578" ht="15.75" customHeight="1">
      <c r="G578" s="314"/>
    </row>
    <row r="579" ht="15.75" customHeight="1">
      <c r="G579" s="314"/>
    </row>
    <row r="580" ht="15.75" customHeight="1">
      <c r="G580" s="314"/>
    </row>
    <row r="581" ht="15.75" customHeight="1">
      <c r="G581" s="314"/>
    </row>
    <row r="582" ht="15.75" customHeight="1">
      <c r="G582" s="314"/>
    </row>
    <row r="583" ht="15.75" customHeight="1">
      <c r="G583" s="314"/>
    </row>
    <row r="584" ht="15.75" customHeight="1">
      <c r="G584" s="314"/>
    </row>
    <row r="585" ht="15.75" customHeight="1">
      <c r="G585" s="314"/>
    </row>
    <row r="586" ht="15.75" customHeight="1">
      <c r="G586" s="314"/>
    </row>
    <row r="587" ht="15.75" customHeight="1">
      <c r="G587" s="314"/>
    </row>
    <row r="588" ht="15.75" customHeight="1">
      <c r="G588" s="314"/>
    </row>
    <row r="589" ht="15.75" customHeight="1">
      <c r="G589" s="314"/>
    </row>
    <row r="590" ht="15.75" customHeight="1">
      <c r="G590" s="314"/>
    </row>
    <row r="591" ht="15.75" customHeight="1">
      <c r="G591" s="314"/>
    </row>
    <row r="592" ht="15.75" customHeight="1">
      <c r="G592" s="314"/>
    </row>
    <row r="593" ht="15.75" customHeight="1">
      <c r="G593" s="314"/>
    </row>
    <row r="594" ht="15.75" customHeight="1">
      <c r="G594" s="314"/>
    </row>
    <row r="595" ht="15.75" customHeight="1">
      <c r="G595" s="314"/>
    </row>
    <row r="596" ht="15.75" customHeight="1">
      <c r="G596" s="314"/>
    </row>
    <row r="597" ht="15.75" customHeight="1">
      <c r="G597" s="314"/>
    </row>
    <row r="598" ht="15.75" customHeight="1">
      <c r="G598" s="314"/>
    </row>
    <row r="599" ht="15.75" customHeight="1">
      <c r="G599" s="314"/>
    </row>
    <row r="600" ht="15.75" customHeight="1">
      <c r="G600" s="314"/>
    </row>
    <row r="601" ht="15.75" customHeight="1">
      <c r="G601" s="314"/>
    </row>
    <row r="602" ht="15.75" customHeight="1">
      <c r="G602" s="314"/>
    </row>
    <row r="603" ht="15.75" customHeight="1">
      <c r="G603" s="314"/>
    </row>
    <row r="604" ht="15.75" customHeight="1">
      <c r="G604" s="314"/>
    </row>
    <row r="605" ht="15.75" customHeight="1">
      <c r="G605" s="314"/>
    </row>
    <row r="606" ht="15.75" customHeight="1">
      <c r="G606" s="314"/>
    </row>
    <row r="607" ht="15.75" customHeight="1">
      <c r="G607" s="314"/>
    </row>
    <row r="608" ht="15.75" customHeight="1">
      <c r="G608" s="314"/>
    </row>
    <row r="609" ht="15.75" customHeight="1">
      <c r="G609" s="314"/>
    </row>
    <row r="610" ht="15.75" customHeight="1">
      <c r="G610" s="314"/>
    </row>
    <row r="611" ht="15.75" customHeight="1">
      <c r="G611" s="314"/>
    </row>
    <row r="612" ht="15.75" customHeight="1">
      <c r="G612" s="314"/>
    </row>
    <row r="613" ht="15.75" customHeight="1">
      <c r="G613" s="314"/>
    </row>
    <row r="614" ht="15.75" customHeight="1">
      <c r="G614" s="314"/>
    </row>
    <row r="615" ht="15.75" customHeight="1">
      <c r="G615" s="314"/>
    </row>
    <row r="616" ht="15.75" customHeight="1">
      <c r="G616" s="314"/>
    </row>
    <row r="617" ht="15.75" customHeight="1">
      <c r="G617" s="314"/>
    </row>
    <row r="618" ht="15.75" customHeight="1">
      <c r="G618" s="314"/>
    </row>
    <row r="619" ht="15.75" customHeight="1">
      <c r="G619" s="314"/>
    </row>
    <row r="620" ht="15.75" customHeight="1">
      <c r="G620" s="314"/>
    </row>
    <row r="621" ht="15.75" customHeight="1">
      <c r="G621" s="314"/>
    </row>
    <row r="622" ht="15.75" customHeight="1">
      <c r="G622" s="314"/>
    </row>
    <row r="623" ht="15.75" customHeight="1">
      <c r="G623" s="314"/>
    </row>
    <row r="624" ht="15.75" customHeight="1">
      <c r="G624" s="314"/>
    </row>
    <row r="625" ht="15.75" customHeight="1">
      <c r="G625" s="314"/>
    </row>
    <row r="626" ht="15.75" customHeight="1">
      <c r="G626" s="314"/>
    </row>
    <row r="627" ht="15.75" customHeight="1">
      <c r="G627" s="314"/>
    </row>
    <row r="628" ht="15.75" customHeight="1">
      <c r="G628" s="314"/>
    </row>
    <row r="629" ht="15.75" customHeight="1">
      <c r="G629" s="314"/>
    </row>
    <row r="630" ht="15.75" customHeight="1">
      <c r="G630" s="314"/>
    </row>
    <row r="631" ht="15.75" customHeight="1">
      <c r="G631" s="314"/>
    </row>
    <row r="632" ht="15.75" customHeight="1">
      <c r="G632" s="314"/>
    </row>
    <row r="633" ht="15.75" customHeight="1">
      <c r="G633" s="314"/>
    </row>
    <row r="634" ht="15.75" customHeight="1">
      <c r="G634" s="314"/>
    </row>
    <row r="635" ht="15.75" customHeight="1">
      <c r="G635" s="314"/>
    </row>
    <row r="636" ht="15.75" customHeight="1">
      <c r="G636" s="314"/>
    </row>
    <row r="637" ht="15.75" customHeight="1">
      <c r="G637" s="314"/>
    </row>
    <row r="638" ht="15.75" customHeight="1">
      <c r="G638" s="314"/>
    </row>
    <row r="639" ht="15.75" customHeight="1">
      <c r="G639" s="314"/>
    </row>
    <row r="640" ht="15.75" customHeight="1">
      <c r="G640" s="314"/>
    </row>
    <row r="641" ht="15.75" customHeight="1">
      <c r="G641" s="314"/>
    </row>
    <row r="642" ht="15.75" customHeight="1">
      <c r="G642" s="314"/>
    </row>
    <row r="643" ht="15.75" customHeight="1">
      <c r="G643" s="314"/>
    </row>
    <row r="644" ht="15.75" customHeight="1">
      <c r="G644" s="314"/>
    </row>
    <row r="645" ht="15.75" customHeight="1">
      <c r="G645" s="314"/>
    </row>
    <row r="646" ht="15.75" customHeight="1">
      <c r="G646" s="314"/>
    </row>
    <row r="647" ht="15.75" customHeight="1">
      <c r="G647" s="314"/>
    </row>
    <row r="648" ht="15.75" customHeight="1">
      <c r="G648" s="314"/>
    </row>
    <row r="649" ht="15.75" customHeight="1">
      <c r="G649" s="314"/>
    </row>
    <row r="650" ht="15.75" customHeight="1">
      <c r="G650" s="314"/>
    </row>
    <row r="651" ht="15.75" customHeight="1">
      <c r="G651" s="314"/>
    </row>
    <row r="652" ht="15.75" customHeight="1">
      <c r="G652" s="314"/>
    </row>
    <row r="653" ht="15.75" customHeight="1">
      <c r="G653" s="314"/>
    </row>
    <row r="654" ht="15.75" customHeight="1">
      <c r="G654" s="314"/>
    </row>
    <row r="655" ht="15.75" customHeight="1">
      <c r="G655" s="314"/>
    </row>
    <row r="656" ht="15.75" customHeight="1">
      <c r="G656" s="314"/>
    </row>
    <row r="657" ht="15.75" customHeight="1">
      <c r="G657" s="314"/>
    </row>
    <row r="658" ht="15.75" customHeight="1">
      <c r="G658" s="314"/>
    </row>
    <row r="659" ht="15.75" customHeight="1">
      <c r="G659" s="314"/>
    </row>
    <row r="660" ht="15.75" customHeight="1">
      <c r="G660" s="314"/>
    </row>
    <row r="661" ht="15.75" customHeight="1">
      <c r="G661" s="314"/>
    </row>
    <row r="662" ht="15.75" customHeight="1">
      <c r="G662" s="314"/>
    </row>
    <row r="663" ht="15.75" customHeight="1">
      <c r="G663" s="314"/>
    </row>
    <row r="664" ht="15.75" customHeight="1">
      <c r="G664" s="314"/>
    </row>
    <row r="665" ht="15.75" customHeight="1">
      <c r="G665" s="314"/>
    </row>
    <row r="666" ht="15.75" customHeight="1">
      <c r="G666" s="314"/>
    </row>
    <row r="667" ht="15.75" customHeight="1">
      <c r="G667" s="314"/>
    </row>
    <row r="668" ht="15.75" customHeight="1">
      <c r="G668" s="314"/>
    </row>
    <row r="669" ht="15.75" customHeight="1">
      <c r="G669" s="314"/>
    </row>
    <row r="670" ht="15.75" customHeight="1">
      <c r="G670" s="314"/>
    </row>
    <row r="671" ht="15.75" customHeight="1">
      <c r="G671" s="314"/>
    </row>
    <row r="672" ht="15.75" customHeight="1">
      <c r="G672" s="314"/>
    </row>
    <row r="673" ht="15.75" customHeight="1">
      <c r="G673" s="314"/>
    </row>
    <row r="674" ht="15.75" customHeight="1">
      <c r="G674" s="314"/>
    </row>
    <row r="675" ht="15.75" customHeight="1">
      <c r="G675" s="314"/>
    </row>
    <row r="676" ht="15.75" customHeight="1">
      <c r="G676" s="314"/>
    </row>
    <row r="677" ht="15.75" customHeight="1">
      <c r="G677" s="314"/>
    </row>
    <row r="678" ht="15.75" customHeight="1">
      <c r="G678" s="314"/>
    </row>
    <row r="679" ht="15.75" customHeight="1">
      <c r="G679" s="314"/>
    </row>
    <row r="680" ht="15.75" customHeight="1">
      <c r="G680" s="314"/>
    </row>
    <row r="681" ht="15.75" customHeight="1">
      <c r="G681" s="314"/>
    </row>
    <row r="682" ht="15.75" customHeight="1">
      <c r="G682" s="314"/>
    </row>
    <row r="683" ht="15.75" customHeight="1">
      <c r="G683" s="314"/>
    </row>
    <row r="684" ht="15.75" customHeight="1">
      <c r="G684" s="314"/>
    </row>
    <row r="685" ht="15.75" customHeight="1">
      <c r="G685" s="314"/>
    </row>
    <row r="686" ht="15.75" customHeight="1">
      <c r="G686" s="314"/>
    </row>
    <row r="687" ht="15.75" customHeight="1">
      <c r="G687" s="314"/>
    </row>
    <row r="688" ht="15.75" customHeight="1">
      <c r="G688" s="314"/>
    </row>
    <row r="689" ht="15.75" customHeight="1">
      <c r="G689" s="314"/>
    </row>
    <row r="690" ht="15.75" customHeight="1">
      <c r="G690" s="314"/>
    </row>
    <row r="691" ht="15.75" customHeight="1">
      <c r="G691" s="314"/>
    </row>
    <row r="692" ht="15.75" customHeight="1">
      <c r="G692" s="314"/>
    </row>
    <row r="693" ht="15.75" customHeight="1">
      <c r="G693" s="314"/>
    </row>
    <row r="694" ht="15.75" customHeight="1">
      <c r="G694" s="314"/>
    </row>
    <row r="695" ht="15.75" customHeight="1">
      <c r="G695" s="314"/>
    </row>
    <row r="696" ht="15.75" customHeight="1">
      <c r="G696" s="314"/>
    </row>
    <row r="697" ht="15.75" customHeight="1">
      <c r="G697" s="314"/>
    </row>
    <row r="698" ht="15.75" customHeight="1">
      <c r="G698" s="314"/>
    </row>
    <row r="699" ht="15.75" customHeight="1">
      <c r="G699" s="314"/>
    </row>
    <row r="700" ht="15.75" customHeight="1">
      <c r="G700" s="314"/>
    </row>
    <row r="701" ht="15.75" customHeight="1">
      <c r="G701" s="314"/>
    </row>
    <row r="702" ht="15.75" customHeight="1">
      <c r="G702" s="314"/>
    </row>
    <row r="703" ht="15.75" customHeight="1">
      <c r="G703" s="314"/>
    </row>
    <row r="704" ht="15.75" customHeight="1">
      <c r="G704" s="314"/>
    </row>
    <row r="705" ht="15.75" customHeight="1">
      <c r="G705" s="314"/>
    </row>
    <row r="706" ht="15.75" customHeight="1">
      <c r="G706" s="314"/>
    </row>
    <row r="707" ht="15.75" customHeight="1">
      <c r="G707" s="314"/>
    </row>
    <row r="708" ht="15.75" customHeight="1">
      <c r="G708" s="314"/>
    </row>
    <row r="709" ht="15.75" customHeight="1">
      <c r="G709" s="314"/>
    </row>
    <row r="710" ht="15.75" customHeight="1">
      <c r="G710" s="314"/>
    </row>
    <row r="711" ht="15.75" customHeight="1">
      <c r="G711" s="314"/>
    </row>
    <row r="712" ht="15.75" customHeight="1">
      <c r="G712" s="314"/>
    </row>
    <row r="713" ht="15.75" customHeight="1">
      <c r="G713" s="314"/>
    </row>
    <row r="714" ht="15.75" customHeight="1">
      <c r="G714" s="314"/>
    </row>
    <row r="715" ht="15.75" customHeight="1">
      <c r="G715" s="314"/>
    </row>
    <row r="716" ht="15.75" customHeight="1">
      <c r="G716" s="314"/>
    </row>
    <row r="717" ht="15.75" customHeight="1">
      <c r="G717" s="314"/>
    </row>
    <row r="718" ht="15.75" customHeight="1">
      <c r="G718" s="314"/>
    </row>
    <row r="719" ht="15.75" customHeight="1">
      <c r="G719" s="314"/>
    </row>
    <row r="720" ht="15.75" customHeight="1">
      <c r="G720" s="314"/>
    </row>
    <row r="721" ht="15.75" customHeight="1">
      <c r="G721" s="314"/>
    </row>
    <row r="722" ht="15.75" customHeight="1">
      <c r="G722" s="314"/>
    </row>
    <row r="723" ht="15.75" customHeight="1">
      <c r="G723" s="314"/>
    </row>
    <row r="724" ht="15.75" customHeight="1">
      <c r="G724" s="314"/>
    </row>
    <row r="725" ht="15.75" customHeight="1">
      <c r="G725" s="314"/>
    </row>
    <row r="726" ht="15.75" customHeight="1">
      <c r="G726" s="314"/>
    </row>
    <row r="727" ht="15.75" customHeight="1">
      <c r="G727" s="314"/>
    </row>
    <row r="728" ht="15.75" customHeight="1">
      <c r="G728" s="314"/>
    </row>
    <row r="729" ht="15.75" customHeight="1">
      <c r="G729" s="314"/>
    </row>
    <row r="730" ht="15.75" customHeight="1">
      <c r="G730" s="314"/>
    </row>
    <row r="731" ht="15.75" customHeight="1">
      <c r="G731" s="314"/>
    </row>
    <row r="732" ht="15.75" customHeight="1">
      <c r="G732" s="314"/>
    </row>
    <row r="733" ht="15.75" customHeight="1">
      <c r="G733" s="314"/>
    </row>
    <row r="734" ht="15.75" customHeight="1">
      <c r="G734" s="314"/>
    </row>
    <row r="735" ht="15.75" customHeight="1">
      <c r="G735" s="314"/>
    </row>
    <row r="736" ht="15.75" customHeight="1">
      <c r="G736" s="314"/>
    </row>
    <row r="737" ht="15.75" customHeight="1">
      <c r="G737" s="314"/>
    </row>
    <row r="738" ht="15.75" customHeight="1">
      <c r="G738" s="314"/>
    </row>
    <row r="739" ht="15.75" customHeight="1">
      <c r="G739" s="314"/>
    </row>
    <row r="740" ht="15.75" customHeight="1">
      <c r="G740" s="314"/>
    </row>
    <row r="741" ht="15.75" customHeight="1">
      <c r="G741" s="314"/>
    </row>
    <row r="742" ht="15.75" customHeight="1">
      <c r="G742" s="314"/>
    </row>
    <row r="743" ht="15.75" customHeight="1">
      <c r="G743" s="314"/>
    </row>
    <row r="744" ht="15.75" customHeight="1">
      <c r="G744" s="314"/>
    </row>
    <row r="745" ht="15.75" customHeight="1">
      <c r="G745" s="314"/>
    </row>
    <row r="746" ht="15.75" customHeight="1">
      <c r="G746" s="314"/>
    </row>
    <row r="747" ht="15.75" customHeight="1">
      <c r="G747" s="314"/>
    </row>
    <row r="748" ht="15.75" customHeight="1">
      <c r="G748" s="314"/>
    </row>
    <row r="749" ht="15.75" customHeight="1">
      <c r="G749" s="314"/>
    </row>
    <row r="750" ht="15.75" customHeight="1">
      <c r="G750" s="314"/>
    </row>
    <row r="751" ht="15.75" customHeight="1">
      <c r="G751" s="314"/>
    </row>
    <row r="752" ht="15.75" customHeight="1">
      <c r="G752" s="314"/>
    </row>
    <row r="753" ht="15.75" customHeight="1">
      <c r="G753" s="314"/>
    </row>
    <row r="754" ht="15.75" customHeight="1">
      <c r="G754" s="314"/>
    </row>
    <row r="755" ht="15.75" customHeight="1">
      <c r="G755" s="314"/>
    </row>
    <row r="756" ht="15.75" customHeight="1">
      <c r="G756" s="314"/>
    </row>
    <row r="757" ht="15.75" customHeight="1">
      <c r="G757" s="314"/>
    </row>
    <row r="758" ht="15.75" customHeight="1">
      <c r="G758" s="314"/>
    </row>
    <row r="759" ht="15.75" customHeight="1">
      <c r="G759" s="314"/>
    </row>
    <row r="760" ht="15.75" customHeight="1">
      <c r="G760" s="314"/>
    </row>
    <row r="761" ht="15.75" customHeight="1">
      <c r="G761" s="314"/>
    </row>
    <row r="762" ht="15.75" customHeight="1">
      <c r="G762" s="314"/>
    </row>
    <row r="763" ht="15.75" customHeight="1">
      <c r="G763" s="314"/>
    </row>
    <row r="764" ht="15.75" customHeight="1">
      <c r="G764" s="314"/>
    </row>
    <row r="765" ht="15.75" customHeight="1">
      <c r="G765" s="314"/>
    </row>
    <row r="766" ht="15.75" customHeight="1">
      <c r="G766" s="314"/>
    </row>
    <row r="767" ht="15.75" customHeight="1">
      <c r="G767" s="314"/>
    </row>
    <row r="768" ht="15.75" customHeight="1">
      <c r="G768" s="314"/>
    </row>
    <row r="769" ht="15.75" customHeight="1">
      <c r="G769" s="314"/>
    </row>
    <row r="770" ht="15.75" customHeight="1">
      <c r="G770" s="314"/>
    </row>
    <row r="771" ht="15.75" customHeight="1">
      <c r="G771" s="314"/>
    </row>
    <row r="772" ht="15.75" customHeight="1">
      <c r="G772" s="314"/>
    </row>
    <row r="773" ht="15.75" customHeight="1">
      <c r="G773" s="314"/>
    </row>
    <row r="774" ht="15.75" customHeight="1">
      <c r="G774" s="314"/>
    </row>
    <row r="775" ht="15.75" customHeight="1">
      <c r="G775" s="314"/>
    </row>
    <row r="776" ht="15.75" customHeight="1">
      <c r="G776" s="314"/>
    </row>
    <row r="777" ht="15.75" customHeight="1">
      <c r="G777" s="314"/>
    </row>
    <row r="778" ht="15.75" customHeight="1">
      <c r="G778" s="314"/>
    </row>
    <row r="779" ht="15.75" customHeight="1">
      <c r="G779" s="314"/>
    </row>
    <row r="780" ht="15.75" customHeight="1">
      <c r="G780" s="314"/>
    </row>
    <row r="781" ht="15.75" customHeight="1">
      <c r="G781" s="314"/>
    </row>
    <row r="782" ht="15.75" customHeight="1">
      <c r="G782" s="314"/>
    </row>
    <row r="783" ht="15.75" customHeight="1">
      <c r="G783" s="314"/>
    </row>
    <row r="784" ht="15.75" customHeight="1">
      <c r="G784" s="314"/>
    </row>
    <row r="785" ht="15.75" customHeight="1">
      <c r="G785" s="314"/>
    </row>
    <row r="786" ht="15.75" customHeight="1">
      <c r="G786" s="314"/>
    </row>
    <row r="787" ht="15.75" customHeight="1">
      <c r="G787" s="314"/>
    </row>
    <row r="788" ht="15.75" customHeight="1">
      <c r="G788" s="314"/>
    </row>
    <row r="789" ht="15.75" customHeight="1">
      <c r="G789" s="314"/>
    </row>
    <row r="790" ht="15.75" customHeight="1">
      <c r="G790" s="314"/>
    </row>
    <row r="791" ht="15.75" customHeight="1">
      <c r="G791" s="314"/>
    </row>
    <row r="792" ht="15.75" customHeight="1">
      <c r="G792" s="314"/>
    </row>
    <row r="793" ht="15.75" customHeight="1">
      <c r="G793" s="314"/>
    </row>
    <row r="794" ht="15.75" customHeight="1">
      <c r="G794" s="314"/>
    </row>
    <row r="795" ht="15.75" customHeight="1">
      <c r="G795" s="314"/>
    </row>
    <row r="796" ht="15.75" customHeight="1">
      <c r="G796" s="314"/>
    </row>
    <row r="797" ht="15.75" customHeight="1">
      <c r="G797" s="314"/>
    </row>
    <row r="798" ht="15.75" customHeight="1">
      <c r="G798" s="314"/>
    </row>
    <row r="799" ht="15.75" customHeight="1">
      <c r="G799" s="314"/>
    </row>
    <row r="800" ht="15.75" customHeight="1">
      <c r="G800" s="314"/>
    </row>
    <row r="801" ht="15.75" customHeight="1">
      <c r="G801" s="314"/>
    </row>
    <row r="802" ht="15.75" customHeight="1">
      <c r="G802" s="314"/>
    </row>
    <row r="803" ht="15.75" customHeight="1">
      <c r="G803" s="314"/>
    </row>
    <row r="804" ht="15.75" customHeight="1">
      <c r="G804" s="314"/>
    </row>
    <row r="805" ht="15.75" customHeight="1">
      <c r="G805" s="314"/>
    </row>
    <row r="806" ht="15.75" customHeight="1">
      <c r="G806" s="314"/>
    </row>
    <row r="807" ht="15.75" customHeight="1">
      <c r="G807" s="314"/>
    </row>
    <row r="808" ht="15.75" customHeight="1">
      <c r="G808" s="314"/>
    </row>
    <row r="809" ht="15.75" customHeight="1">
      <c r="G809" s="314"/>
    </row>
    <row r="810" ht="15.75" customHeight="1">
      <c r="G810" s="314"/>
    </row>
    <row r="811" ht="15.75" customHeight="1">
      <c r="G811" s="314"/>
    </row>
    <row r="812" ht="15.75" customHeight="1">
      <c r="G812" s="314"/>
    </row>
    <row r="813" ht="15.75" customHeight="1">
      <c r="G813" s="314"/>
    </row>
    <row r="814" ht="15.75" customHeight="1">
      <c r="G814" s="314"/>
    </row>
    <row r="815" ht="15.75" customHeight="1">
      <c r="G815" s="314"/>
    </row>
    <row r="816" ht="15.75" customHeight="1">
      <c r="G816" s="314"/>
    </row>
    <row r="817" ht="15.75" customHeight="1">
      <c r="G817" s="314"/>
    </row>
    <row r="818" ht="15.75" customHeight="1">
      <c r="G818" s="314"/>
    </row>
    <row r="819" ht="15.75" customHeight="1">
      <c r="G819" s="314"/>
    </row>
    <row r="820" ht="15.75" customHeight="1">
      <c r="G820" s="314"/>
    </row>
    <row r="821" ht="15.75" customHeight="1">
      <c r="G821" s="314"/>
    </row>
    <row r="822" ht="15.75" customHeight="1">
      <c r="G822" s="314"/>
    </row>
    <row r="823" ht="15.75" customHeight="1">
      <c r="G823" s="314"/>
    </row>
    <row r="824" ht="15.75" customHeight="1">
      <c r="G824" s="314"/>
    </row>
    <row r="825" ht="15.75" customHeight="1">
      <c r="G825" s="314"/>
    </row>
    <row r="826" ht="15.75" customHeight="1">
      <c r="G826" s="314"/>
    </row>
    <row r="827" ht="15.75" customHeight="1">
      <c r="G827" s="314"/>
    </row>
    <row r="828" ht="15.75" customHeight="1">
      <c r="G828" s="314"/>
    </row>
    <row r="829" ht="15.75" customHeight="1">
      <c r="G829" s="314"/>
    </row>
    <row r="830" ht="15.75" customHeight="1">
      <c r="G830" s="314"/>
    </row>
    <row r="831" ht="15.75" customHeight="1">
      <c r="G831" s="314"/>
    </row>
    <row r="832" ht="15.75" customHeight="1">
      <c r="G832" s="314"/>
    </row>
    <row r="833" ht="15.75" customHeight="1">
      <c r="G833" s="314"/>
    </row>
    <row r="834" ht="15.75" customHeight="1">
      <c r="G834" s="314"/>
    </row>
    <row r="835" ht="15.75" customHeight="1">
      <c r="G835" s="314"/>
    </row>
    <row r="836" ht="15.75" customHeight="1">
      <c r="G836" s="314"/>
    </row>
    <row r="837" ht="15.75" customHeight="1">
      <c r="G837" s="314"/>
    </row>
    <row r="838" ht="15.75" customHeight="1">
      <c r="G838" s="314"/>
    </row>
    <row r="839" ht="15.75" customHeight="1">
      <c r="G839" s="314"/>
    </row>
    <row r="840" ht="15.75" customHeight="1">
      <c r="G840" s="314"/>
    </row>
    <row r="841" ht="15.75" customHeight="1">
      <c r="G841" s="314"/>
    </row>
    <row r="842" ht="15.75" customHeight="1">
      <c r="G842" s="314"/>
    </row>
    <row r="843" ht="15.75" customHeight="1">
      <c r="G843" s="314"/>
    </row>
    <row r="844" ht="15.75" customHeight="1">
      <c r="G844" s="314"/>
    </row>
    <row r="845" ht="15.75" customHeight="1">
      <c r="G845" s="314"/>
    </row>
    <row r="846" ht="15.75" customHeight="1">
      <c r="G846" s="314"/>
    </row>
    <row r="847" ht="15.75" customHeight="1">
      <c r="G847" s="314"/>
    </row>
    <row r="848" ht="15.75" customHeight="1">
      <c r="G848" s="314"/>
    </row>
    <row r="849" ht="15.75" customHeight="1">
      <c r="G849" s="314"/>
    </row>
    <row r="850" ht="15.75" customHeight="1">
      <c r="G850" s="314"/>
    </row>
    <row r="851" ht="15.75" customHeight="1">
      <c r="G851" s="314"/>
    </row>
    <row r="852" ht="15.75" customHeight="1">
      <c r="G852" s="314"/>
    </row>
    <row r="853" ht="15.75" customHeight="1">
      <c r="G853" s="314"/>
    </row>
    <row r="854" ht="15.75" customHeight="1">
      <c r="G854" s="314"/>
    </row>
    <row r="855" ht="15.75" customHeight="1">
      <c r="G855" s="314"/>
    </row>
    <row r="856" ht="15.75" customHeight="1">
      <c r="G856" s="314"/>
    </row>
    <row r="857" ht="15.75" customHeight="1">
      <c r="G857" s="314"/>
    </row>
    <row r="858" ht="15.75" customHeight="1">
      <c r="G858" s="314"/>
    </row>
    <row r="859" ht="15.75" customHeight="1">
      <c r="G859" s="314"/>
    </row>
    <row r="860" ht="15.75" customHeight="1">
      <c r="G860" s="314"/>
    </row>
    <row r="861" ht="15.75" customHeight="1">
      <c r="G861" s="314"/>
    </row>
    <row r="862" ht="15.75" customHeight="1">
      <c r="G862" s="314"/>
    </row>
    <row r="863" ht="15.75" customHeight="1">
      <c r="G863" s="314"/>
    </row>
    <row r="864" ht="15.75" customHeight="1">
      <c r="G864" s="314"/>
    </row>
    <row r="865" ht="15.75" customHeight="1">
      <c r="G865" s="314"/>
    </row>
    <row r="866" ht="15.75" customHeight="1">
      <c r="G866" s="314"/>
    </row>
    <row r="867" ht="15.75" customHeight="1">
      <c r="G867" s="314"/>
    </row>
    <row r="868" ht="15.75" customHeight="1">
      <c r="G868" s="314"/>
    </row>
    <row r="869" ht="15.75" customHeight="1">
      <c r="G869" s="314"/>
    </row>
    <row r="870" ht="15.75" customHeight="1">
      <c r="G870" s="314"/>
    </row>
    <row r="871" ht="15.75" customHeight="1">
      <c r="G871" s="314"/>
    </row>
    <row r="872" ht="15.75" customHeight="1">
      <c r="G872" s="314"/>
    </row>
    <row r="873" ht="15.75" customHeight="1">
      <c r="G873" s="314"/>
    </row>
    <row r="874" ht="15.75" customHeight="1">
      <c r="G874" s="314"/>
    </row>
    <row r="875" ht="15.75" customHeight="1">
      <c r="G875" s="314"/>
    </row>
    <row r="876" ht="15.75" customHeight="1">
      <c r="G876" s="314"/>
    </row>
    <row r="877" ht="15.75" customHeight="1">
      <c r="G877" s="314"/>
    </row>
    <row r="878" ht="15.75" customHeight="1">
      <c r="G878" s="314"/>
    </row>
    <row r="879" ht="15.75" customHeight="1">
      <c r="G879" s="314"/>
    </row>
    <row r="880" ht="15.75" customHeight="1">
      <c r="G880" s="314"/>
    </row>
    <row r="881" ht="15.75" customHeight="1">
      <c r="G881" s="314"/>
    </row>
    <row r="882" ht="15.75" customHeight="1">
      <c r="G882" s="314"/>
    </row>
    <row r="883" ht="15.75" customHeight="1">
      <c r="G883" s="314"/>
    </row>
    <row r="884" ht="15.75" customHeight="1">
      <c r="G884" s="314"/>
    </row>
    <row r="885" ht="15.75" customHeight="1">
      <c r="G885" s="314"/>
    </row>
    <row r="886" ht="15.75" customHeight="1">
      <c r="G886" s="314"/>
    </row>
    <row r="887" ht="15.75" customHeight="1">
      <c r="G887" s="314"/>
    </row>
    <row r="888" ht="15.75" customHeight="1">
      <c r="G888" s="314"/>
    </row>
    <row r="889" ht="15.75" customHeight="1">
      <c r="G889" s="314"/>
    </row>
    <row r="890" ht="15.75" customHeight="1">
      <c r="G890" s="314"/>
    </row>
    <row r="891" ht="15.75" customHeight="1">
      <c r="G891" s="314"/>
    </row>
    <row r="892" ht="15.75" customHeight="1">
      <c r="G892" s="314"/>
    </row>
    <row r="893" ht="15.75" customHeight="1">
      <c r="G893" s="314"/>
    </row>
    <row r="894" ht="15.75" customHeight="1">
      <c r="G894" s="314"/>
    </row>
    <row r="895" ht="15.75" customHeight="1">
      <c r="G895" s="314"/>
    </row>
    <row r="896" ht="15.75" customHeight="1">
      <c r="G896" s="314"/>
    </row>
    <row r="897" ht="15.75" customHeight="1">
      <c r="G897" s="314"/>
    </row>
    <row r="898" ht="15.75" customHeight="1">
      <c r="G898" s="314"/>
    </row>
    <row r="899" ht="15.75" customHeight="1">
      <c r="G899" s="314"/>
    </row>
    <row r="900" ht="15.75" customHeight="1">
      <c r="G900" s="314"/>
    </row>
    <row r="901" ht="15.75" customHeight="1">
      <c r="G901" s="314"/>
    </row>
    <row r="902" ht="15.75" customHeight="1">
      <c r="G902" s="314"/>
    </row>
    <row r="903" ht="15.75" customHeight="1">
      <c r="G903" s="314"/>
    </row>
    <row r="904" ht="15.75" customHeight="1">
      <c r="G904" s="314"/>
    </row>
    <row r="905" ht="15.75" customHeight="1">
      <c r="G905" s="314"/>
    </row>
    <row r="906" ht="15.75" customHeight="1">
      <c r="G906" s="314"/>
    </row>
    <row r="907" ht="15.75" customHeight="1">
      <c r="G907" s="314"/>
    </row>
    <row r="908" ht="15.75" customHeight="1">
      <c r="G908" s="314"/>
    </row>
    <row r="909" ht="15.75" customHeight="1">
      <c r="G909" s="314"/>
    </row>
    <row r="910" ht="15.75" customHeight="1">
      <c r="G910" s="314"/>
    </row>
    <row r="911" ht="15.75" customHeight="1">
      <c r="G911" s="314"/>
    </row>
    <row r="912" ht="15.75" customHeight="1">
      <c r="G912" s="314"/>
    </row>
    <row r="913" ht="15.75" customHeight="1">
      <c r="G913" s="314"/>
    </row>
    <row r="914" ht="15.75" customHeight="1">
      <c r="G914" s="314"/>
    </row>
    <row r="915" ht="15.75" customHeight="1">
      <c r="G915" s="314"/>
    </row>
    <row r="916" ht="15.75" customHeight="1">
      <c r="G916" s="314"/>
    </row>
    <row r="917" ht="15.75" customHeight="1">
      <c r="G917" s="314"/>
    </row>
    <row r="918" ht="15.75" customHeight="1">
      <c r="G918" s="314"/>
    </row>
    <row r="919" ht="15.75" customHeight="1">
      <c r="G919" s="314"/>
    </row>
    <row r="920" ht="15.75" customHeight="1">
      <c r="G920" s="314"/>
    </row>
    <row r="921" ht="15.75" customHeight="1">
      <c r="G921" s="314"/>
    </row>
    <row r="922" ht="15.75" customHeight="1">
      <c r="G922" s="314"/>
    </row>
    <row r="923" ht="15.75" customHeight="1">
      <c r="G923" s="314"/>
    </row>
    <row r="924" ht="15.75" customHeight="1">
      <c r="G924" s="314"/>
    </row>
    <row r="925" ht="15.75" customHeight="1">
      <c r="G925" s="314"/>
    </row>
    <row r="926" ht="15.75" customHeight="1">
      <c r="G926" s="314"/>
    </row>
    <row r="927" ht="15.75" customHeight="1">
      <c r="G927" s="314"/>
    </row>
    <row r="928" ht="15.75" customHeight="1">
      <c r="G928" s="314"/>
    </row>
    <row r="929" ht="15.75" customHeight="1">
      <c r="G929" s="314"/>
    </row>
    <row r="930" ht="15.75" customHeight="1">
      <c r="G930" s="314"/>
    </row>
    <row r="931" ht="15.75" customHeight="1">
      <c r="G931" s="314"/>
    </row>
    <row r="932" ht="15.75" customHeight="1">
      <c r="G932" s="314"/>
    </row>
    <row r="933" ht="15.75" customHeight="1">
      <c r="G933" s="314"/>
    </row>
    <row r="934" ht="15.75" customHeight="1">
      <c r="G934" s="314"/>
    </row>
    <row r="935" ht="15.75" customHeight="1">
      <c r="G935" s="314"/>
    </row>
    <row r="936" ht="15.75" customHeight="1">
      <c r="G936" s="314"/>
    </row>
    <row r="937" ht="15.75" customHeight="1">
      <c r="G937" s="314"/>
    </row>
    <row r="938" ht="15.75" customHeight="1">
      <c r="G938" s="314"/>
    </row>
    <row r="939" ht="15.75" customHeight="1">
      <c r="G939" s="314"/>
    </row>
    <row r="940" ht="15.75" customHeight="1">
      <c r="G940" s="314"/>
    </row>
    <row r="941" ht="15.75" customHeight="1">
      <c r="G941" s="314"/>
    </row>
    <row r="942" ht="15.75" customHeight="1">
      <c r="G942" s="314"/>
    </row>
    <row r="943" ht="15.75" customHeight="1">
      <c r="G943" s="314"/>
    </row>
    <row r="944" ht="15.75" customHeight="1">
      <c r="G944" s="314"/>
    </row>
    <row r="945" ht="15.75" customHeight="1">
      <c r="G945" s="314"/>
    </row>
    <row r="946" ht="15.75" customHeight="1">
      <c r="G946" s="314"/>
    </row>
    <row r="947" ht="15.75" customHeight="1">
      <c r="G947" s="314"/>
    </row>
    <row r="948" ht="15.75" customHeight="1">
      <c r="G948" s="314"/>
    </row>
    <row r="949" ht="15.75" customHeight="1">
      <c r="G949" s="314"/>
    </row>
    <row r="950" ht="15.75" customHeight="1">
      <c r="G950" s="314"/>
    </row>
    <row r="951" ht="15.75" customHeight="1">
      <c r="G951" s="314"/>
    </row>
    <row r="952" ht="15.75" customHeight="1">
      <c r="G952" s="314"/>
    </row>
    <row r="953" ht="15.75" customHeight="1">
      <c r="G953" s="314"/>
    </row>
    <row r="954" ht="15.75" customHeight="1">
      <c r="G954" s="314"/>
    </row>
    <row r="955" ht="15.75" customHeight="1">
      <c r="G955" s="314"/>
    </row>
    <row r="956" ht="15.75" customHeight="1">
      <c r="G956" s="314"/>
    </row>
    <row r="957" ht="15.75" customHeight="1">
      <c r="G957" s="314"/>
    </row>
    <row r="958" ht="15.75" customHeight="1">
      <c r="G958" s="314"/>
    </row>
    <row r="959" ht="15.75" customHeight="1">
      <c r="G959" s="314"/>
    </row>
    <row r="960" ht="15.75" customHeight="1">
      <c r="G960" s="314"/>
    </row>
    <row r="961" ht="15.75" customHeight="1">
      <c r="G961" s="314"/>
    </row>
    <row r="962" ht="15.75" customHeight="1">
      <c r="G962" s="314"/>
    </row>
    <row r="963" ht="15.75" customHeight="1">
      <c r="G963" s="314"/>
    </row>
    <row r="964" ht="15.75" customHeight="1">
      <c r="G964" s="314"/>
    </row>
    <row r="965" ht="15.75" customHeight="1">
      <c r="G965" s="314"/>
    </row>
    <row r="966" ht="15.75" customHeight="1">
      <c r="G966" s="314"/>
    </row>
    <row r="967" ht="15.75" customHeight="1">
      <c r="G967" s="314"/>
    </row>
    <row r="968" ht="15.75" customHeight="1">
      <c r="G968" s="314"/>
    </row>
    <row r="969" ht="15.75" customHeight="1">
      <c r="G969" s="314"/>
    </row>
    <row r="970" ht="15.75" customHeight="1">
      <c r="G970" s="314"/>
    </row>
    <row r="971" ht="15.75" customHeight="1">
      <c r="G971" s="314"/>
    </row>
    <row r="972" ht="15.75" customHeight="1">
      <c r="G972" s="314"/>
    </row>
    <row r="973" ht="15.75" customHeight="1">
      <c r="G973" s="314"/>
    </row>
    <row r="974" ht="15.75" customHeight="1">
      <c r="G974" s="314"/>
    </row>
    <row r="975" ht="15.75" customHeight="1">
      <c r="G975" s="314"/>
    </row>
    <row r="976" ht="15.75" customHeight="1">
      <c r="G976" s="314"/>
    </row>
    <row r="977" ht="15.75" customHeight="1">
      <c r="G977" s="314"/>
    </row>
    <row r="978" ht="15.75" customHeight="1">
      <c r="G978" s="314"/>
    </row>
    <row r="979" ht="15.75" customHeight="1">
      <c r="G979" s="314"/>
    </row>
    <row r="980" ht="15.75" customHeight="1">
      <c r="G980" s="314"/>
    </row>
    <row r="981" ht="15.75" customHeight="1">
      <c r="G981" s="314"/>
    </row>
    <row r="982" ht="15.75" customHeight="1">
      <c r="G982" s="314"/>
    </row>
    <row r="983" ht="15.75" customHeight="1">
      <c r="G983" s="314"/>
    </row>
    <row r="984" ht="15.75" customHeight="1">
      <c r="G984" s="314"/>
    </row>
    <row r="985" ht="15.75" customHeight="1">
      <c r="G985" s="314"/>
    </row>
    <row r="986" ht="15.75" customHeight="1">
      <c r="G986" s="314"/>
    </row>
    <row r="987" ht="15.75" customHeight="1">
      <c r="G987" s="314"/>
    </row>
    <row r="988" ht="15.75" customHeight="1">
      <c r="G988" s="314"/>
    </row>
    <row r="989" ht="15.75" customHeight="1">
      <c r="G989" s="314"/>
    </row>
    <row r="990" ht="15.75" customHeight="1">
      <c r="G990" s="314"/>
    </row>
    <row r="991" ht="15.75" customHeight="1">
      <c r="G991" s="314"/>
    </row>
    <row r="992" ht="15.75" customHeight="1">
      <c r="G992" s="314"/>
    </row>
    <row r="993" ht="15.75" customHeight="1">
      <c r="G993" s="314"/>
    </row>
    <row r="994" ht="15.75" customHeight="1">
      <c r="G994" s="314"/>
    </row>
    <row r="995" ht="15.75" customHeight="1">
      <c r="G995" s="314"/>
    </row>
    <row r="996" ht="15.75" customHeight="1">
      <c r="G996" s="314"/>
    </row>
    <row r="997" ht="15.75" customHeight="1">
      <c r="G997" s="314"/>
    </row>
    <row r="998" ht="15.75" customHeight="1">
      <c r="G998" s="314"/>
    </row>
    <row r="999" ht="15.75" customHeight="1">
      <c r="G999" s="314"/>
    </row>
    <row r="1000" ht="15.75" customHeight="1">
      <c r="G1000" s="314"/>
    </row>
  </sheetData>
  <mergeCells count="1">
    <mergeCell ref="A6:H6"/>
  </mergeCells>
  <dataValidations>
    <dataValidation type="list" allowBlank="1" showErrorMessage="1" sqref="E9">
      <formula1>Deuda!$A$5:$A$64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6" width="9.0"/>
  </cols>
  <sheetData>
    <row r="1" ht="15.75" customHeight="1">
      <c r="G1" s="314"/>
    </row>
    <row r="2" ht="15.75" customHeight="1">
      <c r="G2" s="315" t="s">
        <v>420</v>
      </c>
    </row>
    <row r="3" ht="15.75" customHeight="1">
      <c r="A3" s="1"/>
      <c r="B3" s="1"/>
      <c r="C3" s="1"/>
      <c r="D3" s="1"/>
      <c r="E3" s="1"/>
      <c r="F3" s="1"/>
      <c r="G3" s="316">
        <v>46238.0</v>
      </c>
      <c r="H3" s="1"/>
    </row>
    <row r="4" ht="15.75" customHeight="1">
      <c r="A4" s="279"/>
      <c r="B4" s="279"/>
      <c r="C4" s="279"/>
      <c r="D4" s="279"/>
      <c r="E4" s="279"/>
      <c r="F4" s="279"/>
      <c r="G4" s="19"/>
      <c r="H4" s="279"/>
    </row>
    <row r="5" ht="4.5" customHeight="1">
      <c r="A5" s="279"/>
      <c r="B5" s="279"/>
      <c r="C5" s="279"/>
      <c r="D5" s="279"/>
      <c r="E5" s="279"/>
      <c r="F5" s="279"/>
      <c r="G5" s="19"/>
      <c r="H5" s="279"/>
    </row>
    <row r="6" ht="15.0" customHeight="1">
      <c r="A6" s="302" t="s">
        <v>421</v>
      </c>
      <c r="I6" s="1"/>
    </row>
    <row r="7" ht="4.5" customHeight="1">
      <c r="G7" s="314"/>
    </row>
    <row r="8" ht="15.0" customHeight="1">
      <c r="A8" s="303" t="s">
        <v>266</v>
      </c>
      <c r="B8" s="303"/>
      <c r="C8" s="303"/>
      <c r="D8" s="303"/>
      <c r="E8" s="303" t="s">
        <v>64</v>
      </c>
      <c r="F8" s="303"/>
      <c r="G8" s="318" t="s">
        <v>267</v>
      </c>
      <c r="H8" s="303"/>
      <c r="I8" s="304"/>
      <c r="J8" s="304"/>
      <c r="K8" s="304"/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</row>
    <row r="9" ht="15.0" customHeight="1">
      <c r="A9" s="319" t="s">
        <v>352</v>
      </c>
      <c r="B9" s="200"/>
      <c r="D9" s="200"/>
      <c r="E9" s="320">
        <v>503.0</v>
      </c>
      <c r="F9" s="200"/>
      <c r="G9" s="320">
        <v>2034083.0</v>
      </c>
      <c r="H9" s="200"/>
    </row>
    <row r="10" ht="15.75" customHeight="1">
      <c r="G10" s="314"/>
    </row>
    <row r="11" ht="15.0" customHeight="1">
      <c r="A11" s="307" t="s">
        <v>422</v>
      </c>
      <c r="B11" s="308"/>
      <c r="C11" s="308"/>
      <c r="D11" s="308"/>
      <c r="E11" s="308"/>
      <c r="F11" s="308"/>
      <c r="G11" s="321" t="s">
        <v>423</v>
      </c>
      <c r="H11" s="309"/>
    </row>
    <row r="12" ht="15.75" customHeight="1">
      <c r="A12" s="205" t="s">
        <v>288</v>
      </c>
      <c r="C12" s="322"/>
      <c r="G12" s="342">
        <v>5.057874393628583</v>
      </c>
      <c r="H12" s="319"/>
    </row>
    <row r="13" ht="15.75" customHeight="1">
      <c r="A13" s="205" t="s">
        <v>289</v>
      </c>
      <c r="C13" s="324"/>
      <c r="G13" s="342">
        <v>13.164681961115313</v>
      </c>
      <c r="H13" s="319"/>
    </row>
    <row r="14" ht="15.75" customHeight="1">
      <c r="A14" s="325" t="s">
        <v>290</v>
      </c>
      <c r="B14" s="326"/>
      <c r="C14" s="327"/>
      <c r="D14" s="326"/>
      <c r="E14" s="1"/>
      <c r="F14" s="1"/>
      <c r="G14" s="348">
        <v>10.350623050415413</v>
      </c>
      <c r="H14" s="319"/>
    </row>
    <row r="15" ht="15.75" customHeight="1">
      <c r="A15" s="325" t="s">
        <v>291</v>
      </c>
      <c r="B15" s="326"/>
      <c r="C15" s="339"/>
      <c r="D15" s="326"/>
      <c r="E15" s="1"/>
      <c r="F15" s="1"/>
      <c r="G15" s="348">
        <v>13.367919261327186</v>
      </c>
      <c r="H15" s="319"/>
    </row>
    <row r="16" ht="15.75" customHeight="1">
      <c r="A16" s="319" t="s">
        <v>292</v>
      </c>
      <c r="B16" s="1"/>
      <c r="C16" s="337"/>
      <c r="D16" s="1"/>
      <c r="E16" s="1"/>
      <c r="F16" s="1"/>
      <c r="G16" s="340">
        <v>26.040948246717093</v>
      </c>
      <c r="H16" s="319"/>
    </row>
    <row r="17" ht="15.75" customHeight="1">
      <c r="A17" s="319" t="s">
        <v>293</v>
      </c>
      <c r="B17" s="1"/>
      <c r="C17" s="339"/>
      <c r="D17" s="1"/>
      <c r="E17" s="1"/>
      <c r="F17" s="1"/>
      <c r="G17" s="340">
        <v>8.301603035171025</v>
      </c>
      <c r="H17" s="319"/>
    </row>
    <row r="18" ht="13.5" customHeight="1">
      <c r="A18" s="319" t="s">
        <v>294</v>
      </c>
      <c r="B18" s="1"/>
      <c r="C18" s="339"/>
      <c r="D18" s="1"/>
      <c r="E18" s="1"/>
      <c r="F18" s="1"/>
      <c r="G18" s="340">
        <v>45.08035816056455</v>
      </c>
      <c r="H18" s="319"/>
    </row>
    <row r="19" ht="13.5" customHeight="1">
      <c r="A19" s="205" t="s">
        <v>295</v>
      </c>
      <c r="C19" s="322"/>
      <c r="G19" s="342">
        <v>36.24585698815332</v>
      </c>
      <c r="H19" s="319"/>
    </row>
    <row r="20" ht="13.5" customHeight="1">
      <c r="A20" s="205" t="s">
        <v>296</v>
      </c>
      <c r="C20" s="322"/>
      <c r="G20" s="342">
        <v>18.71565297931472</v>
      </c>
      <c r="H20" s="319"/>
    </row>
    <row r="21" ht="15.75" customHeight="1">
      <c r="A21" s="205" t="s">
        <v>297</v>
      </c>
      <c r="C21" s="322"/>
      <c r="G21" s="342">
        <v>9.928823494228132</v>
      </c>
      <c r="H21" s="319"/>
    </row>
    <row r="22" ht="15.75" customHeight="1">
      <c r="A22" s="205" t="s">
        <v>298</v>
      </c>
      <c r="C22" s="322"/>
      <c r="G22" s="342">
        <v>47.29262719651338</v>
      </c>
      <c r="H22" s="319"/>
    </row>
    <row r="23" ht="15.75" customHeight="1">
      <c r="A23" s="205" t="s">
        <v>299</v>
      </c>
      <c r="C23" s="322"/>
      <c r="G23" s="342">
        <v>13.363199573656463</v>
      </c>
      <c r="H23" s="319"/>
    </row>
    <row r="24" ht="15.75" customHeight="1">
      <c r="A24" s="205" t="s">
        <v>300</v>
      </c>
      <c r="C24" s="322"/>
      <c r="G24" s="342">
        <v>20.880508718675845</v>
      </c>
      <c r="H24" s="319"/>
    </row>
    <row r="25" ht="15.75" customHeight="1">
      <c r="A25" s="205" t="s">
        <v>301</v>
      </c>
      <c r="C25" s="322"/>
      <c r="G25" s="342">
        <v>24.7839223172544</v>
      </c>
      <c r="H25" s="319"/>
    </row>
    <row r="26" ht="15.75" customHeight="1">
      <c r="A26" s="205" t="s">
        <v>302</v>
      </c>
      <c r="C26" s="322"/>
      <c r="G26" s="342">
        <v>5.356943856286509</v>
      </c>
      <c r="H26" s="319"/>
    </row>
    <row r="27" ht="15.75" customHeight="1">
      <c r="A27" s="205" t="s">
        <v>303</v>
      </c>
      <c r="C27" s="322"/>
      <c r="G27" s="342">
        <v>8.784276493199158</v>
      </c>
      <c r="H27" s="319"/>
    </row>
    <row r="28" ht="15.75" customHeight="1">
      <c r="A28" s="205" t="s">
        <v>304</v>
      </c>
      <c r="C28" s="322"/>
      <c r="G28" s="342">
        <v>21.768956535308252</v>
      </c>
      <c r="H28" s="319"/>
    </row>
    <row r="29" ht="15.75" customHeight="1">
      <c r="A29" s="205" t="s">
        <v>305</v>
      </c>
      <c r="C29" s="322"/>
      <c r="G29" s="342">
        <v>19.34649465728429</v>
      </c>
      <c r="H29" s="319"/>
    </row>
    <row r="30" ht="15.75" customHeight="1">
      <c r="A30" s="205" t="s">
        <v>306</v>
      </c>
      <c r="C30" s="322"/>
      <c r="G30" s="342">
        <v>50.70883161431294</v>
      </c>
      <c r="I30" s="343"/>
    </row>
    <row r="31" ht="15.75" customHeight="1">
      <c r="A31" s="205" t="s">
        <v>312</v>
      </c>
      <c r="C31" s="322"/>
      <c r="G31" s="342">
        <v>-8.3</v>
      </c>
      <c r="H31" s="205"/>
    </row>
    <row r="32" ht="15.75" customHeight="1">
      <c r="A32" s="205" t="s">
        <v>313</v>
      </c>
      <c r="B32" s="349"/>
      <c r="C32" s="322"/>
      <c r="F32" s="205"/>
      <c r="G32" s="342">
        <v>-390.24</v>
      </c>
      <c r="H32" s="205"/>
    </row>
    <row r="33" ht="15.75" customHeight="1">
      <c r="A33" s="205"/>
      <c r="B33" s="349"/>
      <c r="C33" s="322"/>
      <c r="G33" s="350">
        <v>1.0253312655095215E-4</v>
      </c>
    </row>
    <row r="34" ht="15.75" customHeight="1">
      <c r="A34" s="205"/>
      <c r="B34" s="349"/>
      <c r="C34" s="322"/>
      <c r="G34" s="344"/>
    </row>
    <row r="35" ht="15.75" customHeight="1">
      <c r="A35" s="205"/>
      <c r="C35" s="322"/>
      <c r="G35" s="344"/>
    </row>
    <row r="36" ht="15.75" customHeight="1">
      <c r="A36" s="205" t="s">
        <v>425</v>
      </c>
      <c r="C36" s="341" t="s">
        <v>426</v>
      </c>
      <c r="G36" s="344"/>
    </row>
    <row r="37" ht="15.75" customHeight="1">
      <c r="C37" s="322" t="s">
        <v>427</v>
      </c>
      <c r="G37" s="344"/>
    </row>
    <row r="38" ht="15.75" customHeight="1">
      <c r="C38" s="322" t="s">
        <v>428</v>
      </c>
      <c r="G38" s="344"/>
    </row>
    <row r="39" ht="15.75" customHeight="1">
      <c r="C39" s="322" t="s">
        <v>429</v>
      </c>
      <c r="G39" s="344"/>
    </row>
    <row r="40" ht="15.75" customHeight="1">
      <c r="C40" s="324"/>
      <c r="G40" s="344"/>
    </row>
    <row r="41" ht="15.75" customHeight="1">
      <c r="A41" s="325"/>
      <c r="B41" s="326"/>
      <c r="C41" s="339"/>
      <c r="D41" s="326"/>
      <c r="E41" s="1"/>
      <c r="F41" s="1"/>
      <c r="G41" s="345"/>
    </row>
    <row r="42" ht="15.75" customHeight="1">
      <c r="A42" s="346"/>
      <c r="B42" s="326"/>
      <c r="C42" s="339"/>
      <c r="D42" s="326"/>
      <c r="E42" s="1"/>
      <c r="F42" s="1"/>
      <c r="G42" s="345"/>
    </row>
    <row r="43" ht="15.75" customHeight="1">
      <c r="A43" s="346"/>
      <c r="B43" s="326"/>
      <c r="C43" s="339"/>
      <c r="D43" s="326"/>
      <c r="E43" s="1"/>
      <c r="F43" s="1"/>
      <c r="G43" s="345"/>
    </row>
    <row r="44" ht="15.75" customHeight="1">
      <c r="A44" s="346"/>
      <c r="B44" s="326"/>
      <c r="C44" s="339"/>
      <c r="D44" s="326"/>
      <c r="E44" s="1"/>
      <c r="F44" s="1"/>
      <c r="G44" s="345"/>
    </row>
    <row r="45" ht="15.75" customHeight="1">
      <c r="A45" s="346"/>
      <c r="B45" s="326"/>
      <c r="C45" s="327"/>
      <c r="D45" s="326"/>
      <c r="E45" s="1"/>
      <c r="F45" s="1"/>
      <c r="G45" s="345"/>
    </row>
    <row r="46" ht="15.75" customHeight="1">
      <c r="A46" s="346"/>
      <c r="B46" s="326"/>
      <c r="C46" s="327"/>
      <c r="D46" s="326"/>
      <c r="E46" s="1"/>
      <c r="F46" s="1"/>
      <c r="G46" s="57"/>
    </row>
    <row r="47" ht="15.75" customHeight="1">
      <c r="A47" s="346"/>
      <c r="B47" s="326"/>
      <c r="C47" s="327"/>
      <c r="D47" s="326"/>
      <c r="E47" s="1"/>
      <c r="F47" s="1"/>
      <c r="G47" s="57"/>
    </row>
    <row r="48" ht="15.75" customHeight="1">
      <c r="A48" s="346"/>
      <c r="B48" s="326"/>
      <c r="C48" s="327"/>
      <c r="D48" s="326"/>
      <c r="E48" s="1"/>
      <c r="F48" s="1"/>
      <c r="G48" s="57"/>
    </row>
    <row r="49" ht="15.75" customHeight="1">
      <c r="A49" s="346"/>
      <c r="B49" s="326"/>
      <c r="C49" s="327"/>
      <c r="D49" s="326"/>
      <c r="E49" s="1"/>
      <c r="F49" s="1"/>
      <c r="G49" s="57"/>
    </row>
    <row r="50" ht="15.75" customHeight="1">
      <c r="A50" s="346"/>
      <c r="B50" s="326"/>
      <c r="C50" s="327"/>
      <c r="D50" s="326"/>
      <c r="E50" s="1"/>
      <c r="F50" s="1"/>
      <c r="G50" s="57"/>
    </row>
    <row r="51" ht="15.75" customHeight="1">
      <c r="A51" s="346"/>
      <c r="B51" s="326"/>
      <c r="C51" s="326"/>
      <c r="D51" s="326"/>
      <c r="E51" s="1"/>
      <c r="F51" s="1"/>
      <c r="G51" s="57"/>
    </row>
    <row r="52" ht="15.75" customHeight="1">
      <c r="A52" s="346"/>
      <c r="B52" s="326"/>
      <c r="C52" s="326"/>
      <c r="D52" s="326"/>
      <c r="E52" s="1"/>
      <c r="F52" s="1"/>
      <c r="G52" s="57"/>
    </row>
    <row r="53" ht="15.75" customHeight="1">
      <c r="A53" s="346"/>
      <c r="B53" s="326"/>
      <c r="C53" s="326"/>
      <c r="D53" s="326"/>
      <c r="E53" s="1"/>
      <c r="F53" s="1"/>
      <c r="G53" s="57"/>
    </row>
    <row r="54" ht="15.75" customHeight="1">
      <c r="A54" s="346"/>
      <c r="B54" s="326"/>
      <c r="C54" s="326"/>
      <c r="D54" s="326"/>
      <c r="E54" s="1"/>
      <c r="F54" s="1"/>
      <c r="G54" s="57"/>
    </row>
    <row r="55" ht="15.75" customHeight="1">
      <c r="A55" s="346"/>
      <c r="B55" s="326"/>
      <c r="C55" s="326"/>
      <c r="D55" s="326"/>
      <c r="E55" s="1"/>
      <c r="F55" s="1"/>
      <c r="G55" s="57"/>
    </row>
    <row r="56" ht="15.75" customHeight="1">
      <c r="A56" s="346"/>
      <c r="B56" s="326"/>
      <c r="C56" s="326"/>
      <c r="D56" s="326"/>
      <c r="E56" s="1"/>
      <c r="F56" s="1"/>
      <c r="G56" s="57"/>
    </row>
    <row r="57" ht="15.75" customHeight="1">
      <c r="A57" s="346"/>
      <c r="B57" s="326"/>
      <c r="C57" s="326"/>
      <c r="D57" s="326"/>
      <c r="E57" s="1"/>
      <c r="F57" s="1"/>
      <c r="G57" s="57"/>
    </row>
    <row r="58" ht="15.75" customHeight="1">
      <c r="A58" s="346"/>
      <c r="B58" s="326"/>
      <c r="C58" s="326"/>
      <c r="D58" s="326"/>
      <c r="E58" s="1"/>
      <c r="F58" s="1"/>
      <c r="G58" s="57"/>
    </row>
    <row r="59" ht="15.75" customHeight="1">
      <c r="A59" s="346"/>
      <c r="B59" s="326"/>
      <c r="C59" s="326"/>
      <c r="D59" s="326"/>
      <c r="E59" s="1"/>
      <c r="F59" s="1"/>
      <c r="G59" s="57"/>
    </row>
    <row r="60" ht="15.75" customHeight="1">
      <c r="A60" s="346"/>
      <c r="B60" s="326"/>
      <c r="C60" s="326"/>
      <c r="D60" s="326"/>
      <c r="E60" s="1"/>
      <c r="F60" s="1"/>
      <c r="G60" s="57"/>
    </row>
    <row r="61" ht="15.75" customHeight="1">
      <c r="A61" s="347"/>
      <c r="G61" s="314"/>
    </row>
    <row r="62" ht="15.75" customHeight="1">
      <c r="A62" s="347"/>
      <c r="G62" s="314"/>
    </row>
    <row r="63" ht="15.75" customHeight="1">
      <c r="A63" s="347"/>
      <c r="G63" s="314"/>
    </row>
    <row r="64" ht="15.75" customHeight="1">
      <c r="A64" s="347"/>
      <c r="G64" s="314"/>
    </row>
    <row r="65" ht="15.75" customHeight="1">
      <c r="A65" s="347"/>
      <c r="G65" s="314"/>
    </row>
    <row r="66" ht="15.75" customHeight="1">
      <c r="A66" s="347"/>
      <c r="G66" s="314"/>
    </row>
    <row r="67" ht="15.75" customHeight="1">
      <c r="A67" s="347"/>
      <c r="G67" s="314"/>
    </row>
    <row r="68" ht="15.75" customHeight="1">
      <c r="A68" s="347"/>
      <c r="G68" s="314"/>
    </row>
    <row r="69" ht="15.75" customHeight="1">
      <c r="A69" s="347"/>
      <c r="G69" s="314"/>
    </row>
    <row r="70" ht="15.75" customHeight="1">
      <c r="A70" s="347"/>
      <c r="G70" s="314"/>
    </row>
    <row r="71" ht="15.75" customHeight="1">
      <c r="A71" s="347"/>
      <c r="G71" s="314"/>
    </row>
    <row r="72" ht="15.75" customHeight="1">
      <c r="A72" s="347"/>
      <c r="G72" s="314"/>
    </row>
    <row r="73" ht="15.75" customHeight="1">
      <c r="A73" s="347"/>
      <c r="G73" s="314"/>
    </row>
    <row r="74" ht="15.75" customHeight="1">
      <c r="A74" s="347"/>
      <c r="G74" s="314"/>
    </row>
    <row r="75" ht="15.75" customHeight="1">
      <c r="A75" s="347"/>
      <c r="G75" s="314"/>
    </row>
    <row r="76" ht="15.75" customHeight="1">
      <c r="A76" s="347"/>
      <c r="G76" s="314"/>
    </row>
    <row r="77" ht="15.75" customHeight="1">
      <c r="A77" s="347"/>
      <c r="G77" s="314"/>
    </row>
    <row r="78" ht="15.75" customHeight="1">
      <c r="A78" s="347"/>
      <c r="G78" s="314"/>
    </row>
    <row r="79" ht="15.75" customHeight="1">
      <c r="A79" s="347"/>
      <c r="G79" s="314"/>
    </row>
    <row r="80" ht="15.75" customHeight="1">
      <c r="A80" s="347"/>
      <c r="G80" s="314"/>
    </row>
    <row r="81" ht="15.75" customHeight="1">
      <c r="A81" s="347"/>
      <c r="G81" s="314"/>
    </row>
    <row r="82" ht="15.75" customHeight="1">
      <c r="A82" s="347"/>
      <c r="G82" s="314"/>
    </row>
    <row r="83" ht="15.75" customHeight="1">
      <c r="A83" s="347"/>
      <c r="G83" s="314"/>
    </row>
    <row r="84" ht="15.75" customHeight="1">
      <c r="A84" s="347"/>
      <c r="G84" s="314"/>
    </row>
    <row r="85" ht="15.75" customHeight="1">
      <c r="A85" s="347"/>
      <c r="G85" s="314"/>
    </row>
    <row r="86" ht="15.75" customHeight="1">
      <c r="A86" s="347"/>
      <c r="G86" s="314"/>
    </row>
    <row r="87" ht="15.75" customHeight="1">
      <c r="A87" s="347"/>
      <c r="G87" s="314"/>
    </row>
    <row r="88" ht="15.75" customHeight="1">
      <c r="A88" s="347"/>
      <c r="G88" s="314"/>
    </row>
    <row r="89" ht="15.75" customHeight="1">
      <c r="A89" s="347"/>
      <c r="G89" s="314"/>
    </row>
    <row r="90" ht="15.75" customHeight="1">
      <c r="A90" s="347"/>
      <c r="G90" s="314"/>
    </row>
    <row r="91" ht="15.75" customHeight="1">
      <c r="A91" s="347"/>
      <c r="G91" s="314"/>
    </row>
    <row r="92" ht="15.75" customHeight="1">
      <c r="A92" s="347"/>
      <c r="G92" s="314"/>
    </row>
    <row r="93" ht="15.75" customHeight="1">
      <c r="A93" s="347"/>
      <c r="G93" s="314"/>
    </row>
    <row r="94" ht="15.75" customHeight="1">
      <c r="A94" s="347"/>
      <c r="G94" s="314"/>
    </row>
    <row r="95" ht="15.75" customHeight="1">
      <c r="A95" s="347"/>
      <c r="G95" s="314"/>
    </row>
    <row r="96" ht="15.75" customHeight="1">
      <c r="A96" s="347"/>
      <c r="G96" s="314"/>
    </row>
    <row r="97" ht="15.75" customHeight="1">
      <c r="A97" s="347"/>
      <c r="G97" s="314"/>
    </row>
    <row r="98" ht="15.75" customHeight="1">
      <c r="A98" s="347"/>
      <c r="G98" s="314"/>
    </row>
    <row r="99" ht="15.75" customHeight="1">
      <c r="A99" s="347"/>
      <c r="G99" s="314"/>
    </row>
    <row r="100" ht="15.75" customHeight="1">
      <c r="A100" s="347"/>
      <c r="G100" s="314"/>
    </row>
    <row r="101" ht="15.75" customHeight="1">
      <c r="A101" s="347"/>
      <c r="G101" s="314"/>
    </row>
    <row r="102" ht="15.75" customHeight="1">
      <c r="A102" s="347"/>
      <c r="G102" s="314"/>
    </row>
    <row r="103" ht="15.75" customHeight="1">
      <c r="A103" s="347"/>
      <c r="G103" s="314"/>
    </row>
    <row r="104" ht="15.75" customHeight="1">
      <c r="A104" s="347"/>
      <c r="G104" s="314"/>
    </row>
    <row r="105" ht="15.75" customHeight="1">
      <c r="A105" s="347"/>
      <c r="G105" s="314"/>
    </row>
    <row r="106" ht="15.75" customHeight="1">
      <c r="A106" s="347"/>
      <c r="G106" s="314"/>
    </row>
    <row r="107" ht="15.75" customHeight="1">
      <c r="A107" s="347"/>
      <c r="G107" s="314"/>
    </row>
    <row r="108" ht="15.75" customHeight="1">
      <c r="A108" s="347"/>
      <c r="G108" s="314"/>
    </row>
    <row r="109" ht="15.75" customHeight="1">
      <c r="A109" s="347"/>
      <c r="G109" s="314"/>
    </row>
    <row r="110" ht="15.75" customHeight="1">
      <c r="A110" s="347"/>
      <c r="G110" s="314"/>
    </row>
    <row r="111" ht="15.75" customHeight="1">
      <c r="A111" s="347"/>
      <c r="G111" s="314"/>
    </row>
    <row r="112" ht="15.75" customHeight="1">
      <c r="A112" s="347"/>
      <c r="G112" s="314"/>
    </row>
    <row r="113" ht="15.75" customHeight="1">
      <c r="A113" s="347"/>
      <c r="G113" s="314"/>
    </row>
    <row r="114" ht="15.75" customHeight="1">
      <c r="A114" s="347"/>
      <c r="G114" s="314"/>
    </row>
    <row r="115" ht="15.75" customHeight="1">
      <c r="A115" s="347"/>
      <c r="G115" s="314"/>
    </row>
    <row r="116" ht="15.75" customHeight="1">
      <c r="A116" s="347"/>
      <c r="G116" s="314"/>
    </row>
    <row r="117" ht="15.75" customHeight="1">
      <c r="A117" s="347"/>
      <c r="G117" s="314"/>
    </row>
    <row r="118" ht="15.75" customHeight="1">
      <c r="A118" s="347"/>
      <c r="G118" s="314"/>
    </row>
    <row r="119" ht="15.75" customHeight="1">
      <c r="A119" s="347"/>
      <c r="G119" s="314"/>
    </row>
    <row r="120" ht="15.75" customHeight="1">
      <c r="A120" s="347"/>
      <c r="G120" s="314"/>
    </row>
    <row r="121" ht="15.75" customHeight="1">
      <c r="A121" s="347"/>
      <c r="G121" s="314"/>
    </row>
    <row r="122" ht="15.75" customHeight="1">
      <c r="A122" s="347"/>
      <c r="G122" s="314"/>
    </row>
    <row r="123" ht="15.75" customHeight="1">
      <c r="A123" s="347"/>
      <c r="G123" s="314"/>
    </row>
    <row r="124" ht="15.75" customHeight="1">
      <c r="A124" s="347"/>
      <c r="G124" s="314"/>
    </row>
    <row r="125" ht="15.75" customHeight="1">
      <c r="A125" s="347"/>
      <c r="G125" s="314"/>
    </row>
    <row r="126" ht="15.75" customHeight="1">
      <c r="A126" s="347"/>
      <c r="G126" s="314"/>
    </row>
    <row r="127" ht="15.75" customHeight="1">
      <c r="A127" s="347"/>
      <c r="G127" s="314"/>
    </row>
    <row r="128" ht="15.75" customHeight="1">
      <c r="A128" s="347"/>
      <c r="G128" s="314"/>
    </row>
    <row r="129" ht="15.75" customHeight="1">
      <c r="A129" s="347"/>
      <c r="G129" s="314"/>
    </row>
    <row r="130" ht="15.75" customHeight="1">
      <c r="A130" s="347"/>
      <c r="G130" s="314"/>
    </row>
    <row r="131" ht="15.75" customHeight="1">
      <c r="A131" s="347"/>
      <c r="G131" s="314"/>
    </row>
    <row r="132" ht="15.75" customHeight="1">
      <c r="A132" s="347"/>
      <c r="G132" s="314"/>
    </row>
    <row r="133" ht="15.75" customHeight="1">
      <c r="A133" s="347"/>
      <c r="G133" s="314"/>
    </row>
    <row r="134" ht="15.75" customHeight="1">
      <c r="A134" s="347"/>
      <c r="G134" s="314"/>
    </row>
    <row r="135" ht="15.75" customHeight="1">
      <c r="A135" s="347"/>
      <c r="G135" s="314"/>
    </row>
    <row r="136" ht="15.75" customHeight="1">
      <c r="A136" s="347"/>
      <c r="G136" s="314"/>
    </row>
    <row r="137" ht="15.75" customHeight="1">
      <c r="A137" s="347"/>
      <c r="G137" s="314"/>
    </row>
    <row r="138" ht="15.75" customHeight="1">
      <c r="A138" s="347"/>
      <c r="G138" s="314"/>
    </row>
    <row r="139" ht="15.75" customHeight="1">
      <c r="A139" s="347"/>
      <c r="G139" s="314"/>
    </row>
    <row r="140" ht="15.75" customHeight="1">
      <c r="A140" s="347"/>
      <c r="G140" s="314"/>
    </row>
    <row r="141" ht="15.75" customHeight="1">
      <c r="A141" s="347"/>
      <c r="G141" s="314"/>
    </row>
    <row r="142" ht="15.75" customHeight="1">
      <c r="A142" s="347"/>
      <c r="G142" s="314"/>
    </row>
    <row r="143" ht="15.75" customHeight="1">
      <c r="A143" s="347"/>
      <c r="G143" s="314"/>
    </row>
    <row r="144" ht="15.75" customHeight="1">
      <c r="A144" s="347"/>
      <c r="G144" s="314"/>
    </row>
    <row r="145" ht="15.75" customHeight="1">
      <c r="A145" s="347"/>
      <c r="G145" s="314"/>
    </row>
    <row r="146" ht="15.75" customHeight="1">
      <c r="A146" s="347"/>
      <c r="G146" s="314"/>
    </row>
    <row r="147" ht="15.75" customHeight="1">
      <c r="A147" s="347"/>
      <c r="G147" s="314"/>
    </row>
    <row r="148" ht="15.75" customHeight="1">
      <c r="A148" s="347"/>
      <c r="G148" s="314"/>
    </row>
    <row r="149" ht="15.75" customHeight="1">
      <c r="A149" s="347"/>
      <c r="G149" s="314"/>
    </row>
    <row r="150" ht="15.75" customHeight="1">
      <c r="A150" s="347"/>
      <c r="G150" s="314"/>
    </row>
    <row r="151" ht="15.75" customHeight="1">
      <c r="A151" s="347"/>
      <c r="G151" s="314"/>
    </row>
    <row r="152" ht="15.75" customHeight="1">
      <c r="A152" s="347"/>
      <c r="G152" s="314"/>
    </row>
    <row r="153" ht="15.75" customHeight="1">
      <c r="A153" s="347"/>
      <c r="G153" s="314"/>
    </row>
    <row r="154" ht="15.75" customHeight="1">
      <c r="A154" s="347"/>
      <c r="G154" s="314"/>
    </row>
    <row r="155" ht="15.75" customHeight="1">
      <c r="A155" s="347"/>
      <c r="G155" s="314"/>
    </row>
    <row r="156" ht="15.75" customHeight="1">
      <c r="A156" s="347"/>
      <c r="G156" s="314"/>
    </row>
    <row r="157" ht="15.75" customHeight="1">
      <c r="A157" s="347"/>
      <c r="G157" s="314"/>
    </row>
    <row r="158" ht="15.75" customHeight="1">
      <c r="A158" s="347"/>
      <c r="G158" s="314"/>
    </row>
    <row r="159" ht="15.75" customHeight="1">
      <c r="A159" s="347"/>
      <c r="G159" s="314"/>
    </row>
    <row r="160" ht="15.75" customHeight="1">
      <c r="A160" s="347"/>
      <c r="G160" s="314"/>
    </row>
    <row r="161" ht="15.75" customHeight="1">
      <c r="A161" s="347"/>
      <c r="G161" s="314"/>
    </row>
    <row r="162" ht="15.75" customHeight="1">
      <c r="A162" s="347"/>
      <c r="G162" s="314"/>
    </row>
    <row r="163" ht="15.75" customHeight="1">
      <c r="A163" s="347"/>
      <c r="G163" s="314"/>
    </row>
    <row r="164" ht="15.75" customHeight="1">
      <c r="A164" s="347"/>
      <c r="G164" s="314"/>
    </row>
    <row r="165" ht="15.75" customHeight="1">
      <c r="A165" s="347"/>
      <c r="G165" s="314"/>
    </row>
    <row r="166" ht="15.75" customHeight="1">
      <c r="A166" s="347"/>
      <c r="G166" s="314"/>
    </row>
    <row r="167" ht="15.75" customHeight="1">
      <c r="A167" s="347"/>
      <c r="G167" s="314"/>
    </row>
    <row r="168" ht="15.75" customHeight="1">
      <c r="A168" s="347"/>
      <c r="G168" s="314"/>
    </row>
    <row r="169" ht="15.75" customHeight="1">
      <c r="A169" s="347"/>
      <c r="G169" s="314"/>
    </row>
    <row r="170" ht="15.75" customHeight="1">
      <c r="A170" s="347"/>
      <c r="G170" s="314"/>
    </row>
    <row r="171" ht="15.75" customHeight="1">
      <c r="A171" s="347"/>
      <c r="G171" s="314"/>
    </row>
    <row r="172" ht="15.75" customHeight="1">
      <c r="A172" s="347"/>
      <c r="G172" s="314"/>
    </row>
    <row r="173" ht="15.75" customHeight="1">
      <c r="A173" s="347"/>
      <c r="G173" s="314"/>
    </row>
    <row r="174" ht="15.75" customHeight="1">
      <c r="A174" s="347"/>
      <c r="G174" s="314"/>
    </row>
    <row r="175" ht="15.75" customHeight="1">
      <c r="A175" s="347"/>
      <c r="G175" s="314"/>
    </row>
    <row r="176" ht="15.75" customHeight="1">
      <c r="A176" s="347"/>
      <c r="G176" s="314"/>
    </row>
    <row r="177" ht="15.75" customHeight="1">
      <c r="A177" s="347"/>
      <c r="G177" s="314"/>
    </row>
    <row r="178" ht="15.75" customHeight="1">
      <c r="A178" s="347"/>
      <c r="G178" s="314"/>
    </row>
    <row r="179" ht="15.75" customHeight="1">
      <c r="A179" s="347"/>
      <c r="G179" s="314"/>
    </row>
    <row r="180" ht="15.75" customHeight="1">
      <c r="A180" s="347"/>
      <c r="G180" s="314"/>
    </row>
    <row r="181" ht="15.75" customHeight="1">
      <c r="A181" s="347"/>
      <c r="G181" s="314"/>
    </row>
    <row r="182" ht="15.75" customHeight="1">
      <c r="A182" s="347"/>
      <c r="G182" s="314"/>
    </row>
    <row r="183" ht="15.75" customHeight="1">
      <c r="A183" s="347"/>
      <c r="G183" s="314"/>
    </row>
    <row r="184" ht="15.75" customHeight="1">
      <c r="A184" s="347"/>
      <c r="G184" s="314"/>
    </row>
    <row r="185" ht="15.75" customHeight="1">
      <c r="A185" s="347"/>
      <c r="G185" s="314"/>
    </row>
    <row r="186" ht="15.75" customHeight="1">
      <c r="A186" s="347"/>
      <c r="G186" s="314"/>
    </row>
    <row r="187" ht="15.75" customHeight="1">
      <c r="A187" s="347"/>
      <c r="G187" s="314"/>
    </row>
    <row r="188" ht="15.75" customHeight="1">
      <c r="A188" s="347"/>
      <c r="G188" s="314"/>
    </row>
    <row r="189" ht="15.75" customHeight="1">
      <c r="A189" s="347"/>
      <c r="G189" s="314"/>
    </row>
    <row r="190" ht="15.75" customHeight="1">
      <c r="A190" s="347"/>
      <c r="G190" s="314"/>
    </row>
    <row r="191" ht="15.75" customHeight="1">
      <c r="A191" s="347"/>
      <c r="G191" s="314"/>
    </row>
    <row r="192" ht="15.75" customHeight="1">
      <c r="A192" s="347"/>
      <c r="G192" s="314"/>
    </row>
    <row r="193" ht="15.75" customHeight="1">
      <c r="A193" s="347"/>
      <c r="G193" s="314"/>
    </row>
    <row r="194" ht="15.75" customHeight="1">
      <c r="A194" s="347"/>
      <c r="G194" s="314"/>
    </row>
    <row r="195" ht="15.75" customHeight="1">
      <c r="A195" s="347"/>
      <c r="G195" s="314"/>
    </row>
    <row r="196" ht="15.75" customHeight="1">
      <c r="A196" s="347"/>
      <c r="G196" s="314"/>
    </row>
    <row r="197" ht="15.75" customHeight="1">
      <c r="A197" s="347"/>
      <c r="G197" s="314"/>
    </row>
    <row r="198" ht="15.75" customHeight="1">
      <c r="A198" s="347"/>
      <c r="G198" s="314"/>
    </row>
    <row r="199" ht="15.75" customHeight="1">
      <c r="A199" s="347"/>
      <c r="G199" s="314"/>
    </row>
    <row r="200" ht="15.75" customHeight="1">
      <c r="A200" s="347"/>
      <c r="G200" s="314"/>
    </row>
    <row r="201" ht="15.75" customHeight="1">
      <c r="A201" s="347"/>
      <c r="G201" s="314"/>
    </row>
    <row r="202" ht="15.75" customHeight="1">
      <c r="A202" s="347"/>
      <c r="G202" s="314"/>
    </row>
    <row r="203" ht="15.75" customHeight="1">
      <c r="A203" s="347"/>
      <c r="G203" s="314"/>
    </row>
    <row r="204" ht="15.75" customHeight="1">
      <c r="A204" s="347"/>
      <c r="G204" s="314"/>
    </row>
    <row r="205" ht="15.75" customHeight="1">
      <c r="A205" s="347"/>
      <c r="G205" s="314"/>
    </row>
    <row r="206" ht="15.75" customHeight="1">
      <c r="A206" s="347"/>
      <c r="G206" s="314"/>
    </row>
    <row r="207" ht="15.75" customHeight="1">
      <c r="A207" s="347"/>
      <c r="G207" s="314"/>
    </row>
    <row r="208" ht="15.75" customHeight="1">
      <c r="A208" s="347"/>
      <c r="G208" s="314"/>
    </row>
    <row r="209" ht="15.75" customHeight="1">
      <c r="A209" s="347"/>
      <c r="G209" s="314"/>
    </row>
    <row r="210" ht="15.75" customHeight="1">
      <c r="A210" s="347"/>
      <c r="G210" s="314"/>
    </row>
    <row r="211" ht="15.75" customHeight="1">
      <c r="A211" s="347"/>
      <c r="G211" s="314"/>
    </row>
    <row r="212" ht="15.75" customHeight="1">
      <c r="A212" s="347"/>
      <c r="G212" s="314"/>
    </row>
    <row r="213" ht="15.75" customHeight="1">
      <c r="A213" s="347"/>
      <c r="G213" s="314"/>
    </row>
    <row r="214" ht="15.75" customHeight="1">
      <c r="A214" s="347"/>
      <c r="G214" s="314"/>
    </row>
    <row r="215" ht="15.75" customHeight="1">
      <c r="A215" s="347"/>
      <c r="G215" s="314"/>
    </row>
    <row r="216" ht="15.75" customHeight="1">
      <c r="A216" s="347"/>
      <c r="G216" s="314"/>
    </row>
    <row r="217" ht="15.75" customHeight="1">
      <c r="A217" s="347"/>
      <c r="G217" s="314"/>
    </row>
    <row r="218" ht="15.75" customHeight="1">
      <c r="A218" s="347"/>
      <c r="G218" s="314"/>
    </row>
    <row r="219" ht="15.75" customHeight="1">
      <c r="A219" s="347"/>
      <c r="G219" s="314"/>
    </row>
    <row r="220" ht="15.75" customHeight="1">
      <c r="A220" s="347"/>
      <c r="G220" s="314"/>
    </row>
    <row r="221" ht="15.75" customHeight="1">
      <c r="A221" s="347"/>
      <c r="G221" s="314"/>
    </row>
    <row r="222" ht="15.75" customHeight="1">
      <c r="A222" s="347"/>
      <c r="G222" s="314"/>
    </row>
    <row r="223" ht="15.75" customHeight="1">
      <c r="A223" s="347"/>
      <c r="G223" s="314"/>
    </row>
    <row r="224" ht="15.75" customHeight="1">
      <c r="A224" s="347"/>
      <c r="G224" s="314"/>
    </row>
    <row r="225" ht="15.75" customHeight="1">
      <c r="A225" s="347"/>
      <c r="G225" s="314"/>
    </row>
    <row r="226" ht="15.75" customHeight="1">
      <c r="A226" s="347"/>
      <c r="G226" s="314"/>
    </row>
    <row r="227" ht="15.75" customHeight="1">
      <c r="A227" s="347"/>
      <c r="G227" s="314"/>
    </row>
    <row r="228" ht="15.75" customHeight="1">
      <c r="A228" s="347"/>
      <c r="G228" s="314"/>
    </row>
    <row r="229" ht="15.75" customHeight="1">
      <c r="A229" s="347"/>
      <c r="G229" s="314"/>
    </row>
    <row r="230" ht="15.75" customHeight="1">
      <c r="A230" s="347"/>
      <c r="G230" s="314"/>
    </row>
    <row r="231" ht="15.75" customHeight="1">
      <c r="A231" s="347"/>
      <c r="G231" s="314"/>
    </row>
    <row r="232" ht="15.75" customHeight="1">
      <c r="A232" s="347"/>
      <c r="G232" s="314"/>
    </row>
    <row r="233" ht="15.75" customHeight="1">
      <c r="A233" s="347"/>
      <c r="G233" s="314"/>
    </row>
    <row r="234" ht="15.75" customHeight="1">
      <c r="A234" s="347"/>
      <c r="G234" s="314"/>
    </row>
    <row r="235" ht="15.75" customHeight="1">
      <c r="A235" s="347"/>
      <c r="G235" s="314"/>
    </row>
    <row r="236" ht="15.75" customHeight="1">
      <c r="A236" s="347"/>
      <c r="G236" s="314"/>
    </row>
    <row r="237" ht="15.75" customHeight="1">
      <c r="A237" s="347"/>
      <c r="G237" s="314"/>
    </row>
    <row r="238" ht="15.75" customHeight="1">
      <c r="A238" s="347"/>
      <c r="G238" s="314"/>
    </row>
    <row r="239" ht="15.75" customHeight="1">
      <c r="A239" s="347"/>
      <c r="G239" s="314"/>
    </row>
    <row r="240" ht="15.75" customHeight="1">
      <c r="A240" s="347"/>
      <c r="G240" s="314"/>
    </row>
    <row r="241" ht="15.75" customHeight="1">
      <c r="A241" s="347"/>
      <c r="G241" s="314"/>
    </row>
    <row r="242" ht="15.75" customHeight="1">
      <c r="A242" s="347"/>
      <c r="G242" s="314"/>
    </row>
    <row r="243" ht="15.75" customHeight="1">
      <c r="A243" s="347"/>
      <c r="G243" s="314"/>
    </row>
    <row r="244" ht="15.75" customHeight="1">
      <c r="A244" s="347"/>
      <c r="G244" s="314"/>
    </row>
    <row r="245" ht="15.75" customHeight="1">
      <c r="A245" s="347"/>
      <c r="G245" s="314"/>
    </row>
    <row r="246" ht="15.75" customHeight="1">
      <c r="A246" s="347"/>
      <c r="G246" s="314"/>
    </row>
    <row r="247" ht="15.75" customHeight="1">
      <c r="A247" s="347"/>
      <c r="G247" s="314"/>
    </row>
    <row r="248" ht="15.75" customHeight="1">
      <c r="A248" s="347"/>
      <c r="G248" s="314"/>
    </row>
    <row r="249" ht="15.75" customHeight="1">
      <c r="A249" s="347"/>
      <c r="G249" s="314"/>
    </row>
    <row r="250" ht="15.75" customHeight="1">
      <c r="A250" s="347"/>
      <c r="G250" s="314"/>
    </row>
    <row r="251" ht="15.75" customHeight="1">
      <c r="A251" s="347"/>
      <c r="G251" s="314"/>
    </row>
    <row r="252" ht="15.75" customHeight="1">
      <c r="A252" s="347"/>
      <c r="G252" s="314"/>
    </row>
    <row r="253" ht="15.75" customHeight="1">
      <c r="A253" s="347"/>
      <c r="G253" s="314"/>
    </row>
    <row r="254" ht="15.75" customHeight="1">
      <c r="A254" s="347"/>
      <c r="G254" s="314"/>
    </row>
    <row r="255" ht="15.75" customHeight="1">
      <c r="A255" s="347"/>
      <c r="G255" s="314"/>
    </row>
    <row r="256" ht="15.75" customHeight="1">
      <c r="A256" s="347"/>
      <c r="G256" s="314"/>
    </row>
    <row r="257" ht="15.75" customHeight="1">
      <c r="A257" s="347"/>
      <c r="G257" s="314"/>
    </row>
    <row r="258" ht="15.75" customHeight="1">
      <c r="A258" s="347"/>
      <c r="G258" s="314"/>
    </row>
    <row r="259" ht="15.75" customHeight="1">
      <c r="A259" s="347"/>
      <c r="G259" s="314"/>
    </row>
    <row r="260" ht="15.75" customHeight="1">
      <c r="A260" s="347"/>
      <c r="G260" s="314"/>
    </row>
    <row r="261" ht="15.75" customHeight="1">
      <c r="A261" s="347"/>
      <c r="G261" s="314"/>
    </row>
    <row r="262" ht="15.75" customHeight="1">
      <c r="A262" s="347"/>
      <c r="G262" s="314"/>
    </row>
    <row r="263" ht="15.75" customHeight="1">
      <c r="A263" s="347"/>
      <c r="G263" s="314"/>
    </row>
    <row r="264" ht="15.75" customHeight="1">
      <c r="A264" s="347"/>
      <c r="G264" s="314"/>
    </row>
    <row r="265" ht="15.75" customHeight="1">
      <c r="A265" s="347"/>
      <c r="G265" s="314"/>
    </row>
    <row r="266" ht="15.75" customHeight="1">
      <c r="A266" s="347"/>
      <c r="G266" s="314"/>
    </row>
    <row r="267" ht="15.75" customHeight="1">
      <c r="A267" s="347"/>
      <c r="G267" s="314"/>
    </row>
    <row r="268" ht="15.75" customHeight="1">
      <c r="A268" s="347"/>
      <c r="G268" s="314"/>
    </row>
    <row r="269" ht="15.75" customHeight="1">
      <c r="A269" s="347"/>
      <c r="G269" s="314"/>
    </row>
    <row r="270" ht="15.75" customHeight="1">
      <c r="A270" s="347"/>
      <c r="G270" s="314"/>
    </row>
    <row r="271" ht="15.75" customHeight="1">
      <c r="A271" s="347"/>
      <c r="G271" s="314"/>
    </row>
    <row r="272" ht="15.75" customHeight="1">
      <c r="A272" s="347"/>
      <c r="G272" s="314"/>
    </row>
    <row r="273" ht="15.75" customHeight="1">
      <c r="A273" s="347"/>
      <c r="G273" s="314"/>
    </row>
    <row r="274" ht="15.75" customHeight="1">
      <c r="A274" s="347"/>
      <c r="G274" s="314"/>
    </row>
    <row r="275" ht="15.75" customHeight="1">
      <c r="A275" s="347"/>
      <c r="G275" s="314"/>
    </row>
    <row r="276" ht="15.75" customHeight="1">
      <c r="A276" s="347"/>
      <c r="G276" s="314"/>
    </row>
    <row r="277" ht="15.75" customHeight="1">
      <c r="A277" s="347"/>
      <c r="G277" s="314"/>
    </row>
    <row r="278" ht="15.75" customHeight="1">
      <c r="A278" s="347"/>
      <c r="G278" s="314"/>
    </row>
    <row r="279" ht="15.75" customHeight="1">
      <c r="A279" s="347"/>
      <c r="G279" s="314"/>
    </row>
    <row r="280" ht="15.75" customHeight="1">
      <c r="A280" s="347"/>
      <c r="G280" s="314"/>
    </row>
    <row r="281" ht="15.75" customHeight="1">
      <c r="A281" s="347"/>
      <c r="G281" s="314"/>
    </row>
    <row r="282" ht="15.75" customHeight="1">
      <c r="A282" s="347"/>
      <c r="G282" s="314"/>
    </row>
    <row r="283" ht="15.75" customHeight="1">
      <c r="A283" s="347"/>
      <c r="G283" s="314"/>
    </row>
    <row r="284" ht="15.75" customHeight="1">
      <c r="A284" s="347"/>
      <c r="G284" s="314"/>
    </row>
    <row r="285" ht="15.75" customHeight="1">
      <c r="A285" s="347"/>
      <c r="G285" s="314"/>
    </row>
    <row r="286" ht="15.75" customHeight="1">
      <c r="A286" s="347"/>
      <c r="G286" s="314"/>
    </row>
    <row r="287" ht="15.75" customHeight="1">
      <c r="A287" s="347"/>
      <c r="G287" s="314"/>
    </row>
    <row r="288" ht="15.75" customHeight="1">
      <c r="A288" s="347"/>
      <c r="G288" s="314"/>
    </row>
    <row r="289" ht="15.75" customHeight="1">
      <c r="A289" s="347"/>
      <c r="G289" s="314"/>
    </row>
    <row r="290" ht="15.75" customHeight="1">
      <c r="A290" s="347"/>
      <c r="G290" s="314"/>
    </row>
    <row r="291" ht="15.75" customHeight="1">
      <c r="A291" s="347"/>
      <c r="G291" s="314"/>
    </row>
    <row r="292" ht="15.75" customHeight="1">
      <c r="A292" s="347"/>
      <c r="G292" s="314"/>
    </row>
    <row r="293" ht="15.75" customHeight="1">
      <c r="A293" s="347"/>
      <c r="G293" s="314"/>
    </row>
    <row r="294" ht="15.75" customHeight="1">
      <c r="A294" s="347"/>
      <c r="G294" s="314"/>
    </row>
    <row r="295" ht="15.75" customHeight="1">
      <c r="A295" s="347"/>
      <c r="G295" s="314"/>
    </row>
    <row r="296" ht="15.75" customHeight="1">
      <c r="A296" s="347"/>
      <c r="G296" s="314"/>
    </row>
    <row r="297" ht="15.75" customHeight="1">
      <c r="A297" s="347"/>
      <c r="G297" s="314"/>
    </row>
    <row r="298" ht="15.75" customHeight="1">
      <c r="A298" s="347"/>
      <c r="G298" s="314"/>
    </row>
    <row r="299" ht="15.75" customHeight="1">
      <c r="A299" s="347"/>
      <c r="G299" s="314"/>
    </row>
    <row r="300" ht="15.75" customHeight="1">
      <c r="A300" s="347"/>
      <c r="G300" s="314"/>
    </row>
    <row r="301" ht="15.75" customHeight="1">
      <c r="A301" s="347"/>
      <c r="G301" s="314"/>
    </row>
    <row r="302" ht="15.75" customHeight="1">
      <c r="A302" s="347"/>
      <c r="G302" s="314"/>
    </row>
    <row r="303" ht="15.75" customHeight="1">
      <c r="A303" s="347"/>
      <c r="G303" s="314"/>
    </row>
    <row r="304" ht="15.75" customHeight="1">
      <c r="A304" s="347"/>
      <c r="G304" s="314"/>
    </row>
    <row r="305" ht="15.75" customHeight="1">
      <c r="A305" s="347"/>
      <c r="G305" s="314"/>
    </row>
    <row r="306" ht="15.75" customHeight="1">
      <c r="A306" s="347"/>
      <c r="G306" s="314"/>
    </row>
    <row r="307" ht="15.75" customHeight="1">
      <c r="A307" s="347"/>
      <c r="G307" s="314"/>
    </row>
    <row r="308" ht="15.75" customHeight="1">
      <c r="A308" s="347"/>
      <c r="G308" s="314"/>
    </row>
    <row r="309" ht="15.75" customHeight="1">
      <c r="A309" s="347"/>
      <c r="G309" s="314"/>
    </row>
    <row r="310" ht="15.75" customHeight="1">
      <c r="A310" s="347"/>
      <c r="G310" s="314"/>
    </row>
    <row r="311" ht="15.75" customHeight="1">
      <c r="A311" s="347"/>
      <c r="G311" s="314"/>
    </row>
    <row r="312" ht="15.75" customHeight="1">
      <c r="A312" s="347"/>
      <c r="G312" s="314"/>
    </row>
    <row r="313" ht="15.75" customHeight="1">
      <c r="A313" s="347"/>
      <c r="G313" s="314"/>
    </row>
    <row r="314" ht="15.75" customHeight="1">
      <c r="A314" s="347"/>
      <c r="G314" s="314"/>
    </row>
    <row r="315" ht="15.75" customHeight="1">
      <c r="A315" s="347"/>
      <c r="G315" s="314"/>
    </row>
    <row r="316" ht="15.75" customHeight="1">
      <c r="A316" s="347"/>
      <c r="G316" s="314"/>
    </row>
    <row r="317" ht="15.75" customHeight="1">
      <c r="A317" s="347"/>
      <c r="G317" s="314"/>
    </row>
    <row r="318" ht="15.75" customHeight="1">
      <c r="A318" s="347"/>
      <c r="G318" s="314"/>
    </row>
    <row r="319" ht="15.75" customHeight="1">
      <c r="A319" s="347"/>
      <c r="G319" s="314"/>
    </row>
    <row r="320" ht="15.75" customHeight="1">
      <c r="A320" s="347"/>
      <c r="G320" s="314"/>
    </row>
    <row r="321" ht="15.75" customHeight="1">
      <c r="A321" s="347"/>
      <c r="G321" s="314"/>
    </row>
    <row r="322" ht="15.75" customHeight="1">
      <c r="A322" s="347"/>
      <c r="G322" s="314"/>
    </row>
    <row r="323" ht="15.75" customHeight="1">
      <c r="A323" s="347"/>
      <c r="G323" s="314"/>
    </row>
    <row r="324" ht="15.75" customHeight="1">
      <c r="A324" s="347"/>
      <c r="G324" s="314"/>
    </row>
    <row r="325" ht="15.75" customHeight="1">
      <c r="A325" s="347"/>
      <c r="G325" s="314"/>
    </row>
    <row r="326" ht="15.75" customHeight="1">
      <c r="A326" s="347"/>
      <c r="G326" s="314"/>
    </row>
    <row r="327" ht="15.75" customHeight="1">
      <c r="A327" s="347"/>
      <c r="G327" s="314"/>
    </row>
    <row r="328" ht="15.75" customHeight="1">
      <c r="A328" s="347"/>
      <c r="G328" s="314"/>
    </row>
    <row r="329" ht="15.75" customHeight="1">
      <c r="A329" s="347"/>
      <c r="G329" s="314"/>
    </row>
    <row r="330" ht="15.75" customHeight="1">
      <c r="A330" s="347"/>
      <c r="G330" s="314"/>
    </row>
    <row r="331" ht="15.75" customHeight="1">
      <c r="A331" s="347"/>
      <c r="G331" s="314"/>
    </row>
    <row r="332" ht="15.75" customHeight="1">
      <c r="A332" s="347"/>
      <c r="G332" s="314"/>
    </row>
    <row r="333" ht="15.75" customHeight="1">
      <c r="A333" s="347"/>
      <c r="G333" s="314"/>
    </row>
    <row r="334" ht="15.75" customHeight="1">
      <c r="A334" s="347"/>
      <c r="G334" s="314"/>
    </row>
    <row r="335" ht="15.75" customHeight="1">
      <c r="A335" s="347"/>
      <c r="G335" s="314"/>
    </row>
    <row r="336" ht="15.75" customHeight="1">
      <c r="A336" s="347"/>
      <c r="G336" s="314"/>
    </row>
    <row r="337" ht="15.75" customHeight="1">
      <c r="A337" s="347"/>
      <c r="G337" s="314"/>
    </row>
    <row r="338" ht="15.75" customHeight="1">
      <c r="A338" s="347"/>
      <c r="G338" s="314"/>
    </row>
    <row r="339" ht="15.75" customHeight="1">
      <c r="A339" s="347"/>
      <c r="G339" s="314"/>
    </row>
    <row r="340" ht="15.75" customHeight="1">
      <c r="A340" s="347"/>
      <c r="G340" s="314"/>
    </row>
    <row r="341" ht="15.75" customHeight="1">
      <c r="A341" s="347"/>
      <c r="G341" s="314"/>
    </row>
    <row r="342" ht="15.75" customHeight="1">
      <c r="A342" s="347"/>
      <c r="G342" s="314"/>
    </row>
    <row r="343" ht="15.75" customHeight="1">
      <c r="A343" s="347"/>
      <c r="G343" s="314"/>
    </row>
    <row r="344" ht="15.75" customHeight="1">
      <c r="A344" s="347"/>
      <c r="G344" s="314"/>
    </row>
    <row r="345" ht="15.75" customHeight="1">
      <c r="A345" s="347"/>
      <c r="G345" s="314"/>
    </row>
    <row r="346" ht="15.75" customHeight="1">
      <c r="G346" s="314"/>
    </row>
    <row r="347" ht="15.75" customHeight="1">
      <c r="G347" s="314"/>
    </row>
    <row r="348" ht="15.75" customHeight="1">
      <c r="G348" s="314"/>
    </row>
    <row r="349" ht="15.75" customHeight="1">
      <c r="G349" s="314"/>
    </row>
    <row r="350" ht="15.75" customHeight="1">
      <c r="G350" s="314"/>
    </row>
    <row r="351" ht="15.75" customHeight="1">
      <c r="G351" s="314"/>
    </row>
    <row r="352" ht="15.75" customHeight="1">
      <c r="G352" s="314"/>
    </row>
    <row r="353" ht="15.75" customHeight="1">
      <c r="G353" s="314"/>
    </row>
    <row r="354" ht="15.75" customHeight="1">
      <c r="G354" s="314"/>
    </row>
    <row r="355" ht="15.75" customHeight="1">
      <c r="G355" s="314"/>
    </row>
    <row r="356" ht="15.75" customHeight="1">
      <c r="G356" s="314"/>
    </row>
    <row r="357" ht="15.75" customHeight="1">
      <c r="G357" s="314"/>
    </row>
    <row r="358" ht="15.75" customHeight="1">
      <c r="G358" s="314"/>
    </row>
    <row r="359" ht="15.75" customHeight="1">
      <c r="G359" s="314"/>
    </row>
    <row r="360" ht="15.75" customHeight="1">
      <c r="G360" s="314"/>
    </row>
    <row r="361" ht="15.75" customHeight="1">
      <c r="G361" s="314"/>
    </row>
    <row r="362" ht="15.75" customHeight="1">
      <c r="G362" s="314"/>
    </row>
    <row r="363" ht="15.75" customHeight="1">
      <c r="G363" s="314"/>
    </row>
    <row r="364" ht="15.75" customHeight="1">
      <c r="G364" s="314"/>
    </row>
    <row r="365" ht="15.75" customHeight="1">
      <c r="G365" s="314"/>
    </row>
    <row r="366" ht="15.75" customHeight="1">
      <c r="G366" s="314"/>
    </row>
    <row r="367" ht="15.75" customHeight="1">
      <c r="G367" s="314"/>
    </row>
    <row r="368" ht="15.75" customHeight="1">
      <c r="G368" s="314"/>
    </row>
    <row r="369" ht="15.75" customHeight="1">
      <c r="G369" s="314"/>
    </row>
    <row r="370" ht="15.75" customHeight="1">
      <c r="G370" s="314"/>
    </row>
    <row r="371" ht="15.75" customHeight="1">
      <c r="G371" s="314"/>
    </row>
    <row r="372" ht="15.75" customHeight="1">
      <c r="G372" s="314"/>
    </row>
    <row r="373" ht="15.75" customHeight="1">
      <c r="G373" s="314"/>
    </row>
    <row r="374" ht="15.75" customHeight="1">
      <c r="G374" s="314"/>
    </row>
    <row r="375" ht="15.75" customHeight="1">
      <c r="G375" s="314"/>
    </row>
    <row r="376" ht="15.75" customHeight="1">
      <c r="G376" s="314"/>
    </row>
    <row r="377" ht="15.75" customHeight="1">
      <c r="G377" s="314"/>
    </row>
    <row r="378" ht="15.75" customHeight="1">
      <c r="G378" s="314"/>
    </row>
    <row r="379" ht="15.75" customHeight="1">
      <c r="G379" s="314"/>
    </row>
    <row r="380" ht="15.75" customHeight="1">
      <c r="G380" s="314"/>
    </row>
    <row r="381" ht="15.75" customHeight="1">
      <c r="G381" s="314"/>
    </row>
    <row r="382" ht="15.75" customHeight="1">
      <c r="G382" s="314"/>
    </row>
    <row r="383" ht="15.75" customHeight="1">
      <c r="G383" s="314"/>
    </row>
    <row r="384" ht="15.75" customHeight="1">
      <c r="G384" s="314"/>
    </row>
    <row r="385" ht="15.75" customHeight="1">
      <c r="G385" s="314"/>
    </row>
    <row r="386" ht="15.75" customHeight="1">
      <c r="G386" s="314"/>
    </row>
    <row r="387" ht="15.75" customHeight="1">
      <c r="G387" s="314"/>
    </row>
    <row r="388" ht="15.75" customHeight="1">
      <c r="G388" s="314"/>
    </row>
    <row r="389" ht="15.75" customHeight="1">
      <c r="G389" s="314"/>
    </row>
    <row r="390" ht="15.75" customHeight="1">
      <c r="G390" s="314"/>
    </row>
    <row r="391" ht="15.75" customHeight="1">
      <c r="G391" s="314"/>
    </row>
    <row r="392" ht="15.75" customHeight="1">
      <c r="G392" s="314"/>
    </row>
    <row r="393" ht="15.75" customHeight="1">
      <c r="G393" s="314"/>
    </row>
    <row r="394" ht="15.75" customHeight="1">
      <c r="G394" s="314"/>
    </row>
    <row r="395" ht="15.75" customHeight="1">
      <c r="G395" s="314"/>
    </row>
    <row r="396" ht="15.75" customHeight="1">
      <c r="G396" s="314"/>
    </row>
    <row r="397" ht="15.75" customHeight="1">
      <c r="G397" s="314"/>
    </row>
    <row r="398" ht="15.75" customHeight="1">
      <c r="G398" s="314"/>
    </row>
    <row r="399" ht="15.75" customHeight="1">
      <c r="G399" s="314"/>
    </row>
    <row r="400" ht="15.75" customHeight="1">
      <c r="G400" s="314"/>
    </row>
    <row r="401" ht="15.75" customHeight="1">
      <c r="G401" s="314"/>
    </row>
    <row r="402" ht="15.75" customHeight="1">
      <c r="G402" s="314"/>
    </row>
    <row r="403" ht="15.75" customHeight="1">
      <c r="G403" s="314"/>
    </row>
    <row r="404" ht="15.75" customHeight="1">
      <c r="G404" s="314"/>
    </row>
    <row r="405" ht="15.75" customHeight="1">
      <c r="G405" s="314"/>
    </row>
    <row r="406" ht="15.75" customHeight="1">
      <c r="G406" s="314"/>
    </row>
    <row r="407" ht="15.75" customHeight="1">
      <c r="G407" s="314"/>
    </row>
    <row r="408" ht="15.75" customHeight="1">
      <c r="G408" s="314"/>
    </row>
    <row r="409" ht="15.75" customHeight="1">
      <c r="G409" s="314"/>
    </row>
    <row r="410" ht="15.75" customHeight="1">
      <c r="G410" s="314"/>
    </row>
    <row r="411" ht="15.75" customHeight="1">
      <c r="G411" s="314"/>
    </row>
    <row r="412" ht="15.75" customHeight="1">
      <c r="G412" s="314"/>
    </row>
    <row r="413" ht="15.75" customHeight="1">
      <c r="G413" s="314"/>
    </row>
    <row r="414" ht="15.75" customHeight="1">
      <c r="G414" s="314"/>
    </row>
    <row r="415" ht="15.75" customHeight="1">
      <c r="G415" s="314"/>
    </row>
    <row r="416" ht="15.75" customHeight="1">
      <c r="G416" s="314"/>
    </row>
    <row r="417" ht="15.75" customHeight="1">
      <c r="G417" s="314"/>
    </row>
    <row r="418" ht="15.75" customHeight="1">
      <c r="G418" s="314"/>
    </row>
    <row r="419" ht="15.75" customHeight="1">
      <c r="G419" s="314"/>
    </row>
    <row r="420" ht="15.75" customHeight="1">
      <c r="G420" s="314"/>
    </row>
    <row r="421" ht="15.75" customHeight="1">
      <c r="G421" s="314"/>
    </row>
    <row r="422" ht="15.75" customHeight="1">
      <c r="G422" s="314"/>
    </row>
    <row r="423" ht="15.75" customHeight="1">
      <c r="G423" s="314"/>
    </row>
    <row r="424" ht="15.75" customHeight="1">
      <c r="G424" s="314"/>
    </row>
    <row r="425" ht="15.75" customHeight="1">
      <c r="G425" s="314"/>
    </row>
    <row r="426" ht="15.75" customHeight="1">
      <c r="G426" s="314"/>
    </row>
    <row r="427" ht="15.75" customHeight="1">
      <c r="G427" s="314"/>
    </row>
    <row r="428" ht="15.75" customHeight="1">
      <c r="G428" s="314"/>
    </row>
    <row r="429" ht="15.75" customHeight="1">
      <c r="G429" s="314"/>
    </row>
    <row r="430" ht="15.75" customHeight="1">
      <c r="G430" s="314"/>
    </row>
    <row r="431" ht="15.75" customHeight="1">
      <c r="G431" s="314"/>
    </row>
    <row r="432" ht="15.75" customHeight="1">
      <c r="G432" s="314"/>
    </row>
    <row r="433" ht="15.75" customHeight="1">
      <c r="G433" s="314"/>
    </row>
    <row r="434" ht="15.75" customHeight="1">
      <c r="G434" s="314"/>
    </row>
    <row r="435" ht="15.75" customHeight="1">
      <c r="G435" s="314"/>
    </row>
    <row r="436" ht="15.75" customHeight="1">
      <c r="G436" s="314"/>
    </row>
    <row r="437" ht="15.75" customHeight="1">
      <c r="G437" s="314"/>
    </row>
    <row r="438" ht="15.75" customHeight="1">
      <c r="G438" s="314"/>
    </row>
    <row r="439" ht="15.75" customHeight="1">
      <c r="G439" s="314"/>
    </row>
    <row r="440" ht="15.75" customHeight="1">
      <c r="G440" s="314"/>
    </row>
    <row r="441" ht="15.75" customHeight="1">
      <c r="G441" s="314"/>
    </row>
    <row r="442" ht="15.75" customHeight="1">
      <c r="G442" s="314"/>
    </row>
    <row r="443" ht="15.75" customHeight="1">
      <c r="G443" s="314"/>
    </row>
    <row r="444" ht="15.75" customHeight="1">
      <c r="G444" s="314"/>
    </row>
    <row r="445" ht="15.75" customHeight="1">
      <c r="G445" s="314"/>
    </row>
    <row r="446" ht="15.75" customHeight="1">
      <c r="G446" s="314"/>
    </row>
    <row r="447" ht="15.75" customHeight="1">
      <c r="G447" s="314"/>
    </row>
    <row r="448" ht="15.75" customHeight="1">
      <c r="G448" s="314"/>
    </row>
    <row r="449" ht="15.75" customHeight="1">
      <c r="G449" s="314"/>
    </row>
    <row r="450" ht="15.75" customHeight="1">
      <c r="G450" s="314"/>
    </row>
    <row r="451" ht="15.75" customHeight="1">
      <c r="G451" s="314"/>
    </row>
    <row r="452" ht="15.75" customHeight="1">
      <c r="G452" s="314"/>
    </row>
    <row r="453" ht="15.75" customHeight="1">
      <c r="G453" s="314"/>
    </row>
    <row r="454" ht="15.75" customHeight="1">
      <c r="G454" s="314"/>
    </row>
    <row r="455" ht="15.75" customHeight="1">
      <c r="G455" s="314"/>
    </row>
    <row r="456" ht="15.75" customHeight="1">
      <c r="G456" s="314"/>
    </row>
    <row r="457" ht="15.75" customHeight="1">
      <c r="G457" s="314"/>
    </row>
    <row r="458" ht="15.75" customHeight="1">
      <c r="G458" s="314"/>
    </row>
    <row r="459" ht="15.75" customHeight="1">
      <c r="G459" s="314"/>
    </row>
    <row r="460" ht="15.75" customHeight="1">
      <c r="G460" s="314"/>
    </row>
    <row r="461" ht="15.75" customHeight="1">
      <c r="G461" s="314"/>
    </row>
    <row r="462" ht="15.75" customHeight="1">
      <c r="G462" s="314"/>
    </row>
    <row r="463" ht="15.75" customHeight="1">
      <c r="G463" s="314"/>
    </row>
    <row r="464" ht="15.75" customHeight="1">
      <c r="G464" s="314"/>
    </row>
    <row r="465" ht="15.75" customHeight="1">
      <c r="G465" s="314"/>
    </row>
    <row r="466" ht="15.75" customHeight="1">
      <c r="G466" s="314"/>
    </row>
    <row r="467" ht="15.75" customHeight="1">
      <c r="G467" s="314"/>
    </row>
    <row r="468" ht="15.75" customHeight="1">
      <c r="G468" s="314"/>
    </row>
    <row r="469" ht="15.75" customHeight="1">
      <c r="G469" s="314"/>
    </row>
    <row r="470" ht="15.75" customHeight="1">
      <c r="G470" s="314"/>
    </row>
    <row r="471" ht="15.75" customHeight="1">
      <c r="G471" s="314"/>
    </row>
    <row r="472" ht="15.75" customHeight="1">
      <c r="G472" s="314"/>
    </row>
    <row r="473" ht="15.75" customHeight="1">
      <c r="G473" s="314"/>
    </row>
    <row r="474" ht="15.75" customHeight="1">
      <c r="G474" s="314"/>
    </row>
    <row r="475" ht="15.75" customHeight="1">
      <c r="G475" s="314"/>
    </row>
    <row r="476" ht="15.75" customHeight="1">
      <c r="G476" s="314"/>
    </row>
    <row r="477" ht="15.75" customHeight="1">
      <c r="G477" s="314"/>
    </row>
    <row r="478" ht="15.75" customHeight="1">
      <c r="G478" s="314"/>
    </row>
    <row r="479" ht="15.75" customHeight="1">
      <c r="G479" s="314"/>
    </row>
    <row r="480" ht="15.75" customHeight="1">
      <c r="G480" s="314"/>
    </row>
    <row r="481" ht="15.75" customHeight="1">
      <c r="G481" s="314"/>
    </row>
    <row r="482" ht="15.75" customHeight="1">
      <c r="G482" s="314"/>
    </row>
    <row r="483" ht="15.75" customHeight="1">
      <c r="G483" s="314"/>
    </row>
    <row r="484" ht="15.75" customHeight="1">
      <c r="G484" s="314"/>
    </row>
    <row r="485" ht="15.75" customHeight="1">
      <c r="G485" s="314"/>
    </row>
    <row r="486" ht="15.75" customHeight="1">
      <c r="G486" s="314"/>
    </row>
    <row r="487" ht="15.75" customHeight="1">
      <c r="G487" s="314"/>
    </row>
    <row r="488" ht="15.75" customHeight="1">
      <c r="G488" s="314"/>
    </row>
    <row r="489" ht="15.75" customHeight="1">
      <c r="G489" s="314"/>
    </row>
    <row r="490" ht="15.75" customHeight="1">
      <c r="G490" s="314"/>
    </row>
    <row r="491" ht="15.75" customHeight="1">
      <c r="G491" s="314"/>
    </row>
    <row r="492" ht="15.75" customHeight="1">
      <c r="G492" s="314"/>
    </row>
    <row r="493" ht="15.75" customHeight="1">
      <c r="G493" s="314"/>
    </row>
    <row r="494" ht="15.75" customHeight="1">
      <c r="G494" s="314"/>
    </row>
    <row r="495" ht="15.75" customHeight="1">
      <c r="G495" s="314"/>
    </row>
    <row r="496" ht="15.75" customHeight="1">
      <c r="G496" s="314"/>
    </row>
    <row r="497" ht="15.75" customHeight="1">
      <c r="G497" s="314"/>
    </row>
    <row r="498" ht="15.75" customHeight="1">
      <c r="G498" s="314"/>
    </row>
    <row r="499" ht="15.75" customHeight="1">
      <c r="G499" s="314"/>
    </row>
    <row r="500" ht="15.75" customHeight="1">
      <c r="G500" s="314"/>
    </row>
    <row r="501" ht="15.75" customHeight="1">
      <c r="G501" s="314"/>
    </row>
    <row r="502" ht="15.75" customHeight="1">
      <c r="G502" s="314"/>
    </row>
    <row r="503" ht="15.75" customHeight="1">
      <c r="G503" s="314"/>
    </row>
    <row r="504" ht="15.75" customHeight="1">
      <c r="G504" s="314"/>
    </row>
    <row r="505" ht="15.75" customHeight="1">
      <c r="G505" s="314"/>
    </row>
    <row r="506" ht="15.75" customHeight="1">
      <c r="G506" s="314"/>
    </row>
    <row r="507" ht="15.75" customHeight="1">
      <c r="G507" s="314"/>
    </row>
    <row r="508" ht="15.75" customHeight="1">
      <c r="G508" s="314"/>
    </row>
    <row r="509" ht="15.75" customHeight="1">
      <c r="G509" s="314"/>
    </row>
    <row r="510" ht="15.75" customHeight="1">
      <c r="G510" s="314"/>
    </row>
    <row r="511" ht="15.75" customHeight="1">
      <c r="G511" s="314"/>
    </row>
    <row r="512" ht="15.75" customHeight="1">
      <c r="G512" s="314"/>
    </row>
    <row r="513" ht="15.75" customHeight="1">
      <c r="G513" s="314"/>
    </row>
    <row r="514" ht="15.75" customHeight="1">
      <c r="G514" s="314"/>
    </row>
    <row r="515" ht="15.75" customHeight="1">
      <c r="G515" s="314"/>
    </row>
    <row r="516" ht="15.75" customHeight="1">
      <c r="G516" s="314"/>
    </row>
    <row r="517" ht="15.75" customHeight="1">
      <c r="G517" s="314"/>
    </row>
    <row r="518" ht="15.75" customHeight="1">
      <c r="G518" s="314"/>
    </row>
    <row r="519" ht="15.75" customHeight="1">
      <c r="G519" s="314"/>
    </row>
    <row r="520" ht="15.75" customHeight="1">
      <c r="G520" s="314"/>
    </row>
    <row r="521" ht="15.75" customHeight="1">
      <c r="G521" s="314"/>
    </row>
    <row r="522" ht="15.75" customHeight="1">
      <c r="G522" s="314"/>
    </row>
    <row r="523" ht="15.75" customHeight="1">
      <c r="G523" s="314"/>
    </row>
    <row r="524" ht="15.75" customHeight="1">
      <c r="G524" s="314"/>
    </row>
    <row r="525" ht="15.75" customHeight="1">
      <c r="G525" s="314"/>
    </row>
    <row r="526" ht="15.75" customHeight="1">
      <c r="G526" s="314"/>
    </row>
    <row r="527" ht="15.75" customHeight="1">
      <c r="G527" s="314"/>
    </row>
    <row r="528" ht="15.75" customHeight="1">
      <c r="G528" s="314"/>
    </row>
    <row r="529" ht="15.75" customHeight="1">
      <c r="G529" s="314"/>
    </row>
    <row r="530" ht="15.75" customHeight="1">
      <c r="G530" s="314"/>
    </row>
    <row r="531" ht="15.75" customHeight="1">
      <c r="G531" s="314"/>
    </row>
    <row r="532" ht="15.75" customHeight="1">
      <c r="G532" s="314"/>
    </row>
    <row r="533" ht="15.75" customHeight="1">
      <c r="G533" s="314"/>
    </row>
    <row r="534" ht="15.75" customHeight="1">
      <c r="G534" s="314"/>
    </row>
    <row r="535" ht="15.75" customHeight="1">
      <c r="G535" s="314"/>
    </row>
    <row r="536" ht="15.75" customHeight="1">
      <c r="G536" s="314"/>
    </row>
    <row r="537" ht="15.75" customHeight="1">
      <c r="G537" s="314"/>
    </row>
    <row r="538" ht="15.75" customHeight="1">
      <c r="G538" s="314"/>
    </row>
    <row r="539" ht="15.75" customHeight="1">
      <c r="G539" s="314"/>
    </row>
    <row r="540" ht="15.75" customHeight="1">
      <c r="G540" s="314"/>
    </row>
    <row r="541" ht="15.75" customHeight="1">
      <c r="G541" s="314"/>
    </row>
    <row r="542" ht="15.75" customHeight="1">
      <c r="G542" s="314"/>
    </row>
    <row r="543" ht="15.75" customHeight="1">
      <c r="G543" s="314"/>
    </row>
    <row r="544" ht="15.75" customHeight="1">
      <c r="G544" s="314"/>
    </row>
    <row r="545" ht="15.75" customHeight="1">
      <c r="G545" s="314"/>
    </row>
    <row r="546" ht="15.75" customHeight="1">
      <c r="G546" s="314"/>
    </row>
    <row r="547" ht="15.75" customHeight="1">
      <c r="G547" s="314"/>
    </row>
    <row r="548" ht="15.75" customHeight="1">
      <c r="G548" s="314"/>
    </row>
    <row r="549" ht="15.75" customHeight="1">
      <c r="G549" s="314"/>
    </row>
    <row r="550" ht="15.75" customHeight="1">
      <c r="G550" s="314"/>
    </row>
    <row r="551" ht="15.75" customHeight="1">
      <c r="G551" s="314"/>
    </row>
    <row r="552" ht="15.75" customHeight="1">
      <c r="G552" s="314"/>
    </row>
    <row r="553" ht="15.75" customHeight="1">
      <c r="G553" s="314"/>
    </row>
    <row r="554" ht="15.75" customHeight="1">
      <c r="G554" s="314"/>
    </row>
    <row r="555" ht="15.75" customHeight="1">
      <c r="G555" s="314"/>
    </row>
    <row r="556" ht="15.75" customHeight="1">
      <c r="G556" s="314"/>
    </row>
    <row r="557" ht="15.75" customHeight="1">
      <c r="G557" s="314"/>
    </row>
    <row r="558" ht="15.75" customHeight="1">
      <c r="G558" s="314"/>
    </row>
    <row r="559" ht="15.75" customHeight="1">
      <c r="G559" s="314"/>
    </row>
    <row r="560" ht="15.75" customHeight="1">
      <c r="G560" s="314"/>
    </row>
    <row r="561" ht="15.75" customHeight="1">
      <c r="G561" s="314"/>
    </row>
    <row r="562" ht="15.75" customHeight="1">
      <c r="G562" s="314"/>
    </row>
    <row r="563" ht="15.75" customHeight="1">
      <c r="G563" s="314"/>
    </row>
    <row r="564" ht="15.75" customHeight="1">
      <c r="G564" s="314"/>
    </row>
    <row r="565" ht="15.75" customHeight="1">
      <c r="G565" s="314"/>
    </row>
    <row r="566" ht="15.75" customHeight="1">
      <c r="G566" s="314"/>
    </row>
    <row r="567" ht="15.75" customHeight="1">
      <c r="G567" s="314"/>
    </row>
    <row r="568" ht="15.75" customHeight="1">
      <c r="G568" s="314"/>
    </row>
    <row r="569" ht="15.75" customHeight="1">
      <c r="G569" s="314"/>
    </row>
    <row r="570" ht="15.75" customHeight="1">
      <c r="G570" s="314"/>
    </row>
    <row r="571" ht="15.75" customHeight="1">
      <c r="G571" s="314"/>
    </row>
    <row r="572" ht="15.75" customHeight="1">
      <c r="G572" s="314"/>
    </row>
    <row r="573" ht="15.75" customHeight="1">
      <c r="G573" s="314"/>
    </row>
    <row r="574" ht="15.75" customHeight="1">
      <c r="G574" s="314"/>
    </row>
    <row r="575" ht="15.75" customHeight="1">
      <c r="G575" s="314"/>
    </row>
    <row r="576" ht="15.75" customHeight="1">
      <c r="G576" s="314"/>
    </row>
    <row r="577" ht="15.75" customHeight="1">
      <c r="G577" s="314"/>
    </row>
    <row r="578" ht="15.75" customHeight="1">
      <c r="G578" s="314"/>
    </row>
    <row r="579" ht="15.75" customHeight="1">
      <c r="G579" s="314"/>
    </row>
    <row r="580" ht="15.75" customHeight="1">
      <c r="G580" s="314"/>
    </row>
    <row r="581" ht="15.75" customHeight="1">
      <c r="G581" s="314"/>
    </row>
    <row r="582" ht="15.75" customHeight="1">
      <c r="G582" s="314"/>
    </row>
    <row r="583" ht="15.75" customHeight="1">
      <c r="G583" s="314"/>
    </row>
    <row r="584" ht="15.75" customHeight="1">
      <c r="G584" s="314"/>
    </row>
    <row r="585" ht="15.75" customHeight="1">
      <c r="G585" s="314"/>
    </row>
    <row r="586" ht="15.75" customHeight="1">
      <c r="G586" s="314"/>
    </row>
    <row r="587" ht="15.75" customHeight="1">
      <c r="G587" s="314"/>
    </row>
    <row r="588" ht="15.75" customHeight="1">
      <c r="G588" s="314"/>
    </row>
    <row r="589" ht="15.75" customHeight="1">
      <c r="G589" s="314"/>
    </row>
    <row r="590" ht="15.75" customHeight="1">
      <c r="G590" s="314"/>
    </row>
    <row r="591" ht="15.75" customHeight="1">
      <c r="G591" s="314"/>
    </row>
    <row r="592" ht="15.75" customHeight="1">
      <c r="G592" s="314"/>
    </row>
    <row r="593" ht="15.75" customHeight="1">
      <c r="G593" s="314"/>
    </row>
    <row r="594" ht="15.75" customHeight="1">
      <c r="G594" s="314"/>
    </row>
    <row r="595" ht="15.75" customHeight="1">
      <c r="G595" s="314"/>
    </row>
    <row r="596" ht="15.75" customHeight="1">
      <c r="G596" s="314"/>
    </row>
    <row r="597" ht="15.75" customHeight="1">
      <c r="G597" s="314"/>
    </row>
    <row r="598" ht="15.75" customHeight="1">
      <c r="G598" s="314"/>
    </row>
    <row r="599" ht="15.75" customHeight="1">
      <c r="G599" s="314"/>
    </row>
    <row r="600" ht="15.75" customHeight="1">
      <c r="G600" s="314"/>
    </row>
    <row r="601" ht="15.75" customHeight="1">
      <c r="G601" s="314"/>
    </row>
    <row r="602" ht="15.75" customHeight="1">
      <c r="G602" s="314"/>
    </row>
    <row r="603" ht="15.75" customHeight="1">
      <c r="G603" s="314"/>
    </row>
    <row r="604" ht="15.75" customHeight="1">
      <c r="G604" s="314"/>
    </row>
    <row r="605" ht="15.75" customHeight="1">
      <c r="G605" s="314"/>
    </row>
    <row r="606" ht="15.75" customHeight="1">
      <c r="G606" s="314"/>
    </row>
    <row r="607" ht="15.75" customHeight="1">
      <c r="G607" s="314"/>
    </row>
    <row r="608" ht="15.75" customHeight="1">
      <c r="G608" s="314"/>
    </row>
    <row r="609" ht="15.75" customHeight="1">
      <c r="G609" s="314"/>
    </row>
    <row r="610" ht="15.75" customHeight="1">
      <c r="G610" s="314"/>
    </row>
    <row r="611" ht="15.75" customHeight="1">
      <c r="G611" s="314"/>
    </row>
    <row r="612" ht="15.75" customHeight="1">
      <c r="G612" s="314"/>
    </row>
    <row r="613" ht="15.75" customHeight="1">
      <c r="G613" s="314"/>
    </row>
    <row r="614" ht="15.75" customHeight="1">
      <c r="G614" s="314"/>
    </row>
    <row r="615" ht="15.75" customHeight="1">
      <c r="G615" s="314"/>
    </row>
    <row r="616" ht="15.75" customHeight="1">
      <c r="G616" s="314"/>
    </row>
    <row r="617" ht="15.75" customHeight="1">
      <c r="G617" s="314"/>
    </row>
    <row r="618" ht="15.75" customHeight="1">
      <c r="G618" s="314"/>
    </row>
    <row r="619" ht="15.75" customHeight="1">
      <c r="G619" s="314"/>
    </row>
    <row r="620" ht="15.75" customHeight="1">
      <c r="G620" s="314"/>
    </row>
    <row r="621" ht="15.75" customHeight="1">
      <c r="G621" s="314"/>
    </row>
    <row r="622" ht="15.75" customHeight="1">
      <c r="G622" s="314"/>
    </row>
    <row r="623" ht="15.75" customHeight="1">
      <c r="G623" s="314"/>
    </row>
    <row r="624" ht="15.75" customHeight="1">
      <c r="G624" s="314"/>
    </row>
    <row r="625" ht="15.75" customHeight="1">
      <c r="G625" s="314"/>
    </row>
    <row r="626" ht="15.75" customHeight="1">
      <c r="G626" s="314"/>
    </row>
    <row r="627" ht="15.75" customHeight="1">
      <c r="G627" s="314"/>
    </row>
    <row r="628" ht="15.75" customHeight="1">
      <c r="G628" s="314"/>
    </row>
    <row r="629" ht="15.75" customHeight="1">
      <c r="G629" s="314"/>
    </row>
    <row r="630" ht="15.75" customHeight="1">
      <c r="G630" s="314"/>
    </row>
    <row r="631" ht="15.75" customHeight="1">
      <c r="G631" s="314"/>
    </row>
    <row r="632" ht="15.75" customHeight="1">
      <c r="G632" s="314"/>
    </row>
    <row r="633" ht="15.75" customHeight="1">
      <c r="G633" s="314"/>
    </row>
    <row r="634" ht="15.75" customHeight="1">
      <c r="G634" s="314"/>
    </row>
    <row r="635" ht="15.75" customHeight="1">
      <c r="G635" s="314"/>
    </row>
    <row r="636" ht="15.75" customHeight="1">
      <c r="G636" s="314"/>
    </row>
    <row r="637" ht="15.75" customHeight="1">
      <c r="G637" s="314"/>
    </row>
    <row r="638" ht="15.75" customHeight="1">
      <c r="G638" s="314"/>
    </row>
    <row r="639" ht="15.75" customHeight="1">
      <c r="G639" s="314"/>
    </row>
    <row r="640" ht="15.75" customHeight="1">
      <c r="G640" s="314"/>
    </row>
    <row r="641" ht="15.75" customHeight="1">
      <c r="G641" s="314"/>
    </row>
    <row r="642" ht="15.75" customHeight="1">
      <c r="G642" s="314"/>
    </row>
    <row r="643" ht="15.75" customHeight="1">
      <c r="G643" s="314"/>
    </row>
    <row r="644" ht="15.75" customHeight="1">
      <c r="G644" s="314"/>
    </row>
    <row r="645" ht="15.75" customHeight="1">
      <c r="G645" s="314"/>
    </row>
    <row r="646" ht="15.75" customHeight="1">
      <c r="G646" s="314"/>
    </row>
    <row r="647" ht="15.75" customHeight="1">
      <c r="G647" s="314"/>
    </row>
    <row r="648" ht="15.75" customHeight="1">
      <c r="G648" s="314"/>
    </row>
    <row r="649" ht="15.75" customHeight="1">
      <c r="G649" s="314"/>
    </row>
    <row r="650" ht="15.75" customHeight="1">
      <c r="G650" s="314"/>
    </row>
    <row r="651" ht="15.75" customHeight="1">
      <c r="G651" s="314"/>
    </row>
    <row r="652" ht="15.75" customHeight="1">
      <c r="G652" s="314"/>
    </row>
    <row r="653" ht="15.75" customHeight="1">
      <c r="G653" s="314"/>
    </row>
    <row r="654" ht="15.75" customHeight="1">
      <c r="G654" s="314"/>
    </row>
    <row r="655" ht="15.75" customHeight="1">
      <c r="G655" s="314"/>
    </row>
    <row r="656" ht="15.75" customHeight="1">
      <c r="G656" s="314"/>
    </row>
    <row r="657" ht="15.75" customHeight="1">
      <c r="G657" s="314"/>
    </row>
    <row r="658" ht="15.75" customHeight="1">
      <c r="G658" s="314"/>
    </row>
    <row r="659" ht="15.75" customHeight="1">
      <c r="G659" s="314"/>
    </row>
    <row r="660" ht="15.75" customHeight="1">
      <c r="G660" s="314"/>
    </row>
    <row r="661" ht="15.75" customHeight="1">
      <c r="G661" s="314"/>
    </row>
    <row r="662" ht="15.75" customHeight="1">
      <c r="G662" s="314"/>
    </row>
    <row r="663" ht="15.75" customHeight="1">
      <c r="G663" s="314"/>
    </row>
    <row r="664" ht="15.75" customHeight="1">
      <c r="G664" s="314"/>
    </row>
    <row r="665" ht="15.75" customHeight="1">
      <c r="G665" s="314"/>
    </row>
    <row r="666" ht="15.75" customHeight="1">
      <c r="G666" s="314"/>
    </row>
    <row r="667" ht="15.75" customHeight="1">
      <c r="G667" s="314"/>
    </row>
    <row r="668" ht="15.75" customHeight="1">
      <c r="G668" s="314"/>
    </row>
    <row r="669" ht="15.75" customHeight="1">
      <c r="G669" s="314"/>
    </row>
    <row r="670" ht="15.75" customHeight="1">
      <c r="G670" s="314"/>
    </row>
    <row r="671" ht="15.75" customHeight="1">
      <c r="G671" s="314"/>
    </row>
    <row r="672" ht="15.75" customHeight="1">
      <c r="G672" s="314"/>
    </row>
    <row r="673" ht="15.75" customHeight="1">
      <c r="G673" s="314"/>
    </row>
    <row r="674" ht="15.75" customHeight="1">
      <c r="G674" s="314"/>
    </row>
    <row r="675" ht="15.75" customHeight="1">
      <c r="G675" s="314"/>
    </row>
    <row r="676" ht="15.75" customHeight="1">
      <c r="G676" s="314"/>
    </row>
    <row r="677" ht="15.75" customHeight="1">
      <c r="G677" s="314"/>
    </row>
    <row r="678" ht="15.75" customHeight="1">
      <c r="G678" s="314"/>
    </row>
    <row r="679" ht="15.75" customHeight="1">
      <c r="G679" s="314"/>
    </row>
    <row r="680" ht="15.75" customHeight="1">
      <c r="G680" s="314"/>
    </row>
    <row r="681" ht="15.75" customHeight="1">
      <c r="G681" s="314"/>
    </row>
    <row r="682" ht="15.75" customHeight="1">
      <c r="G682" s="314"/>
    </row>
    <row r="683" ht="15.75" customHeight="1">
      <c r="G683" s="314"/>
    </row>
    <row r="684" ht="15.75" customHeight="1">
      <c r="G684" s="314"/>
    </row>
    <row r="685" ht="15.75" customHeight="1">
      <c r="G685" s="314"/>
    </row>
    <row r="686" ht="15.75" customHeight="1">
      <c r="G686" s="314"/>
    </row>
    <row r="687" ht="15.75" customHeight="1">
      <c r="G687" s="314"/>
    </row>
    <row r="688" ht="15.75" customHeight="1">
      <c r="G688" s="314"/>
    </row>
    <row r="689" ht="15.75" customHeight="1">
      <c r="G689" s="314"/>
    </row>
    <row r="690" ht="15.75" customHeight="1">
      <c r="G690" s="314"/>
    </row>
    <row r="691" ht="15.75" customHeight="1">
      <c r="G691" s="314"/>
    </row>
    <row r="692" ht="15.75" customHeight="1">
      <c r="G692" s="314"/>
    </row>
    <row r="693" ht="15.75" customHeight="1">
      <c r="G693" s="314"/>
    </row>
    <row r="694" ht="15.75" customHeight="1">
      <c r="G694" s="314"/>
    </row>
    <row r="695" ht="15.75" customHeight="1">
      <c r="G695" s="314"/>
    </row>
    <row r="696" ht="15.75" customHeight="1">
      <c r="G696" s="314"/>
    </row>
    <row r="697" ht="15.75" customHeight="1">
      <c r="G697" s="314"/>
    </row>
    <row r="698" ht="15.75" customHeight="1">
      <c r="G698" s="314"/>
    </row>
    <row r="699" ht="15.75" customHeight="1">
      <c r="G699" s="314"/>
    </row>
    <row r="700" ht="15.75" customHeight="1">
      <c r="G700" s="314"/>
    </row>
    <row r="701" ht="15.75" customHeight="1">
      <c r="G701" s="314"/>
    </row>
    <row r="702" ht="15.75" customHeight="1">
      <c r="G702" s="314"/>
    </row>
    <row r="703" ht="15.75" customHeight="1">
      <c r="G703" s="314"/>
    </row>
    <row r="704" ht="15.75" customHeight="1">
      <c r="G704" s="314"/>
    </row>
    <row r="705" ht="15.75" customHeight="1">
      <c r="G705" s="314"/>
    </row>
    <row r="706" ht="15.75" customHeight="1">
      <c r="G706" s="314"/>
    </row>
    <row r="707" ht="15.75" customHeight="1">
      <c r="G707" s="314"/>
    </row>
    <row r="708" ht="15.75" customHeight="1">
      <c r="G708" s="314"/>
    </row>
    <row r="709" ht="15.75" customHeight="1">
      <c r="G709" s="314"/>
    </row>
    <row r="710" ht="15.75" customHeight="1">
      <c r="G710" s="314"/>
    </row>
    <row r="711" ht="15.75" customHeight="1">
      <c r="G711" s="314"/>
    </row>
    <row r="712" ht="15.75" customHeight="1">
      <c r="G712" s="314"/>
    </row>
    <row r="713" ht="15.75" customHeight="1">
      <c r="G713" s="314"/>
    </row>
    <row r="714" ht="15.75" customHeight="1">
      <c r="G714" s="314"/>
    </row>
    <row r="715" ht="15.75" customHeight="1">
      <c r="G715" s="314"/>
    </row>
    <row r="716" ht="15.75" customHeight="1">
      <c r="G716" s="314"/>
    </row>
    <row r="717" ht="15.75" customHeight="1">
      <c r="G717" s="314"/>
    </row>
    <row r="718" ht="15.75" customHeight="1">
      <c r="G718" s="314"/>
    </row>
    <row r="719" ht="15.75" customHeight="1">
      <c r="G719" s="314"/>
    </row>
    <row r="720" ht="15.75" customHeight="1">
      <c r="G720" s="314"/>
    </row>
    <row r="721" ht="15.75" customHeight="1">
      <c r="G721" s="314"/>
    </row>
    <row r="722" ht="15.75" customHeight="1">
      <c r="G722" s="314"/>
    </row>
    <row r="723" ht="15.75" customHeight="1">
      <c r="G723" s="314"/>
    </row>
    <row r="724" ht="15.75" customHeight="1">
      <c r="G724" s="314"/>
    </row>
    <row r="725" ht="15.75" customHeight="1">
      <c r="G725" s="314"/>
    </row>
    <row r="726" ht="15.75" customHeight="1">
      <c r="G726" s="314"/>
    </row>
    <row r="727" ht="15.75" customHeight="1">
      <c r="G727" s="314"/>
    </row>
    <row r="728" ht="15.75" customHeight="1">
      <c r="G728" s="314"/>
    </row>
    <row r="729" ht="15.75" customHeight="1">
      <c r="G729" s="314"/>
    </row>
    <row r="730" ht="15.75" customHeight="1">
      <c r="G730" s="314"/>
    </row>
    <row r="731" ht="15.75" customHeight="1">
      <c r="G731" s="314"/>
    </row>
    <row r="732" ht="15.75" customHeight="1">
      <c r="G732" s="314"/>
    </row>
    <row r="733" ht="15.75" customHeight="1">
      <c r="G733" s="314"/>
    </row>
    <row r="734" ht="15.75" customHeight="1">
      <c r="G734" s="314"/>
    </row>
    <row r="735" ht="15.75" customHeight="1">
      <c r="G735" s="314"/>
    </row>
    <row r="736" ht="15.75" customHeight="1">
      <c r="G736" s="314"/>
    </row>
    <row r="737" ht="15.75" customHeight="1">
      <c r="G737" s="314"/>
    </row>
    <row r="738" ht="15.75" customHeight="1">
      <c r="G738" s="314"/>
    </row>
    <row r="739" ht="15.75" customHeight="1">
      <c r="G739" s="314"/>
    </row>
    <row r="740" ht="15.75" customHeight="1">
      <c r="G740" s="314"/>
    </row>
    <row r="741" ht="15.75" customHeight="1">
      <c r="G741" s="314"/>
    </row>
    <row r="742" ht="15.75" customHeight="1">
      <c r="G742" s="314"/>
    </row>
    <row r="743" ht="15.75" customHeight="1">
      <c r="G743" s="314"/>
    </row>
    <row r="744" ht="15.75" customHeight="1">
      <c r="G744" s="314"/>
    </row>
    <row r="745" ht="15.75" customHeight="1">
      <c r="G745" s="314"/>
    </row>
    <row r="746" ht="15.75" customHeight="1">
      <c r="G746" s="314"/>
    </row>
    <row r="747" ht="15.75" customHeight="1">
      <c r="G747" s="314"/>
    </row>
    <row r="748" ht="15.75" customHeight="1">
      <c r="G748" s="314"/>
    </row>
    <row r="749" ht="15.75" customHeight="1">
      <c r="G749" s="314"/>
    </row>
    <row r="750" ht="15.75" customHeight="1">
      <c r="G750" s="314"/>
    </row>
    <row r="751" ht="15.75" customHeight="1">
      <c r="G751" s="314"/>
    </row>
    <row r="752" ht="15.75" customHeight="1">
      <c r="G752" s="314"/>
    </row>
    <row r="753" ht="15.75" customHeight="1">
      <c r="G753" s="314"/>
    </row>
    <row r="754" ht="15.75" customHeight="1">
      <c r="G754" s="314"/>
    </row>
    <row r="755" ht="15.75" customHeight="1">
      <c r="G755" s="314"/>
    </row>
    <row r="756" ht="15.75" customHeight="1">
      <c r="G756" s="314"/>
    </row>
    <row r="757" ht="15.75" customHeight="1">
      <c r="G757" s="314"/>
    </row>
    <row r="758" ht="15.75" customHeight="1">
      <c r="G758" s="314"/>
    </row>
    <row r="759" ht="15.75" customHeight="1">
      <c r="G759" s="314"/>
    </row>
    <row r="760" ht="15.75" customHeight="1">
      <c r="G760" s="314"/>
    </row>
    <row r="761" ht="15.75" customHeight="1">
      <c r="G761" s="314"/>
    </row>
    <row r="762" ht="15.75" customHeight="1">
      <c r="G762" s="314"/>
    </row>
    <row r="763" ht="15.75" customHeight="1">
      <c r="G763" s="314"/>
    </row>
    <row r="764" ht="15.75" customHeight="1">
      <c r="G764" s="314"/>
    </row>
    <row r="765" ht="15.75" customHeight="1">
      <c r="G765" s="314"/>
    </row>
    <row r="766" ht="15.75" customHeight="1">
      <c r="G766" s="314"/>
    </row>
    <row r="767" ht="15.75" customHeight="1">
      <c r="G767" s="314"/>
    </row>
    <row r="768" ht="15.75" customHeight="1">
      <c r="G768" s="314"/>
    </row>
    <row r="769" ht="15.75" customHeight="1">
      <c r="G769" s="314"/>
    </row>
    <row r="770" ht="15.75" customHeight="1">
      <c r="G770" s="314"/>
    </row>
    <row r="771" ht="15.75" customHeight="1">
      <c r="G771" s="314"/>
    </row>
    <row r="772" ht="15.75" customHeight="1">
      <c r="G772" s="314"/>
    </row>
    <row r="773" ht="15.75" customHeight="1">
      <c r="G773" s="314"/>
    </row>
    <row r="774" ht="15.75" customHeight="1">
      <c r="G774" s="314"/>
    </row>
    <row r="775" ht="15.75" customHeight="1">
      <c r="G775" s="314"/>
    </row>
    <row r="776" ht="15.75" customHeight="1">
      <c r="G776" s="314"/>
    </row>
    <row r="777" ht="15.75" customHeight="1">
      <c r="G777" s="314"/>
    </row>
    <row r="778" ht="15.75" customHeight="1">
      <c r="G778" s="314"/>
    </row>
    <row r="779" ht="15.75" customHeight="1">
      <c r="G779" s="314"/>
    </row>
    <row r="780" ht="15.75" customHeight="1">
      <c r="G780" s="314"/>
    </row>
    <row r="781" ht="15.75" customHeight="1">
      <c r="G781" s="314"/>
    </row>
    <row r="782" ht="15.75" customHeight="1">
      <c r="G782" s="314"/>
    </row>
    <row r="783" ht="15.75" customHeight="1">
      <c r="G783" s="314"/>
    </row>
    <row r="784" ht="15.75" customHeight="1">
      <c r="G784" s="314"/>
    </row>
    <row r="785" ht="15.75" customHeight="1">
      <c r="G785" s="314"/>
    </row>
    <row r="786" ht="15.75" customHeight="1">
      <c r="G786" s="314"/>
    </row>
    <row r="787" ht="15.75" customHeight="1">
      <c r="G787" s="314"/>
    </row>
    <row r="788" ht="15.75" customHeight="1">
      <c r="G788" s="314"/>
    </row>
    <row r="789" ht="15.75" customHeight="1">
      <c r="G789" s="314"/>
    </row>
    <row r="790" ht="15.75" customHeight="1">
      <c r="G790" s="314"/>
    </row>
    <row r="791" ht="15.75" customHeight="1">
      <c r="G791" s="314"/>
    </row>
    <row r="792" ht="15.75" customHeight="1">
      <c r="G792" s="314"/>
    </row>
    <row r="793" ht="15.75" customHeight="1">
      <c r="G793" s="314"/>
    </row>
    <row r="794" ht="15.75" customHeight="1">
      <c r="G794" s="314"/>
    </row>
    <row r="795" ht="15.75" customHeight="1">
      <c r="G795" s="314"/>
    </row>
    <row r="796" ht="15.75" customHeight="1">
      <c r="G796" s="314"/>
    </row>
    <row r="797" ht="15.75" customHeight="1">
      <c r="G797" s="314"/>
    </row>
    <row r="798" ht="15.75" customHeight="1">
      <c r="G798" s="314"/>
    </row>
    <row r="799" ht="15.75" customHeight="1">
      <c r="G799" s="314"/>
    </row>
    <row r="800" ht="15.75" customHeight="1">
      <c r="G800" s="314"/>
    </row>
    <row r="801" ht="15.75" customHeight="1">
      <c r="G801" s="314"/>
    </row>
    <row r="802" ht="15.75" customHeight="1">
      <c r="G802" s="314"/>
    </row>
    <row r="803" ht="15.75" customHeight="1">
      <c r="G803" s="314"/>
    </row>
    <row r="804" ht="15.75" customHeight="1">
      <c r="G804" s="314"/>
    </row>
    <row r="805" ht="15.75" customHeight="1">
      <c r="G805" s="314"/>
    </row>
    <row r="806" ht="15.75" customHeight="1">
      <c r="G806" s="314"/>
    </row>
    <row r="807" ht="15.75" customHeight="1">
      <c r="G807" s="314"/>
    </row>
    <row r="808" ht="15.75" customHeight="1">
      <c r="G808" s="314"/>
    </row>
    <row r="809" ht="15.75" customHeight="1">
      <c r="G809" s="314"/>
    </row>
    <row r="810" ht="15.75" customHeight="1">
      <c r="G810" s="314"/>
    </row>
    <row r="811" ht="15.75" customHeight="1">
      <c r="G811" s="314"/>
    </row>
    <row r="812" ht="15.75" customHeight="1">
      <c r="G812" s="314"/>
    </row>
    <row r="813" ht="15.75" customHeight="1">
      <c r="G813" s="314"/>
    </row>
    <row r="814" ht="15.75" customHeight="1">
      <c r="G814" s="314"/>
    </row>
    <row r="815" ht="15.75" customHeight="1">
      <c r="G815" s="314"/>
    </row>
    <row r="816" ht="15.75" customHeight="1">
      <c r="G816" s="314"/>
    </row>
    <row r="817" ht="15.75" customHeight="1">
      <c r="G817" s="314"/>
    </row>
    <row r="818" ht="15.75" customHeight="1">
      <c r="G818" s="314"/>
    </row>
    <row r="819" ht="15.75" customHeight="1">
      <c r="G819" s="314"/>
    </row>
    <row r="820" ht="15.75" customHeight="1">
      <c r="G820" s="314"/>
    </row>
    <row r="821" ht="15.75" customHeight="1">
      <c r="G821" s="314"/>
    </row>
    <row r="822" ht="15.75" customHeight="1">
      <c r="G822" s="314"/>
    </row>
    <row r="823" ht="15.75" customHeight="1">
      <c r="G823" s="314"/>
    </row>
    <row r="824" ht="15.75" customHeight="1">
      <c r="G824" s="314"/>
    </row>
    <row r="825" ht="15.75" customHeight="1">
      <c r="G825" s="314"/>
    </row>
    <row r="826" ht="15.75" customHeight="1">
      <c r="G826" s="314"/>
    </row>
    <row r="827" ht="15.75" customHeight="1">
      <c r="G827" s="314"/>
    </row>
    <row r="828" ht="15.75" customHeight="1">
      <c r="G828" s="314"/>
    </row>
    <row r="829" ht="15.75" customHeight="1">
      <c r="G829" s="314"/>
    </row>
    <row r="830" ht="15.75" customHeight="1">
      <c r="G830" s="314"/>
    </row>
    <row r="831" ht="15.75" customHeight="1">
      <c r="G831" s="314"/>
    </row>
    <row r="832" ht="15.75" customHeight="1">
      <c r="G832" s="314"/>
    </row>
    <row r="833" ht="15.75" customHeight="1">
      <c r="G833" s="314"/>
    </row>
    <row r="834" ht="15.75" customHeight="1">
      <c r="G834" s="314"/>
    </row>
    <row r="835" ht="15.75" customHeight="1">
      <c r="G835" s="314"/>
    </row>
    <row r="836" ht="15.75" customHeight="1">
      <c r="G836" s="314"/>
    </row>
    <row r="837" ht="15.75" customHeight="1">
      <c r="G837" s="314"/>
    </row>
    <row r="838" ht="15.75" customHeight="1">
      <c r="G838" s="314"/>
    </row>
    <row r="839" ht="15.75" customHeight="1">
      <c r="G839" s="314"/>
    </row>
    <row r="840" ht="15.75" customHeight="1">
      <c r="G840" s="314"/>
    </row>
    <row r="841" ht="15.75" customHeight="1">
      <c r="G841" s="314"/>
    </row>
    <row r="842" ht="15.75" customHeight="1">
      <c r="G842" s="314"/>
    </row>
    <row r="843" ht="15.75" customHeight="1">
      <c r="G843" s="314"/>
    </row>
    <row r="844" ht="15.75" customHeight="1">
      <c r="G844" s="314"/>
    </row>
    <row r="845" ht="15.75" customHeight="1">
      <c r="G845" s="314"/>
    </row>
    <row r="846" ht="15.75" customHeight="1">
      <c r="G846" s="314"/>
    </row>
    <row r="847" ht="15.75" customHeight="1">
      <c r="G847" s="314"/>
    </row>
    <row r="848" ht="15.75" customHeight="1">
      <c r="G848" s="314"/>
    </row>
    <row r="849" ht="15.75" customHeight="1">
      <c r="G849" s="314"/>
    </row>
    <row r="850" ht="15.75" customHeight="1">
      <c r="G850" s="314"/>
    </row>
    <row r="851" ht="15.75" customHeight="1">
      <c r="G851" s="314"/>
    </row>
    <row r="852" ht="15.75" customHeight="1">
      <c r="G852" s="314"/>
    </row>
    <row r="853" ht="15.75" customHeight="1">
      <c r="G853" s="314"/>
    </row>
    <row r="854" ht="15.75" customHeight="1">
      <c r="G854" s="314"/>
    </row>
    <row r="855" ht="15.75" customHeight="1">
      <c r="G855" s="314"/>
    </row>
    <row r="856" ht="15.75" customHeight="1">
      <c r="G856" s="314"/>
    </row>
    <row r="857" ht="15.75" customHeight="1">
      <c r="G857" s="314"/>
    </row>
    <row r="858" ht="15.75" customHeight="1">
      <c r="G858" s="314"/>
    </row>
    <row r="859" ht="15.75" customHeight="1">
      <c r="G859" s="314"/>
    </row>
    <row r="860" ht="15.75" customHeight="1">
      <c r="G860" s="314"/>
    </row>
    <row r="861" ht="15.75" customHeight="1">
      <c r="G861" s="314"/>
    </row>
    <row r="862" ht="15.75" customHeight="1">
      <c r="G862" s="314"/>
    </row>
    <row r="863" ht="15.75" customHeight="1">
      <c r="G863" s="314"/>
    </row>
    <row r="864" ht="15.75" customHeight="1">
      <c r="G864" s="314"/>
    </row>
    <row r="865" ht="15.75" customHeight="1">
      <c r="G865" s="314"/>
    </row>
    <row r="866" ht="15.75" customHeight="1">
      <c r="G866" s="314"/>
    </row>
    <row r="867" ht="15.75" customHeight="1">
      <c r="G867" s="314"/>
    </row>
    <row r="868" ht="15.75" customHeight="1">
      <c r="G868" s="314"/>
    </row>
    <row r="869" ht="15.75" customHeight="1">
      <c r="G869" s="314"/>
    </row>
    <row r="870" ht="15.75" customHeight="1">
      <c r="G870" s="314"/>
    </row>
    <row r="871" ht="15.75" customHeight="1">
      <c r="G871" s="314"/>
    </row>
    <row r="872" ht="15.75" customHeight="1">
      <c r="G872" s="314"/>
    </row>
    <row r="873" ht="15.75" customHeight="1">
      <c r="G873" s="314"/>
    </row>
    <row r="874" ht="15.75" customHeight="1">
      <c r="G874" s="314"/>
    </row>
    <row r="875" ht="15.75" customHeight="1">
      <c r="G875" s="314"/>
    </row>
    <row r="876" ht="15.75" customHeight="1">
      <c r="G876" s="314"/>
    </row>
    <row r="877" ht="15.75" customHeight="1">
      <c r="G877" s="314"/>
    </row>
    <row r="878" ht="15.75" customHeight="1">
      <c r="G878" s="314"/>
    </row>
    <row r="879" ht="15.75" customHeight="1">
      <c r="G879" s="314"/>
    </row>
    <row r="880" ht="15.75" customHeight="1">
      <c r="G880" s="314"/>
    </row>
    <row r="881" ht="15.75" customHeight="1">
      <c r="G881" s="314"/>
    </row>
    <row r="882" ht="15.75" customHeight="1">
      <c r="G882" s="314"/>
    </row>
    <row r="883" ht="15.75" customHeight="1">
      <c r="G883" s="314"/>
    </row>
    <row r="884" ht="15.75" customHeight="1">
      <c r="G884" s="314"/>
    </row>
    <row r="885" ht="15.75" customHeight="1">
      <c r="G885" s="314"/>
    </row>
    <row r="886" ht="15.75" customHeight="1">
      <c r="G886" s="314"/>
    </row>
    <row r="887" ht="15.75" customHeight="1">
      <c r="G887" s="314"/>
    </row>
    <row r="888" ht="15.75" customHeight="1">
      <c r="G888" s="314"/>
    </row>
    <row r="889" ht="15.75" customHeight="1">
      <c r="G889" s="314"/>
    </row>
    <row r="890" ht="15.75" customHeight="1">
      <c r="G890" s="314"/>
    </row>
    <row r="891" ht="15.75" customHeight="1">
      <c r="G891" s="314"/>
    </row>
    <row r="892" ht="15.75" customHeight="1">
      <c r="G892" s="314"/>
    </row>
    <row r="893" ht="15.75" customHeight="1">
      <c r="G893" s="314"/>
    </row>
    <row r="894" ht="15.75" customHeight="1">
      <c r="G894" s="314"/>
    </row>
    <row r="895" ht="15.75" customHeight="1">
      <c r="G895" s="314"/>
    </row>
    <row r="896" ht="15.75" customHeight="1">
      <c r="G896" s="314"/>
    </row>
    <row r="897" ht="15.75" customHeight="1">
      <c r="G897" s="314"/>
    </row>
    <row r="898" ht="15.75" customHeight="1">
      <c r="G898" s="314"/>
    </row>
    <row r="899" ht="15.75" customHeight="1">
      <c r="G899" s="314"/>
    </row>
    <row r="900" ht="15.75" customHeight="1">
      <c r="G900" s="314"/>
    </row>
    <row r="901" ht="15.75" customHeight="1">
      <c r="G901" s="314"/>
    </row>
    <row r="902" ht="15.75" customHeight="1">
      <c r="G902" s="314"/>
    </row>
    <row r="903" ht="15.75" customHeight="1">
      <c r="G903" s="314"/>
    </row>
    <row r="904" ht="15.75" customHeight="1">
      <c r="G904" s="314"/>
    </row>
    <row r="905" ht="15.75" customHeight="1">
      <c r="G905" s="314"/>
    </row>
    <row r="906" ht="15.75" customHeight="1">
      <c r="G906" s="314"/>
    </row>
    <row r="907" ht="15.75" customHeight="1">
      <c r="G907" s="314"/>
    </row>
    <row r="908" ht="15.75" customHeight="1">
      <c r="G908" s="314"/>
    </row>
    <row r="909" ht="15.75" customHeight="1">
      <c r="G909" s="314"/>
    </row>
    <row r="910" ht="15.75" customHeight="1">
      <c r="G910" s="314"/>
    </row>
    <row r="911" ht="15.75" customHeight="1">
      <c r="G911" s="314"/>
    </row>
    <row r="912" ht="15.75" customHeight="1">
      <c r="G912" s="314"/>
    </row>
    <row r="913" ht="15.75" customHeight="1">
      <c r="G913" s="314"/>
    </row>
    <row r="914" ht="15.75" customHeight="1">
      <c r="G914" s="314"/>
    </row>
    <row r="915" ht="15.75" customHeight="1">
      <c r="G915" s="314"/>
    </row>
    <row r="916" ht="15.75" customHeight="1">
      <c r="G916" s="314"/>
    </row>
    <row r="917" ht="15.75" customHeight="1">
      <c r="G917" s="314"/>
    </row>
    <row r="918" ht="15.75" customHeight="1">
      <c r="G918" s="314"/>
    </row>
    <row r="919" ht="15.75" customHeight="1">
      <c r="G919" s="314"/>
    </row>
    <row r="920" ht="15.75" customHeight="1">
      <c r="G920" s="314"/>
    </row>
    <row r="921" ht="15.75" customHeight="1">
      <c r="G921" s="314"/>
    </row>
    <row r="922" ht="15.75" customHeight="1">
      <c r="G922" s="314"/>
    </row>
    <row r="923" ht="15.75" customHeight="1">
      <c r="G923" s="314"/>
    </row>
    <row r="924" ht="15.75" customHeight="1">
      <c r="G924" s="314"/>
    </row>
    <row r="925" ht="15.75" customHeight="1">
      <c r="G925" s="314"/>
    </row>
    <row r="926" ht="15.75" customHeight="1">
      <c r="G926" s="314"/>
    </row>
    <row r="927" ht="15.75" customHeight="1">
      <c r="G927" s="314"/>
    </row>
    <row r="928" ht="15.75" customHeight="1">
      <c r="G928" s="314"/>
    </row>
    <row r="929" ht="15.75" customHeight="1">
      <c r="G929" s="314"/>
    </row>
    <row r="930" ht="15.75" customHeight="1">
      <c r="G930" s="314"/>
    </row>
    <row r="931" ht="15.75" customHeight="1">
      <c r="G931" s="314"/>
    </row>
    <row r="932" ht="15.75" customHeight="1">
      <c r="G932" s="314"/>
    </row>
    <row r="933" ht="15.75" customHeight="1">
      <c r="G933" s="314"/>
    </row>
    <row r="934" ht="15.75" customHeight="1">
      <c r="G934" s="314"/>
    </row>
    <row r="935" ht="15.75" customHeight="1">
      <c r="G935" s="314"/>
    </row>
    <row r="936" ht="15.75" customHeight="1">
      <c r="G936" s="314"/>
    </row>
    <row r="937" ht="15.75" customHeight="1">
      <c r="G937" s="314"/>
    </row>
    <row r="938" ht="15.75" customHeight="1">
      <c r="G938" s="314"/>
    </row>
    <row r="939" ht="15.75" customHeight="1">
      <c r="G939" s="314"/>
    </row>
    <row r="940" ht="15.75" customHeight="1">
      <c r="G940" s="314"/>
    </row>
    <row r="941" ht="15.75" customHeight="1">
      <c r="G941" s="314"/>
    </row>
    <row r="942" ht="15.75" customHeight="1">
      <c r="G942" s="314"/>
    </row>
    <row r="943" ht="15.75" customHeight="1">
      <c r="G943" s="314"/>
    </row>
    <row r="944" ht="15.75" customHeight="1">
      <c r="G944" s="314"/>
    </row>
    <row r="945" ht="15.75" customHeight="1">
      <c r="G945" s="314"/>
    </row>
    <row r="946" ht="15.75" customHeight="1">
      <c r="G946" s="314"/>
    </row>
    <row r="947" ht="15.75" customHeight="1">
      <c r="G947" s="314"/>
    </row>
    <row r="948" ht="15.75" customHeight="1">
      <c r="G948" s="314"/>
    </row>
    <row r="949" ht="15.75" customHeight="1">
      <c r="G949" s="314"/>
    </row>
    <row r="950" ht="15.75" customHeight="1">
      <c r="G950" s="314"/>
    </row>
    <row r="951" ht="15.75" customHeight="1">
      <c r="G951" s="314"/>
    </row>
    <row r="952" ht="15.75" customHeight="1">
      <c r="G952" s="314"/>
    </row>
    <row r="953" ht="15.75" customHeight="1">
      <c r="G953" s="314"/>
    </row>
    <row r="954" ht="15.75" customHeight="1">
      <c r="G954" s="314"/>
    </row>
    <row r="955" ht="15.75" customHeight="1">
      <c r="G955" s="314"/>
    </row>
    <row r="956" ht="15.75" customHeight="1">
      <c r="G956" s="314"/>
    </row>
    <row r="957" ht="15.75" customHeight="1">
      <c r="G957" s="314"/>
    </row>
    <row r="958" ht="15.75" customHeight="1">
      <c r="G958" s="314"/>
    </row>
    <row r="959" ht="15.75" customHeight="1">
      <c r="G959" s="314"/>
    </row>
    <row r="960" ht="15.75" customHeight="1">
      <c r="G960" s="314"/>
    </row>
    <row r="961" ht="15.75" customHeight="1">
      <c r="G961" s="314"/>
    </row>
    <row r="962" ht="15.75" customHeight="1">
      <c r="G962" s="314"/>
    </row>
    <row r="963" ht="15.75" customHeight="1">
      <c r="G963" s="314"/>
    </row>
    <row r="964" ht="15.75" customHeight="1">
      <c r="G964" s="314"/>
    </row>
    <row r="965" ht="15.75" customHeight="1">
      <c r="G965" s="314"/>
    </row>
    <row r="966" ht="15.75" customHeight="1">
      <c r="G966" s="314"/>
    </row>
    <row r="967" ht="15.75" customHeight="1">
      <c r="G967" s="314"/>
    </row>
    <row r="968" ht="15.75" customHeight="1">
      <c r="G968" s="314"/>
    </row>
    <row r="969" ht="15.75" customHeight="1">
      <c r="G969" s="314"/>
    </row>
    <row r="970" ht="15.75" customHeight="1">
      <c r="G970" s="314"/>
    </row>
    <row r="971" ht="15.75" customHeight="1">
      <c r="G971" s="314"/>
    </row>
    <row r="972" ht="15.75" customHeight="1">
      <c r="G972" s="314"/>
    </row>
    <row r="973" ht="15.75" customHeight="1">
      <c r="G973" s="314"/>
    </row>
    <row r="974" ht="15.75" customHeight="1">
      <c r="G974" s="314"/>
    </row>
    <row r="975" ht="15.75" customHeight="1">
      <c r="G975" s="314"/>
    </row>
    <row r="976" ht="15.75" customHeight="1">
      <c r="G976" s="314"/>
    </row>
    <row r="977" ht="15.75" customHeight="1">
      <c r="G977" s="314"/>
    </row>
    <row r="978" ht="15.75" customHeight="1">
      <c r="G978" s="314"/>
    </row>
    <row r="979" ht="15.75" customHeight="1">
      <c r="G979" s="314"/>
    </row>
    <row r="980" ht="15.75" customHeight="1">
      <c r="G980" s="314"/>
    </row>
    <row r="981" ht="15.75" customHeight="1">
      <c r="G981" s="314"/>
    </row>
    <row r="982" ht="15.75" customHeight="1">
      <c r="G982" s="314"/>
    </row>
    <row r="983" ht="15.75" customHeight="1">
      <c r="G983" s="314"/>
    </row>
    <row r="984" ht="15.75" customHeight="1">
      <c r="G984" s="314"/>
    </row>
    <row r="985" ht="15.75" customHeight="1">
      <c r="G985" s="314"/>
    </row>
    <row r="986" ht="15.75" customHeight="1">
      <c r="G986" s="314"/>
    </row>
    <row r="987" ht="15.75" customHeight="1">
      <c r="G987" s="314"/>
    </row>
    <row r="988" ht="15.75" customHeight="1">
      <c r="G988" s="314"/>
    </row>
    <row r="989" ht="15.75" customHeight="1">
      <c r="G989" s="314"/>
    </row>
    <row r="990" ht="15.75" customHeight="1">
      <c r="G990" s="314"/>
    </row>
    <row r="991" ht="15.75" customHeight="1">
      <c r="G991" s="314"/>
    </row>
    <row r="992" ht="15.75" customHeight="1">
      <c r="G992" s="314"/>
    </row>
    <row r="993" ht="15.75" customHeight="1">
      <c r="G993" s="314"/>
    </row>
    <row r="994" ht="15.75" customHeight="1">
      <c r="G994" s="314"/>
    </row>
    <row r="995" ht="15.75" customHeight="1">
      <c r="G995" s="314"/>
    </row>
    <row r="996" ht="15.75" customHeight="1">
      <c r="G996" s="314"/>
    </row>
    <row r="997" ht="15.75" customHeight="1">
      <c r="G997" s="314"/>
    </row>
    <row r="998" ht="15.75" customHeight="1">
      <c r="G998" s="314"/>
    </row>
    <row r="999" ht="15.75" customHeight="1">
      <c r="G999" s="314"/>
    </row>
    <row r="1000" ht="15.75" customHeight="1">
      <c r="G1000" s="314"/>
    </row>
  </sheetData>
  <mergeCells count="1">
    <mergeCell ref="A6:H6"/>
  </mergeCells>
  <dataValidations>
    <dataValidation type="list" allowBlank="1" showErrorMessage="1" sqref="E9">
      <formula1>Deuda!$A$5:$A$64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0"/>
    <col customWidth="1" min="2" max="2" width="5.11"/>
    <col customWidth="1" min="3" max="3" width="10.33"/>
    <col customWidth="1" min="4" max="4" width="7.56"/>
    <col customWidth="1" min="5" max="5" width="5.44"/>
    <col customWidth="1" min="6" max="6" width="10.0"/>
    <col customWidth="1" min="7" max="7" width="6.44"/>
  </cols>
  <sheetData>
    <row r="1">
      <c r="A1" s="351"/>
      <c r="B1" s="352" t="s">
        <v>430</v>
      </c>
      <c r="C1" s="353" t="s">
        <v>431</v>
      </c>
      <c r="D1" s="354"/>
      <c r="E1" s="352" t="s">
        <v>430</v>
      </c>
      <c r="F1" s="353" t="s">
        <v>431</v>
      </c>
      <c r="H1" s="205" t="s">
        <v>432</v>
      </c>
    </row>
    <row r="2">
      <c r="A2" s="355"/>
      <c r="B2" s="356">
        <f t="array" ref="B2:B31">INDEX(Deuda!A5:A34,0)</f>
        <v>201</v>
      </c>
      <c r="C2" s="357">
        <f t="array" ref="C2:C31">INDEX(Deuda!AY5:AY34,0)</f>
        <v>5.485625107</v>
      </c>
      <c r="D2" s="355"/>
      <c r="E2" s="356">
        <f t="array" ref="E2:E32">INDEX(Deuda!A35:A65,0)</f>
        <v>703</v>
      </c>
      <c r="F2" s="357">
        <f t="array" ref="F2:F31">INDEX(Deuda!AY35:AY64,0)</f>
        <v>8.53357787</v>
      </c>
      <c r="H2" s="358">
        <f>(Deuda!AY65)</f>
        <v>2134.619437</v>
      </c>
    </row>
    <row r="3">
      <c r="A3" s="355"/>
      <c r="B3" s="356">
        <v>202.0</v>
      </c>
      <c r="C3" s="357">
        <v>0.6679489371194904</v>
      </c>
      <c r="D3" s="359"/>
      <c r="E3" s="356">
        <v>704.0</v>
      </c>
      <c r="F3" s="357">
        <v>9.12783408166581</v>
      </c>
    </row>
    <row r="4">
      <c r="A4" s="355"/>
      <c r="B4" s="356">
        <v>203.0</v>
      </c>
      <c r="C4" s="357">
        <v>0.9292238405783717</v>
      </c>
      <c r="D4" s="359"/>
      <c r="E4" s="356">
        <v>801.0</v>
      </c>
      <c r="F4" s="357">
        <v>84.2800463152762</v>
      </c>
    </row>
    <row r="5">
      <c r="A5" s="355"/>
      <c r="B5" s="356">
        <v>204.0</v>
      </c>
      <c r="C5" s="357">
        <v>0.0033953804368138663</v>
      </c>
      <c r="D5" s="359"/>
      <c r="E5" s="356">
        <v>802.0</v>
      </c>
      <c r="F5" s="357">
        <v>27.535925592878073</v>
      </c>
    </row>
    <row r="6">
      <c r="A6" s="355"/>
      <c r="B6" s="356">
        <v>205.0</v>
      </c>
      <c r="C6" s="357">
        <v>-0.09406928214360732</v>
      </c>
      <c r="D6" s="360" t="s">
        <v>434</v>
      </c>
      <c r="E6" s="361">
        <v>804.0</v>
      </c>
      <c r="F6" s="357">
        <v>0.0</v>
      </c>
    </row>
    <row r="7">
      <c r="A7" s="355"/>
      <c r="B7" s="356">
        <v>206.0</v>
      </c>
      <c r="C7" s="357">
        <v>221.25513039886073</v>
      </c>
      <c r="D7" s="359"/>
      <c r="E7" s="356">
        <v>901.0</v>
      </c>
      <c r="F7" s="357">
        <v>19.43327959650469</v>
      </c>
    </row>
    <row r="8">
      <c r="A8" s="362" t="s">
        <v>434</v>
      </c>
      <c r="B8" s="361">
        <v>301.0</v>
      </c>
      <c r="C8" s="363">
        <v>0.0</v>
      </c>
      <c r="D8" s="359"/>
      <c r="E8" s="356">
        <v>902.0</v>
      </c>
      <c r="F8" s="357">
        <v>76.42191385048963</v>
      </c>
    </row>
    <row r="9">
      <c r="A9" s="362" t="s">
        <v>434</v>
      </c>
      <c r="B9" s="361">
        <v>301.0</v>
      </c>
      <c r="C9" s="363">
        <v>0.0</v>
      </c>
      <c r="D9" s="359"/>
      <c r="E9" s="356">
        <v>903.0</v>
      </c>
      <c r="F9" s="357">
        <v>33.74013749695206</v>
      </c>
    </row>
    <row r="10">
      <c r="A10" s="355"/>
      <c r="B10" s="356">
        <v>302.0</v>
      </c>
      <c r="C10" s="357">
        <v>87.97036121711119</v>
      </c>
      <c r="D10" s="359"/>
      <c r="E10" s="356">
        <v>1002.0</v>
      </c>
      <c r="F10" s="357">
        <v>26.670055080149154</v>
      </c>
    </row>
    <row r="11">
      <c r="A11" s="355"/>
      <c r="B11" s="356">
        <v>303.0</v>
      </c>
      <c r="C11" s="357">
        <v>-9.83990778649968E-4</v>
      </c>
      <c r="D11" s="359"/>
      <c r="E11" s="356">
        <v>1001.0</v>
      </c>
      <c r="F11" s="357">
        <v>0.004769299744111777</v>
      </c>
    </row>
    <row r="12">
      <c r="A12" s="355"/>
      <c r="B12" s="356">
        <v>304.0</v>
      </c>
      <c r="C12" s="357">
        <v>43.181585919776126</v>
      </c>
      <c r="D12" s="360" t="s">
        <v>434</v>
      </c>
      <c r="E12" s="361">
        <v>1003.0</v>
      </c>
      <c r="F12" s="363">
        <v>0.0</v>
      </c>
    </row>
    <row r="13">
      <c r="A13" s="362" t="s">
        <v>434</v>
      </c>
      <c r="B13" s="361">
        <v>305.0</v>
      </c>
      <c r="C13" s="363">
        <v>15.360947353140714</v>
      </c>
      <c r="D13" s="359"/>
      <c r="E13" s="356">
        <v>1101.0</v>
      </c>
      <c r="F13" s="357">
        <v>48.928801517445095</v>
      </c>
    </row>
    <row r="14">
      <c r="A14" s="362" t="s">
        <v>434</v>
      </c>
      <c r="B14" s="361">
        <v>306.0</v>
      </c>
      <c r="C14" s="363">
        <v>0.0</v>
      </c>
      <c r="D14" s="359"/>
      <c r="E14" s="356">
        <v>1102.0</v>
      </c>
      <c r="F14" s="357">
        <v>76.3907835355509</v>
      </c>
    </row>
    <row r="15">
      <c r="A15" s="355"/>
      <c r="B15" s="356">
        <v>402.0</v>
      </c>
      <c r="C15" s="357">
        <v>0.004502920151935541</v>
      </c>
      <c r="D15" s="359"/>
      <c r="E15" s="356">
        <v>1103.0</v>
      </c>
      <c r="F15" s="357">
        <v>18.569714799262044</v>
      </c>
    </row>
    <row r="16">
      <c r="A16" s="355"/>
      <c r="B16" s="356">
        <v>403.0</v>
      </c>
      <c r="C16" s="357">
        <v>101.43140825510955</v>
      </c>
      <c r="D16" s="359"/>
      <c r="E16" s="356">
        <v>1201.0</v>
      </c>
      <c r="F16" s="357">
        <v>15.75229006100517</v>
      </c>
    </row>
    <row r="17">
      <c r="A17" s="364"/>
      <c r="B17" s="365">
        <v>404.0</v>
      </c>
      <c r="C17" s="366">
        <v>-0.0035409311689136302</v>
      </c>
      <c r="D17" s="359"/>
      <c r="E17" s="356">
        <v>1202.0</v>
      </c>
      <c r="F17" s="357">
        <v>-0.9226333106979752</v>
      </c>
    </row>
    <row r="18">
      <c r="A18" s="355"/>
      <c r="B18" s="356">
        <v>405.0</v>
      </c>
      <c r="C18" s="357">
        <v>0.0034837397040034662</v>
      </c>
      <c r="D18" s="359"/>
      <c r="E18" s="356">
        <v>1203.0</v>
      </c>
      <c r="F18" s="357">
        <v>61.94646753554241</v>
      </c>
    </row>
    <row r="19">
      <c r="A19" s="355"/>
      <c r="B19" s="356">
        <v>406.0</v>
      </c>
      <c r="C19" s="357">
        <v>0.12241260493419598</v>
      </c>
      <c r="D19" s="360" t="s">
        <v>434</v>
      </c>
      <c r="E19" s="361">
        <v>1301.0</v>
      </c>
      <c r="F19" s="363">
        <v>0.0</v>
      </c>
    </row>
    <row r="20">
      <c r="A20" s="355"/>
      <c r="B20" s="356">
        <v>501.0</v>
      </c>
      <c r="C20" s="357">
        <v>-0.0037269064117220474</v>
      </c>
      <c r="D20" s="359"/>
      <c r="E20" s="356">
        <v>1302.0</v>
      </c>
      <c r="F20" s="357">
        <v>61.4933199071404</v>
      </c>
    </row>
    <row r="21">
      <c r="A21" s="355"/>
      <c r="B21" s="356">
        <v>502.0</v>
      </c>
      <c r="C21" s="357">
        <v>0.7893633008753227</v>
      </c>
      <c r="D21" s="359"/>
      <c r="E21" s="356">
        <v>1303.0</v>
      </c>
      <c r="F21" s="357">
        <v>-0.15948767464351477</v>
      </c>
    </row>
    <row r="22">
      <c r="A22" s="355"/>
      <c r="B22" s="356">
        <v>503.0</v>
      </c>
      <c r="C22" s="357">
        <v>1.0253312655095215E-4</v>
      </c>
      <c r="D22" s="360" t="s">
        <v>434</v>
      </c>
      <c r="E22" s="361">
        <v>1401.0</v>
      </c>
      <c r="F22" s="363">
        <v>0.0</v>
      </c>
    </row>
    <row r="23">
      <c r="A23" s="355"/>
      <c r="B23" s="356">
        <v>504.0</v>
      </c>
      <c r="C23" s="357">
        <v>33.26811225245376</v>
      </c>
      <c r="D23" s="359"/>
      <c r="E23" s="356">
        <v>1402.0</v>
      </c>
      <c r="F23" s="357">
        <v>0.273693078790167</v>
      </c>
    </row>
    <row r="24">
      <c r="A24" s="355"/>
      <c r="B24" s="356">
        <v>505.0</v>
      </c>
      <c r="C24" s="357">
        <v>99.60612182788395</v>
      </c>
      <c r="D24" s="360" t="s">
        <v>434</v>
      </c>
      <c r="E24" s="361">
        <v>1403.0</v>
      </c>
      <c r="F24" s="363">
        <v>0.003913956617004362</v>
      </c>
    </row>
    <row r="25">
      <c r="A25" s="355"/>
      <c r="B25" s="356">
        <v>506.0</v>
      </c>
      <c r="C25" s="357">
        <v>0.0025484289880637334</v>
      </c>
      <c r="D25" s="360" t="s">
        <v>434</v>
      </c>
      <c r="E25" s="361">
        <v>1501.0</v>
      </c>
      <c r="F25" s="363">
        <v>0.0</v>
      </c>
    </row>
    <row r="26">
      <c r="A26" s="355"/>
      <c r="B26" s="356">
        <v>601.0</v>
      </c>
      <c r="C26" s="357">
        <v>3.8403586989276732</v>
      </c>
      <c r="D26" s="359"/>
      <c r="E26" s="356">
        <v>1502.0</v>
      </c>
      <c r="F26" s="357">
        <v>74.76464347248248</v>
      </c>
    </row>
    <row r="27">
      <c r="A27" s="355"/>
      <c r="B27" s="356">
        <v>602.0</v>
      </c>
      <c r="C27" s="357">
        <v>151.71992230096794</v>
      </c>
      <c r="D27" s="359"/>
      <c r="E27" s="356">
        <v>1503.0</v>
      </c>
      <c r="F27" s="357">
        <v>50.534258874651925</v>
      </c>
    </row>
    <row r="28">
      <c r="A28" s="355"/>
      <c r="B28" s="356">
        <v>603.0</v>
      </c>
      <c r="C28" s="357">
        <v>204.41768569594797</v>
      </c>
      <c r="D28" s="359"/>
      <c r="E28" s="356">
        <v>1601.0</v>
      </c>
      <c r="F28" s="357">
        <v>94.86522810089923</v>
      </c>
    </row>
    <row r="29">
      <c r="A29" s="355"/>
      <c r="B29" s="356">
        <v>604.0</v>
      </c>
      <c r="C29" s="357">
        <v>35.6211089789378</v>
      </c>
      <c r="D29" s="359"/>
      <c r="E29" s="356">
        <v>1602.0</v>
      </c>
      <c r="F29" s="357">
        <v>14.419200807984112</v>
      </c>
    </row>
    <row r="30">
      <c r="A30" s="362" t="s">
        <v>434</v>
      </c>
      <c r="B30" s="361">
        <v>605.0</v>
      </c>
      <c r="C30" s="363">
        <v>0.0</v>
      </c>
      <c r="D30" s="359"/>
      <c r="E30" s="356">
        <v>1701.0</v>
      </c>
      <c r="F30" s="357">
        <v>280.27915288607164</v>
      </c>
    </row>
    <row r="31">
      <c r="A31" s="355"/>
      <c r="B31" s="356">
        <v>702.0</v>
      </c>
      <c r="C31" s="357">
        <v>27.996033228420288</v>
      </c>
      <c r="D31" s="359"/>
      <c r="E31" s="356">
        <v>1702.0</v>
      </c>
      <c r="F31" s="357">
        <v>18.15748806162918</v>
      </c>
    </row>
    <row r="32">
      <c r="A32" s="355"/>
      <c r="B32" s="367"/>
      <c r="C32" s="357"/>
      <c r="D32" s="359"/>
      <c r="E32" s="367"/>
      <c r="F32" s="357"/>
    </row>
    <row r="33">
      <c r="A33" s="368"/>
      <c r="B33" s="352" t="s">
        <v>435</v>
      </c>
      <c r="C33" s="357"/>
      <c r="D33" s="359"/>
      <c r="E33" s="367"/>
      <c r="F33" s="357"/>
    </row>
    <row r="34">
      <c r="A34" s="369"/>
      <c r="B34" s="352" t="s">
        <v>436</v>
      </c>
      <c r="C34" s="357"/>
      <c r="D34" s="359"/>
      <c r="E34" s="367"/>
      <c r="F34" s="357"/>
    </row>
    <row r="35">
      <c r="A35" s="355"/>
      <c r="B35" s="367"/>
      <c r="C35" s="357"/>
      <c r="D35" s="359"/>
      <c r="E35" s="367"/>
      <c r="F35" s="357"/>
      <c r="L35" s="370"/>
    </row>
    <row r="36">
      <c r="A36" s="355"/>
      <c r="B36" s="367"/>
      <c r="C36" s="357"/>
      <c r="D36" s="355"/>
      <c r="E36" s="367"/>
      <c r="F36" s="357"/>
      <c r="L36" s="370"/>
    </row>
    <row r="37">
      <c r="A37" s="355"/>
      <c r="B37" s="367"/>
      <c r="C37" s="357"/>
      <c r="D37" s="355"/>
      <c r="E37" s="367"/>
      <c r="F37" s="357"/>
      <c r="L37" s="370"/>
    </row>
    <row r="38">
      <c r="A38" s="355"/>
      <c r="B38" s="367"/>
      <c r="C38" s="357"/>
      <c r="D38" s="355"/>
      <c r="E38" s="367"/>
      <c r="F38" s="357"/>
      <c r="L38" s="370"/>
    </row>
    <row r="39">
      <c r="A39" s="355"/>
      <c r="B39" s="367"/>
      <c r="C39" s="357"/>
      <c r="D39" s="355"/>
      <c r="E39" s="367"/>
      <c r="F39" s="357"/>
      <c r="L39" s="371"/>
    </row>
    <row r="40">
      <c r="A40" s="355"/>
      <c r="B40" s="367"/>
      <c r="C40" s="357"/>
      <c r="D40" s="355"/>
      <c r="E40" s="367"/>
      <c r="F40" s="357"/>
    </row>
    <row r="41">
      <c r="A41" s="355"/>
      <c r="B41" s="367"/>
      <c r="C41" s="357"/>
      <c r="D41" s="355"/>
      <c r="E41" s="367"/>
      <c r="F41" s="357"/>
    </row>
    <row r="42">
      <c r="A42" s="355"/>
      <c r="B42" s="367"/>
      <c r="C42" s="357"/>
      <c r="D42" s="355"/>
      <c r="E42" s="367"/>
      <c r="F42" s="357"/>
    </row>
    <row r="43">
      <c r="A43" s="355"/>
      <c r="B43" s="367"/>
      <c r="C43" s="357"/>
      <c r="D43" s="355"/>
      <c r="E43" s="367"/>
      <c r="F43" s="357"/>
    </row>
    <row r="44">
      <c r="A44" s="355"/>
      <c r="B44" s="367"/>
      <c r="C44" s="357"/>
      <c r="D44" s="355"/>
      <c r="E44" s="367"/>
      <c r="F44" s="357"/>
    </row>
    <row r="45">
      <c r="A45" s="355"/>
      <c r="B45" s="367"/>
      <c r="C45" s="357"/>
      <c r="D45" s="355"/>
      <c r="E45" s="367"/>
      <c r="F45" s="357"/>
    </row>
    <row r="46">
      <c r="A46" s="355"/>
      <c r="B46" s="367"/>
      <c r="C46" s="357"/>
      <c r="D46" s="355"/>
      <c r="E46" s="367"/>
      <c r="F46" s="357"/>
    </row>
    <row r="47">
      <c r="A47" s="355"/>
      <c r="B47" s="367"/>
      <c r="C47" s="357"/>
      <c r="D47" s="355"/>
      <c r="E47" s="367"/>
      <c r="F47" s="357"/>
    </row>
    <row r="48">
      <c r="A48" s="355"/>
      <c r="B48" s="367"/>
      <c r="C48" s="357"/>
      <c r="D48" s="355"/>
      <c r="E48" s="367"/>
      <c r="F48" s="357"/>
    </row>
    <row r="49">
      <c r="A49" s="355"/>
      <c r="B49" s="367"/>
      <c r="C49" s="357"/>
      <c r="D49" s="355"/>
      <c r="E49" s="367"/>
      <c r="F49" s="357"/>
    </row>
    <row r="50">
      <c r="A50" s="355"/>
      <c r="B50" s="367"/>
      <c r="C50" s="357"/>
      <c r="D50" s="355"/>
      <c r="E50" s="367"/>
      <c r="F50" s="357"/>
    </row>
    <row r="51">
      <c r="A51" s="355"/>
      <c r="B51" s="367"/>
      <c r="C51" s="357"/>
      <c r="D51" s="355"/>
      <c r="E51" s="367"/>
      <c r="F51" s="357"/>
    </row>
    <row r="52">
      <c r="A52" s="355"/>
      <c r="B52" s="367"/>
      <c r="C52" s="357"/>
      <c r="D52" s="355"/>
      <c r="E52" s="367"/>
      <c r="F52" s="357"/>
    </row>
    <row r="53">
      <c r="A53" s="355"/>
      <c r="B53" s="367"/>
      <c r="C53" s="357"/>
      <c r="D53" s="355"/>
      <c r="E53" s="367"/>
      <c r="F53" s="357"/>
    </row>
    <row r="54">
      <c r="A54" s="355"/>
      <c r="B54" s="367"/>
      <c r="C54" s="357"/>
      <c r="D54" s="355"/>
      <c r="E54" s="367"/>
      <c r="F54" s="357"/>
    </row>
    <row r="55">
      <c r="A55" s="355"/>
      <c r="B55" s="367"/>
      <c r="C55" s="357"/>
      <c r="D55" s="355"/>
      <c r="E55" s="367"/>
      <c r="F55" s="357"/>
    </row>
    <row r="56">
      <c r="A56" s="355"/>
      <c r="B56" s="367"/>
      <c r="C56" s="357"/>
      <c r="D56" s="355"/>
      <c r="E56" s="367"/>
      <c r="F56" s="357"/>
    </row>
    <row r="57">
      <c r="A57" s="355"/>
      <c r="B57" s="367"/>
      <c r="C57" s="357"/>
      <c r="D57" s="355"/>
      <c r="E57" s="367"/>
      <c r="F57" s="357"/>
    </row>
    <row r="58">
      <c r="A58" s="355"/>
      <c r="B58" s="367"/>
      <c r="C58" s="357"/>
      <c r="D58" s="355"/>
      <c r="E58" s="367"/>
      <c r="F58" s="357"/>
    </row>
    <row r="59">
      <c r="A59" s="355"/>
      <c r="B59" s="367"/>
      <c r="C59" s="357"/>
      <c r="D59" s="355"/>
      <c r="E59" s="367"/>
      <c r="F59" s="357"/>
    </row>
    <row r="60">
      <c r="A60" s="355"/>
      <c r="B60" s="367"/>
      <c r="C60" s="357"/>
      <c r="D60" s="355"/>
      <c r="E60" s="367"/>
      <c r="F60" s="357"/>
    </row>
    <row r="61">
      <c r="A61" s="355"/>
      <c r="B61" s="367"/>
      <c r="C61" s="357"/>
      <c r="D61" s="355"/>
      <c r="E61" s="367"/>
      <c r="F61" s="357"/>
    </row>
    <row r="62">
      <c r="A62" s="355"/>
      <c r="B62" s="367"/>
      <c r="C62" s="357"/>
      <c r="D62" s="355"/>
      <c r="E62" s="367"/>
      <c r="F62" s="357"/>
    </row>
    <row r="63">
      <c r="A63" s="355"/>
      <c r="B63" s="367"/>
      <c r="C63" s="357"/>
      <c r="D63" s="355"/>
      <c r="E63" s="367"/>
      <c r="F63" s="357"/>
    </row>
    <row r="64">
      <c r="A64" s="355"/>
      <c r="B64" s="367"/>
      <c r="C64" s="357"/>
      <c r="D64" s="355"/>
      <c r="E64" s="367"/>
      <c r="F64" s="357"/>
    </row>
    <row r="65">
      <c r="A65" s="355"/>
      <c r="B65" s="367"/>
      <c r="C65" s="357"/>
      <c r="D65" s="355"/>
      <c r="E65" s="367"/>
      <c r="F65" s="357"/>
    </row>
    <row r="66">
      <c r="A66" s="355"/>
      <c r="B66" s="367"/>
      <c r="C66" s="357"/>
      <c r="D66" s="355"/>
      <c r="E66" s="367"/>
      <c r="F66" s="357"/>
    </row>
    <row r="67">
      <c r="A67" s="355"/>
      <c r="B67" s="367"/>
      <c r="C67" s="357"/>
      <c r="D67" s="355"/>
      <c r="E67" s="367"/>
      <c r="F67" s="357"/>
    </row>
    <row r="68">
      <c r="A68" s="355"/>
      <c r="B68" s="367"/>
      <c r="C68" s="357"/>
      <c r="D68" s="355"/>
      <c r="E68" s="367"/>
      <c r="F68" s="357"/>
    </row>
    <row r="69">
      <c r="A69" s="355"/>
      <c r="B69" s="367"/>
      <c r="C69" s="357"/>
      <c r="D69" s="355"/>
      <c r="E69" s="367"/>
      <c r="F69" s="357"/>
    </row>
    <row r="70">
      <c r="A70" s="355"/>
      <c r="B70" s="367"/>
      <c r="C70" s="357"/>
      <c r="D70" s="355"/>
      <c r="E70" s="367"/>
      <c r="F70" s="357"/>
    </row>
    <row r="71">
      <c r="A71" s="355"/>
      <c r="B71" s="367"/>
      <c r="C71" s="357"/>
      <c r="D71" s="355"/>
      <c r="E71" s="367"/>
      <c r="F71" s="357"/>
    </row>
    <row r="72">
      <c r="A72" s="355"/>
      <c r="B72" s="367"/>
      <c r="C72" s="357"/>
      <c r="D72" s="355"/>
      <c r="E72" s="367"/>
      <c r="F72" s="357"/>
    </row>
    <row r="73">
      <c r="A73" s="355"/>
      <c r="B73" s="367"/>
      <c r="C73" s="357"/>
      <c r="D73" s="355"/>
      <c r="E73" s="367"/>
      <c r="F73" s="357"/>
    </row>
    <row r="74">
      <c r="A74" s="355"/>
      <c r="B74" s="367"/>
      <c r="C74" s="357"/>
      <c r="D74" s="355"/>
      <c r="E74" s="367"/>
      <c r="F74" s="357"/>
    </row>
    <row r="75">
      <c r="A75" s="355"/>
      <c r="B75" s="367"/>
      <c r="C75" s="357"/>
      <c r="D75" s="355"/>
      <c r="E75" s="367"/>
      <c r="F75" s="357"/>
    </row>
    <row r="76">
      <c r="A76" s="355"/>
      <c r="B76" s="367"/>
      <c r="C76" s="357"/>
      <c r="D76" s="355"/>
      <c r="E76" s="367"/>
      <c r="F76" s="357"/>
    </row>
    <row r="77">
      <c r="A77" s="355"/>
      <c r="B77" s="367"/>
      <c r="C77" s="357"/>
      <c r="D77" s="355"/>
      <c r="E77" s="367"/>
      <c r="F77" s="357"/>
    </row>
    <row r="78">
      <c r="A78" s="355"/>
      <c r="B78" s="367"/>
      <c r="C78" s="357"/>
      <c r="D78" s="355"/>
      <c r="E78" s="367"/>
      <c r="F78" s="357"/>
    </row>
    <row r="79">
      <c r="A79" s="355"/>
      <c r="B79" s="367"/>
      <c r="C79" s="357"/>
      <c r="D79" s="355"/>
      <c r="E79" s="367"/>
      <c r="F79" s="357"/>
    </row>
    <row r="80">
      <c r="A80" s="355"/>
      <c r="B80" s="367"/>
      <c r="C80" s="357"/>
      <c r="D80" s="355"/>
      <c r="E80" s="367"/>
      <c r="F80" s="357"/>
    </row>
    <row r="81">
      <c r="A81" s="355"/>
      <c r="B81" s="367"/>
      <c r="C81" s="357"/>
      <c r="D81" s="355"/>
      <c r="E81" s="367"/>
      <c r="F81" s="357"/>
    </row>
    <row r="82">
      <c r="A82" s="355"/>
      <c r="B82" s="367"/>
      <c r="C82" s="357"/>
      <c r="D82" s="355"/>
      <c r="E82" s="367"/>
      <c r="F82" s="357"/>
    </row>
    <row r="83">
      <c r="A83" s="355"/>
      <c r="B83" s="367"/>
      <c r="C83" s="357"/>
      <c r="D83" s="355"/>
      <c r="E83" s="367"/>
      <c r="F83" s="357"/>
    </row>
    <row r="84">
      <c r="A84" s="355"/>
      <c r="B84" s="367"/>
      <c r="C84" s="357"/>
      <c r="D84" s="355"/>
      <c r="E84" s="367"/>
      <c r="F84" s="357"/>
    </row>
    <row r="85">
      <c r="A85" s="355"/>
      <c r="B85" s="367"/>
      <c r="C85" s="357"/>
      <c r="D85" s="355"/>
      <c r="E85" s="367"/>
      <c r="F85" s="357"/>
    </row>
    <row r="86">
      <c r="A86" s="355"/>
      <c r="B86" s="367"/>
      <c r="C86" s="357"/>
      <c r="D86" s="355"/>
      <c r="E86" s="367"/>
      <c r="F86" s="357"/>
    </row>
    <row r="87">
      <c r="A87" s="355"/>
      <c r="B87" s="367"/>
      <c r="C87" s="357"/>
      <c r="D87" s="355"/>
      <c r="E87" s="367"/>
      <c r="F87" s="357"/>
    </row>
    <row r="88">
      <c r="A88" s="355"/>
      <c r="B88" s="367"/>
      <c r="C88" s="357"/>
      <c r="D88" s="355"/>
      <c r="E88" s="367"/>
      <c r="F88" s="357"/>
    </row>
    <row r="89">
      <c r="A89" s="355"/>
      <c r="B89" s="367"/>
      <c r="C89" s="357"/>
      <c r="D89" s="355"/>
      <c r="E89" s="367"/>
      <c r="F89" s="357"/>
    </row>
    <row r="90">
      <c r="A90" s="355"/>
      <c r="B90" s="367"/>
      <c r="C90" s="357"/>
      <c r="D90" s="355"/>
      <c r="E90" s="367"/>
      <c r="F90" s="357"/>
    </row>
    <row r="91">
      <c r="A91" s="355"/>
      <c r="B91" s="367"/>
      <c r="C91" s="357"/>
      <c r="D91" s="355"/>
      <c r="E91" s="367"/>
      <c r="F91" s="357"/>
    </row>
    <row r="92">
      <c r="A92" s="355"/>
      <c r="B92" s="367"/>
      <c r="C92" s="357"/>
      <c r="D92" s="355"/>
      <c r="E92" s="367"/>
      <c r="F92" s="357"/>
    </row>
    <row r="93">
      <c r="A93" s="355"/>
      <c r="B93" s="367"/>
      <c r="C93" s="357"/>
      <c r="D93" s="355"/>
      <c r="E93" s="367"/>
      <c r="F93" s="357"/>
    </row>
    <row r="94">
      <c r="A94" s="355"/>
      <c r="B94" s="367"/>
      <c r="C94" s="357"/>
      <c r="D94" s="355"/>
      <c r="E94" s="367"/>
      <c r="F94" s="357"/>
    </row>
    <row r="95">
      <c r="A95" s="355"/>
      <c r="B95" s="367"/>
      <c r="C95" s="357"/>
      <c r="D95" s="355"/>
      <c r="E95" s="367"/>
      <c r="F95" s="357"/>
    </row>
    <row r="96">
      <c r="A96" s="355"/>
      <c r="B96" s="367"/>
      <c r="C96" s="357"/>
      <c r="D96" s="355"/>
      <c r="E96" s="367"/>
      <c r="F96" s="357"/>
    </row>
    <row r="97">
      <c r="A97" s="355"/>
      <c r="B97" s="367"/>
      <c r="C97" s="357"/>
      <c r="D97" s="355"/>
      <c r="E97" s="367"/>
      <c r="F97" s="357"/>
    </row>
    <row r="98">
      <c r="A98" s="355"/>
      <c r="B98" s="367"/>
      <c r="C98" s="357"/>
      <c r="D98" s="355"/>
      <c r="E98" s="367"/>
      <c r="F98" s="357"/>
    </row>
    <row r="99">
      <c r="A99" s="355"/>
      <c r="B99" s="367"/>
      <c r="C99" s="357"/>
      <c r="D99" s="355"/>
      <c r="E99" s="367"/>
      <c r="F99" s="357"/>
    </row>
    <row r="100">
      <c r="A100" s="355"/>
      <c r="B100" s="367"/>
      <c r="C100" s="357"/>
      <c r="D100" s="355"/>
      <c r="E100" s="367"/>
      <c r="F100" s="357"/>
    </row>
    <row r="101">
      <c r="A101" s="355"/>
      <c r="B101" s="367"/>
      <c r="C101" s="357"/>
      <c r="D101" s="355"/>
      <c r="E101" s="367"/>
      <c r="F101" s="357"/>
    </row>
    <row r="102">
      <c r="A102" s="355"/>
      <c r="B102" s="367"/>
      <c r="C102" s="357"/>
      <c r="D102" s="355"/>
      <c r="E102" s="367"/>
      <c r="F102" s="357"/>
    </row>
    <row r="103">
      <c r="A103" s="355"/>
      <c r="B103" s="367"/>
      <c r="C103" s="357"/>
      <c r="D103" s="355"/>
      <c r="E103" s="367"/>
      <c r="F103" s="357"/>
    </row>
    <row r="104">
      <c r="A104" s="355"/>
      <c r="B104" s="367"/>
      <c r="C104" s="357"/>
      <c r="D104" s="355"/>
      <c r="E104" s="367"/>
      <c r="F104" s="357"/>
    </row>
    <row r="105">
      <c r="A105" s="355"/>
      <c r="B105" s="367"/>
      <c r="C105" s="357"/>
      <c r="D105" s="355"/>
      <c r="E105" s="367"/>
      <c r="F105" s="357"/>
    </row>
    <row r="106">
      <c r="A106" s="355"/>
      <c r="B106" s="367"/>
      <c r="C106" s="357"/>
      <c r="D106" s="355"/>
      <c r="E106" s="367"/>
      <c r="F106" s="357"/>
    </row>
    <row r="107">
      <c r="A107" s="355"/>
      <c r="B107" s="367"/>
      <c r="C107" s="357"/>
      <c r="D107" s="355"/>
      <c r="E107" s="367"/>
      <c r="F107" s="357"/>
    </row>
    <row r="108">
      <c r="A108" s="355"/>
      <c r="B108" s="367"/>
      <c r="C108" s="357"/>
      <c r="D108" s="355"/>
      <c r="E108" s="367"/>
      <c r="F108" s="357"/>
    </row>
    <row r="109">
      <c r="A109" s="355"/>
      <c r="B109" s="367"/>
      <c r="C109" s="357"/>
      <c r="D109" s="355"/>
      <c r="E109" s="367"/>
      <c r="F109" s="357"/>
    </row>
    <row r="110">
      <c r="A110" s="355"/>
      <c r="B110" s="367"/>
      <c r="C110" s="357"/>
      <c r="D110" s="355"/>
      <c r="E110" s="367"/>
      <c r="F110" s="357"/>
    </row>
    <row r="111">
      <c r="A111" s="355"/>
      <c r="B111" s="367"/>
      <c r="C111" s="357"/>
      <c r="D111" s="355"/>
      <c r="E111" s="367"/>
      <c r="F111" s="357"/>
    </row>
    <row r="112">
      <c r="A112" s="355"/>
      <c r="B112" s="367"/>
      <c r="C112" s="357"/>
      <c r="D112" s="355"/>
      <c r="E112" s="367"/>
      <c r="F112" s="357"/>
    </row>
    <row r="113">
      <c r="A113" s="355"/>
      <c r="B113" s="367"/>
      <c r="C113" s="357"/>
      <c r="D113" s="355"/>
      <c r="E113" s="367"/>
      <c r="F113" s="357"/>
    </row>
    <row r="114">
      <c r="A114" s="355"/>
      <c r="B114" s="367"/>
      <c r="C114" s="357"/>
      <c r="D114" s="355"/>
      <c r="E114" s="367"/>
      <c r="F114" s="357"/>
    </row>
    <row r="115">
      <c r="A115" s="355"/>
      <c r="B115" s="367"/>
      <c r="C115" s="357"/>
      <c r="D115" s="355"/>
      <c r="E115" s="367"/>
      <c r="F115" s="357"/>
    </row>
    <row r="116">
      <c r="A116" s="355"/>
      <c r="B116" s="367"/>
      <c r="C116" s="357"/>
      <c r="D116" s="355"/>
      <c r="E116" s="367"/>
      <c r="F116" s="357"/>
    </row>
    <row r="117">
      <c r="A117" s="355"/>
      <c r="B117" s="367"/>
      <c r="C117" s="357"/>
      <c r="D117" s="355"/>
      <c r="E117" s="367"/>
      <c r="F117" s="357"/>
    </row>
    <row r="118">
      <c r="A118" s="355"/>
      <c r="B118" s="367"/>
      <c r="C118" s="357"/>
      <c r="D118" s="355"/>
      <c r="E118" s="367"/>
      <c r="F118" s="357"/>
    </row>
    <row r="119">
      <c r="A119" s="355"/>
      <c r="B119" s="367"/>
      <c r="C119" s="357"/>
      <c r="D119" s="355"/>
      <c r="E119" s="367"/>
      <c r="F119" s="357"/>
    </row>
    <row r="120">
      <c r="A120" s="355"/>
      <c r="B120" s="367"/>
      <c r="C120" s="357"/>
      <c r="D120" s="355"/>
      <c r="E120" s="367"/>
      <c r="F120" s="357"/>
    </row>
    <row r="121">
      <c r="A121" s="355"/>
      <c r="B121" s="367"/>
      <c r="C121" s="357"/>
      <c r="D121" s="355"/>
      <c r="E121" s="367"/>
      <c r="F121" s="357"/>
    </row>
    <row r="122">
      <c r="A122" s="355"/>
      <c r="B122" s="367"/>
      <c r="C122" s="357"/>
      <c r="D122" s="355"/>
      <c r="E122" s="367"/>
      <c r="F122" s="357"/>
    </row>
    <row r="123">
      <c r="A123" s="355"/>
      <c r="B123" s="367"/>
      <c r="C123" s="357"/>
      <c r="D123" s="355"/>
      <c r="E123" s="367"/>
      <c r="F123" s="357"/>
    </row>
    <row r="124">
      <c r="A124" s="355"/>
      <c r="B124" s="367"/>
      <c r="C124" s="357"/>
      <c r="D124" s="355"/>
      <c r="E124" s="367"/>
      <c r="F124" s="357"/>
    </row>
    <row r="125">
      <c r="A125" s="355"/>
      <c r="B125" s="367"/>
      <c r="C125" s="357"/>
      <c r="D125" s="355"/>
      <c r="E125" s="367"/>
      <c r="F125" s="357"/>
    </row>
    <row r="126">
      <c r="A126" s="355"/>
      <c r="B126" s="367"/>
      <c r="C126" s="357"/>
      <c r="D126" s="355"/>
      <c r="E126" s="367"/>
      <c r="F126" s="357"/>
    </row>
    <row r="127">
      <c r="A127" s="355"/>
      <c r="B127" s="367"/>
      <c r="C127" s="357"/>
      <c r="D127" s="355"/>
      <c r="E127" s="367"/>
      <c r="F127" s="357"/>
    </row>
    <row r="128">
      <c r="A128" s="355"/>
      <c r="B128" s="367"/>
      <c r="C128" s="357"/>
      <c r="D128" s="355"/>
      <c r="E128" s="367"/>
      <c r="F128" s="357"/>
    </row>
    <row r="129">
      <c r="A129" s="355"/>
      <c r="B129" s="367"/>
      <c r="C129" s="357"/>
      <c r="D129" s="355"/>
      <c r="E129" s="367"/>
      <c r="F129" s="357"/>
    </row>
    <row r="130">
      <c r="A130" s="355"/>
      <c r="B130" s="367"/>
      <c r="C130" s="357"/>
      <c r="D130" s="355"/>
      <c r="E130" s="367"/>
      <c r="F130" s="357"/>
    </row>
    <row r="131">
      <c r="A131" s="355"/>
      <c r="B131" s="367"/>
      <c r="C131" s="357"/>
      <c r="D131" s="355"/>
      <c r="E131" s="367"/>
      <c r="F131" s="357"/>
    </row>
    <row r="132">
      <c r="A132" s="355"/>
      <c r="B132" s="367"/>
      <c r="C132" s="357"/>
      <c r="D132" s="355"/>
      <c r="E132" s="367"/>
      <c r="F132" s="357"/>
    </row>
    <row r="133">
      <c r="A133" s="355"/>
      <c r="B133" s="367"/>
      <c r="C133" s="357"/>
      <c r="D133" s="355"/>
      <c r="E133" s="367"/>
      <c r="F133" s="357"/>
    </row>
    <row r="134">
      <c r="A134" s="355"/>
      <c r="B134" s="367"/>
      <c r="C134" s="357"/>
      <c r="D134" s="355"/>
      <c r="E134" s="367"/>
      <c r="F134" s="357"/>
    </row>
    <row r="135">
      <c r="A135" s="355"/>
      <c r="B135" s="367"/>
      <c r="C135" s="357"/>
      <c r="D135" s="355"/>
      <c r="E135" s="367"/>
      <c r="F135" s="357"/>
    </row>
    <row r="136">
      <c r="A136" s="355"/>
      <c r="B136" s="367"/>
      <c r="C136" s="357"/>
      <c r="D136" s="355"/>
      <c r="E136" s="367"/>
      <c r="F136" s="357"/>
    </row>
    <row r="137">
      <c r="A137" s="355"/>
      <c r="B137" s="367"/>
      <c r="C137" s="357"/>
      <c r="D137" s="355"/>
      <c r="E137" s="367"/>
      <c r="F137" s="357"/>
    </row>
    <row r="138">
      <c r="A138" s="355"/>
      <c r="B138" s="367"/>
      <c r="C138" s="357"/>
      <c r="D138" s="355"/>
      <c r="E138" s="367"/>
      <c r="F138" s="357"/>
    </row>
    <row r="139">
      <c r="A139" s="355"/>
      <c r="B139" s="367"/>
      <c r="C139" s="357"/>
      <c r="D139" s="355"/>
      <c r="E139" s="367"/>
      <c r="F139" s="357"/>
    </row>
    <row r="140">
      <c r="A140" s="355"/>
      <c r="B140" s="367"/>
      <c r="C140" s="357"/>
      <c r="D140" s="355"/>
      <c r="E140" s="367"/>
      <c r="F140" s="357"/>
    </row>
    <row r="141">
      <c r="A141" s="355"/>
      <c r="B141" s="367"/>
      <c r="C141" s="357"/>
      <c r="D141" s="355"/>
      <c r="E141" s="367"/>
      <c r="F141" s="357"/>
    </row>
    <row r="142">
      <c r="A142" s="355"/>
      <c r="B142" s="367"/>
      <c r="C142" s="357"/>
      <c r="D142" s="355"/>
      <c r="E142" s="367"/>
      <c r="F142" s="357"/>
    </row>
    <row r="143">
      <c r="A143" s="355"/>
      <c r="B143" s="367"/>
      <c r="C143" s="357"/>
      <c r="D143" s="355"/>
      <c r="E143" s="367"/>
      <c r="F143" s="357"/>
    </row>
    <row r="144">
      <c r="A144" s="355"/>
      <c r="B144" s="367"/>
      <c r="C144" s="357"/>
      <c r="D144" s="355"/>
      <c r="E144" s="367"/>
      <c r="F144" s="357"/>
    </row>
    <row r="145">
      <c r="A145" s="355"/>
      <c r="B145" s="367"/>
      <c r="C145" s="357"/>
      <c r="D145" s="355"/>
      <c r="E145" s="367"/>
      <c r="F145" s="357"/>
    </row>
    <row r="146">
      <c r="A146" s="355"/>
      <c r="B146" s="367"/>
      <c r="C146" s="357"/>
      <c r="D146" s="355"/>
      <c r="E146" s="367"/>
      <c r="F146" s="357"/>
    </row>
    <row r="147">
      <c r="A147" s="355"/>
      <c r="B147" s="367"/>
      <c r="C147" s="357"/>
      <c r="D147" s="355"/>
      <c r="E147" s="367"/>
      <c r="F147" s="357"/>
    </row>
    <row r="148">
      <c r="A148" s="355"/>
      <c r="B148" s="367"/>
      <c r="C148" s="357"/>
      <c r="D148" s="355"/>
      <c r="E148" s="367"/>
      <c r="F148" s="357"/>
    </row>
    <row r="149">
      <c r="A149" s="355"/>
      <c r="B149" s="367"/>
      <c r="C149" s="357"/>
      <c r="D149" s="355"/>
      <c r="E149" s="367"/>
      <c r="F149" s="357"/>
    </row>
    <row r="150">
      <c r="A150" s="355"/>
      <c r="B150" s="367"/>
      <c r="C150" s="357"/>
      <c r="D150" s="355"/>
      <c r="E150" s="367"/>
      <c r="F150" s="357"/>
    </row>
    <row r="151">
      <c r="A151" s="355"/>
      <c r="B151" s="367"/>
      <c r="C151" s="357"/>
      <c r="D151" s="355"/>
      <c r="E151" s="367"/>
      <c r="F151" s="357"/>
    </row>
    <row r="152">
      <c r="A152" s="355"/>
      <c r="B152" s="367"/>
      <c r="C152" s="357"/>
      <c r="D152" s="355"/>
      <c r="E152" s="367"/>
      <c r="F152" s="357"/>
    </row>
    <row r="153">
      <c r="A153" s="355"/>
      <c r="B153" s="367"/>
      <c r="C153" s="357"/>
      <c r="D153" s="355"/>
      <c r="E153" s="367"/>
      <c r="F153" s="357"/>
    </row>
    <row r="154">
      <c r="A154" s="355"/>
      <c r="B154" s="367"/>
      <c r="C154" s="357"/>
      <c r="D154" s="355"/>
      <c r="E154" s="367"/>
      <c r="F154" s="357"/>
    </row>
    <row r="155">
      <c r="A155" s="355"/>
      <c r="B155" s="367"/>
      <c r="C155" s="357"/>
      <c r="D155" s="355"/>
      <c r="E155" s="367"/>
      <c r="F155" s="357"/>
    </row>
    <row r="156">
      <c r="A156" s="355"/>
      <c r="B156" s="367"/>
      <c r="C156" s="357"/>
      <c r="D156" s="355"/>
      <c r="E156" s="367"/>
      <c r="F156" s="357"/>
    </row>
    <row r="157">
      <c r="A157" s="355"/>
      <c r="B157" s="367"/>
      <c r="C157" s="357"/>
      <c r="D157" s="355"/>
      <c r="E157" s="367"/>
      <c r="F157" s="357"/>
    </row>
    <row r="158">
      <c r="A158" s="355"/>
      <c r="B158" s="367"/>
      <c r="C158" s="357"/>
      <c r="D158" s="355"/>
      <c r="E158" s="367"/>
      <c r="F158" s="357"/>
    </row>
    <row r="159">
      <c r="A159" s="355"/>
      <c r="B159" s="367"/>
      <c r="C159" s="357"/>
      <c r="D159" s="355"/>
      <c r="E159" s="367"/>
      <c r="F159" s="357"/>
    </row>
    <row r="160">
      <c r="A160" s="355"/>
      <c r="B160" s="367"/>
      <c r="C160" s="357"/>
      <c r="D160" s="355"/>
      <c r="E160" s="367"/>
      <c r="F160" s="357"/>
    </row>
    <row r="161">
      <c r="A161" s="355"/>
      <c r="B161" s="367"/>
      <c r="C161" s="357"/>
      <c r="D161" s="355"/>
      <c r="E161" s="367"/>
      <c r="F161" s="357"/>
    </row>
    <row r="162">
      <c r="A162" s="355"/>
      <c r="B162" s="367"/>
      <c r="C162" s="357"/>
      <c r="D162" s="355"/>
      <c r="E162" s="367"/>
      <c r="F162" s="357"/>
    </row>
    <row r="163">
      <c r="A163" s="355"/>
      <c r="B163" s="367"/>
      <c r="C163" s="357"/>
      <c r="D163" s="355"/>
      <c r="E163" s="367"/>
      <c r="F163" s="357"/>
    </row>
    <row r="164">
      <c r="A164" s="355"/>
      <c r="B164" s="367"/>
      <c r="C164" s="357"/>
      <c r="D164" s="355"/>
      <c r="E164" s="367"/>
      <c r="F164" s="357"/>
    </row>
    <row r="165">
      <c r="A165" s="355"/>
      <c r="B165" s="367"/>
      <c r="C165" s="357"/>
      <c r="D165" s="355"/>
      <c r="E165" s="367"/>
      <c r="F165" s="357"/>
    </row>
    <row r="166">
      <c r="A166" s="355"/>
      <c r="B166" s="367"/>
      <c r="C166" s="357"/>
      <c r="D166" s="355"/>
      <c r="E166" s="367"/>
      <c r="F166" s="357"/>
    </row>
    <row r="167">
      <c r="A167" s="355"/>
      <c r="B167" s="367"/>
      <c r="C167" s="357"/>
      <c r="D167" s="355"/>
      <c r="E167" s="367"/>
      <c r="F167" s="357"/>
    </row>
    <row r="168">
      <c r="A168" s="355"/>
      <c r="B168" s="367"/>
      <c r="C168" s="357"/>
      <c r="D168" s="355"/>
      <c r="E168" s="367"/>
      <c r="F168" s="357"/>
    </row>
    <row r="169">
      <c r="A169" s="355"/>
      <c r="B169" s="367"/>
      <c r="C169" s="357"/>
      <c r="D169" s="355"/>
      <c r="E169" s="367"/>
      <c r="F169" s="357"/>
    </row>
    <row r="170">
      <c r="A170" s="355"/>
      <c r="B170" s="367"/>
      <c r="C170" s="357"/>
      <c r="D170" s="355"/>
      <c r="E170" s="367"/>
      <c r="F170" s="357"/>
    </row>
    <row r="171">
      <c r="A171" s="355"/>
      <c r="B171" s="367"/>
      <c r="C171" s="357"/>
      <c r="D171" s="355"/>
      <c r="E171" s="367"/>
      <c r="F171" s="357"/>
    </row>
    <row r="172">
      <c r="A172" s="355"/>
      <c r="B172" s="367"/>
      <c r="C172" s="357"/>
      <c r="D172" s="355"/>
      <c r="E172" s="367"/>
      <c r="F172" s="357"/>
    </row>
    <row r="173">
      <c r="A173" s="355"/>
      <c r="B173" s="367"/>
      <c r="C173" s="357"/>
      <c r="D173" s="355"/>
      <c r="E173" s="367"/>
      <c r="F173" s="357"/>
    </row>
    <row r="174">
      <c r="A174" s="355"/>
      <c r="B174" s="367"/>
      <c r="C174" s="357"/>
      <c r="D174" s="355"/>
      <c r="E174" s="367"/>
      <c r="F174" s="357"/>
    </row>
    <row r="175">
      <c r="A175" s="355"/>
      <c r="B175" s="367"/>
      <c r="C175" s="357"/>
      <c r="D175" s="355"/>
      <c r="E175" s="367"/>
      <c r="F175" s="357"/>
    </row>
    <row r="176">
      <c r="A176" s="355"/>
      <c r="B176" s="367"/>
      <c r="C176" s="357"/>
      <c r="D176" s="355"/>
      <c r="E176" s="367"/>
      <c r="F176" s="357"/>
    </row>
    <row r="177">
      <c r="A177" s="355"/>
      <c r="B177" s="367"/>
      <c r="C177" s="357"/>
      <c r="D177" s="355"/>
      <c r="E177" s="367"/>
      <c r="F177" s="357"/>
    </row>
    <row r="178">
      <c r="A178" s="355"/>
      <c r="B178" s="367"/>
      <c r="C178" s="357"/>
      <c r="D178" s="355"/>
      <c r="E178" s="367"/>
      <c r="F178" s="357"/>
    </row>
    <row r="179">
      <c r="A179" s="355"/>
      <c r="B179" s="367"/>
      <c r="C179" s="357"/>
      <c r="D179" s="355"/>
      <c r="E179" s="367"/>
      <c r="F179" s="357"/>
    </row>
    <row r="180">
      <c r="A180" s="355"/>
      <c r="B180" s="367"/>
      <c r="C180" s="357"/>
      <c r="D180" s="355"/>
      <c r="E180" s="367"/>
      <c r="F180" s="357"/>
    </row>
    <row r="181">
      <c r="A181" s="355"/>
      <c r="B181" s="367"/>
      <c r="C181" s="357"/>
      <c r="D181" s="355"/>
      <c r="E181" s="367"/>
      <c r="F181" s="357"/>
    </row>
    <row r="182">
      <c r="A182" s="355"/>
      <c r="B182" s="367"/>
      <c r="C182" s="357"/>
      <c r="D182" s="355"/>
      <c r="E182" s="367"/>
      <c r="F182" s="357"/>
    </row>
    <row r="183">
      <c r="A183" s="355"/>
      <c r="B183" s="367"/>
      <c r="C183" s="357"/>
      <c r="D183" s="355"/>
      <c r="E183" s="367"/>
      <c r="F183" s="357"/>
    </row>
    <row r="184">
      <c r="A184" s="355"/>
      <c r="B184" s="367"/>
      <c r="C184" s="357"/>
      <c r="D184" s="355"/>
      <c r="E184" s="367"/>
      <c r="F184" s="357"/>
    </row>
    <row r="185">
      <c r="A185" s="355"/>
      <c r="B185" s="367"/>
      <c r="C185" s="357"/>
      <c r="D185" s="355"/>
      <c r="E185" s="367"/>
      <c r="F185" s="357"/>
    </row>
    <row r="186">
      <c r="A186" s="355"/>
      <c r="B186" s="367"/>
      <c r="C186" s="357"/>
      <c r="D186" s="355"/>
      <c r="E186" s="367"/>
      <c r="F186" s="357"/>
    </row>
    <row r="187">
      <c r="A187" s="355"/>
      <c r="B187" s="367"/>
      <c r="C187" s="357"/>
      <c r="D187" s="355"/>
      <c r="E187" s="367"/>
      <c r="F187" s="357"/>
    </row>
    <row r="188">
      <c r="A188" s="355"/>
      <c r="B188" s="367"/>
      <c r="C188" s="357"/>
      <c r="D188" s="355"/>
      <c r="E188" s="367"/>
      <c r="F188" s="357"/>
    </row>
    <row r="189">
      <c r="A189" s="355"/>
      <c r="B189" s="367"/>
      <c r="C189" s="357"/>
      <c r="D189" s="355"/>
      <c r="E189" s="367"/>
      <c r="F189" s="357"/>
    </row>
    <row r="190">
      <c r="A190" s="355"/>
      <c r="B190" s="367"/>
      <c r="C190" s="357"/>
      <c r="D190" s="355"/>
      <c r="E190" s="367"/>
      <c r="F190" s="357"/>
    </row>
    <row r="191">
      <c r="A191" s="355"/>
      <c r="B191" s="367"/>
      <c r="C191" s="357"/>
      <c r="D191" s="355"/>
      <c r="E191" s="367"/>
      <c r="F191" s="357"/>
    </row>
    <row r="192">
      <c r="A192" s="355"/>
      <c r="B192" s="367"/>
      <c r="C192" s="357"/>
      <c r="D192" s="355"/>
      <c r="E192" s="367"/>
      <c r="F192" s="357"/>
    </row>
    <row r="193">
      <c r="A193" s="355"/>
      <c r="B193" s="367"/>
      <c r="C193" s="357"/>
      <c r="D193" s="355"/>
      <c r="E193" s="367"/>
      <c r="F193" s="357"/>
    </row>
    <row r="194">
      <c r="A194" s="355"/>
      <c r="B194" s="367"/>
      <c r="C194" s="357"/>
      <c r="D194" s="355"/>
      <c r="E194" s="367"/>
      <c r="F194" s="357"/>
    </row>
    <row r="195">
      <c r="A195" s="355"/>
      <c r="B195" s="367"/>
      <c r="C195" s="357"/>
      <c r="D195" s="355"/>
      <c r="E195" s="367"/>
      <c r="F195" s="357"/>
    </row>
    <row r="196">
      <c r="A196" s="355"/>
      <c r="B196" s="367"/>
      <c r="C196" s="357"/>
      <c r="D196" s="355"/>
      <c r="E196" s="367"/>
      <c r="F196" s="357"/>
    </row>
    <row r="197">
      <c r="A197" s="355"/>
      <c r="B197" s="367"/>
      <c r="C197" s="357"/>
      <c r="D197" s="355"/>
      <c r="E197" s="367"/>
      <c r="F197" s="357"/>
    </row>
    <row r="198">
      <c r="A198" s="355"/>
      <c r="B198" s="367"/>
      <c r="C198" s="357"/>
      <c r="D198" s="355"/>
      <c r="E198" s="367"/>
      <c r="F198" s="357"/>
    </row>
    <row r="199">
      <c r="A199" s="355"/>
      <c r="B199" s="367"/>
      <c r="C199" s="357"/>
      <c r="D199" s="355"/>
      <c r="E199" s="367"/>
      <c r="F199" s="357"/>
    </row>
    <row r="200">
      <c r="A200" s="355"/>
      <c r="B200" s="367"/>
      <c r="C200" s="357"/>
      <c r="D200" s="355"/>
      <c r="E200" s="367"/>
      <c r="F200" s="357"/>
    </row>
    <row r="201">
      <c r="A201" s="355"/>
      <c r="B201" s="367"/>
      <c r="C201" s="357"/>
      <c r="D201" s="355"/>
      <c r="E201" s="367"/>
      <c r="F201" s="357"/>
    </row>
    <row r="202">
      <c r="A202" s="355"/>
      <c r="B202" s="367"/>
      <c r="C202" s="357"/>
      <c r="D202" s="355"/>
      <c r="E202" s="367"/>
      <c r="F202" s="357"/>
    </row>
    <row r="203">
      <c r="A203" s="355"/>
      <c r="B203" s="367"/>
      <c r="C203" s="357"/>
      <c r="D203" s="355"/>
      <c r="E203" s="367"/>
      <c r="F203" s="357"/>
    </row>
    <row r="204">
      <c r="A204" s="355"/>
      <c r="B204" s="367"/>
      <c r="C204" s="357"/>
      <c r="D204" s="355"/>
      <c r="E204" s="367"/>
      <c r="F204" s="357"/>
    </row>
    <row r="205">
      <c r="A205" s="355"/>
      <c r="B205" s="367"/>
      <c r="C205" s="357"/>
      <c r="D205" s="355"/>
      <c r="E205" s="367"/>
      <c r="F205" s="357"/>
    </row>
    <row r="206">
      <c r="A206" s="355"/>
      <c r="B206" s="367"/>
      <c r="C206" s="357"/>
      <c r="D206" s="355"/>
      <c r="E206" s="367"/>
      <c r="F206" s="357"/>
    </row>
    <row r="207">
      <c r="A207" s="355"/>
      <c r="B207" s="367"/>
      <c r="C207" s="357"/>
      <c r="D207" s="355"/>
      <c r="E207" s="367"/>
      <c r="F207" s="357"/>
    </row>
    <row r="208">
      <c r="A208" s="355"/>
      <c r="B208" s="367"/>
      <c r="C208" s="357"/>
      <c r="D208" s="355"/>
      <c r="E208" s="367"/>
      <c r="F208" s="357"/>
    </row>
    <row r="209">
      <c r="A209" s="355"/>
      <c r="B209" s="367"/>
      <c r="C209" s="357"/>
      <c r="D209" s="355"/>
      <c r="E209" s="367"/>
      <c r="F209" s="357"/>
    </row>
    <row r="210">
      <c r="A210" s="355"/>
      <c r="B210" s="367"/>
      <c r="C210" s="357"/>
      <c r="D210" s="355"/>
      <c r="E210" s="367"/>
      <c r="F210" s="357"/>
    </row>
    <row r="211">
      <c r="A211" s="355"/>
      <c r="B211" s="367"/>
      <c r="C211" s="357"/>
      <c r="D211" s="355"/>
      <c r="E211" s="367"/>
      <c r="F211" s="357"/>
    </row>
    <row r="212">
      <c r="A212" s="355"/>
      <c r="B212" s="367"/>
      <c r="C212" s="357"/>
      <c r="D212" s="355"/>
      <c r="E212" s="367"/>
      <c r="F212" s="357"/>
    </row>
    <row r="213">
      <c r="A213" s="355"/>
      <c r="B213" s="367"/>
      <c r="C213" s="357"/>
      <c r="D213" s="355"/>
      <c r="E213" s="367"/>
      <c r="F213" s="357"/>
    </row>
    <row r="214">
      <c r="A214" s="355"/>
      <c r="B214" s="367"/>
      <c r="C214" s="357"/>
      <c r="D214" s="355"/>
      <c r="E214" s="367"/>
      <c r="F214" s="357"/>
    </row>
    <row r="215">
      <c r="A215" s="355"/>
      <c r="B215" s="367"/>
      <c r="C215" s="357"/>
      <c r="D215" s="355"/>
      <c r="E215" s="367"/>
      <c r="F215" s="357"/>
    </row>
    <row r="216">
      <c r="A216" s="355"/>
      <c r="B216" s="367"/>
      <c r="C216" s="357"/>
      <c r="D216" s="355"/>
      <c r="E216" s="367"/>
      <c r="F216" s="357"/>
    </row>
    <row r="217">
      <c r="A217" s="355"/>
      <c r="B217" s="367"/>
      <c r="C217" s="357"/>
      <c r="D217" s="355"/>
      <c r="E217" s="367"/>
      <c r="F217" s="357"/>
    </row>
    <row r="218">
      <c r="A218" s="355"/>
      <c r="B218" s="367"/>
      <c r="C218" s="357"/>
      <c r="D218" s="355"/>
      <c r="E218" s="367"/>
      <c r="F218" s="357"/>
    </row>
    <row r="219">
      <c r="A219" s="355"/>
      <c r="B219" s="367"/>
      <c r="C219" s="357"/>
      <c r="D219" s="355"/>
      <c r="E219" s="367"/>
      <c r="F219" s="357"/>
    </row>
    <row r="220">
      <c r="A220" s="355"/>
      <c r="B220" s="367"/>
      <c r="C220" s="357"/>
      <c r="D220" s="355"/>
      <c r="E220" s="367"/>
      <c r="F220" s="357"/>
    </row>
    <row r="221">
      <c r="A221" s="355"/>
      <c r="B221" s="367"/>
      <c r="C221" s="357"/>
      <c r="D221" s="355"/>
      <c r="E221" s="367"/>
      <c r="F221" s="357"/>
    </row>
    <row r="222">
      <c r="A222" s="355"/>
      <c r="B222" s="367"/>
      <c r="C222" s="357"/>
      <c r="D222" s="355"/>
      <c r="E222" s="367"/>
      <c r="F222" s="357"/>
    </row>
    <row r="223">
      <c r="A223" s="355"/>
      <c r="B223" s="367"/>
      <c r="C223" s="357"/>
      <c r="D223" s="355"/>
      <c r="E223" s="367"/>
      <c r="F223" s="357"/>
    </row>
    <row r="224">
      <c r="A224" s="355"/>
      <c r="B224" s="367"/>
      <c r="C224" s="357"/>
      <c r="D224" s="355"/>
      <c r="E224" s="367"/>
      <c r="F224" s="357"/>
    </row>
    <row r="225">
      <c r="A225" s="355"/>
      <c r="B225" s="367"/>
      <c r="C225" s="357"/>
      <c r="D225" s="355"/>
      <c r="E225" s="367"/>
      <c r="F225" s="357"/>
    </row>
    <row r="226">
      <c r="A226" s="355"/>
      <c r="B226" s="367"/>
      <c r="C226" s="357"/>
      <c r="D226" s="355"/>
      <c r="E226" s="367"/>
      <c r="F226" s="357"/>
    </row>
    <row r="227">
      <c r="A227" s="355"/>
      <c r="B227" s="367"/>
      <c r="C227" s="357"/>
      <c r="D227" s="355"/>
      <c r="E227" s="367"/>
      <c r="F227" s="357"/>
    </row>
    <row r="228">
      <c r="A228" s="355"/>
      <c r="B228" s="367"/>
      <c r="C228" s="357"/>
      <c r="D228" s="355"/>
      <c r="E228" s="367"/>
      <c r="F228" s="357"/>
    </row>
    <row r="229">
      <c r="A229" s="355"/>
      <c r="B229" s="367"/>
      <c r="C229" s="357"/>
      <c r="D229" s="355"/>
      <c r="E229" s="367"/>
      <c r="F229" s="357"/>
    </row>
    <row r="230">
      <c r="A230" s="355"/>
      <c r="B230" s="367"/>
      <c r="C230" s="357"/>
      <c r="D230" s="355"/>
      <c r="E230" s="367"/>
      <c r="F230" s="357"/>
    </row>
    <row r="231">
      <c r="A231" s="355"/>
      <c r="B231" s="367"/>
      <c r="C231" s="357"/>
      <c r="D231" s="355"/>
      <c r="E231" s="367"/>
      <c r="F231" s="357"/>
    </row>
    <row r="232">
      <c r="A232" s="355"/>
      <c r="B232" s="367"/>
      <c r="C232" s="357"/>
      <c r="D232" s="355"/>
      <c r="E232" s="367"/>
      <c r="F232" s="357"/>
    </row>
    <row r="233">
      <c r="A233" s="355"/>
      <c r="B233" s="367"/>
      <c r="C233" s="357"/>
      <c r="D233" s="355"/>
      <c r="E233" s="367"/>
      <c r="F233" s="357"/>
    </row>
    <row r="234">
      <c r="A234" s="355"/>
      <c r="B234" s="367"/>
      <c r="C234" s="357"/>
      <c r="D234" s="355"/>
      <c r="E234" s="367"/>
      <c r="F234" s="357"/>
    </row>
    <row r="235">
      <c r="A235" s="355"/>
      <c r="B235" s="367"/>
      <c r="C235" s="357"/>
      <c r="D235" s="355"/>
      <c r="E235" s="367"/>
      <c r="F235" s="357"/>
    </row>
    <row r="236">
      <c r="A236" s="355"/>
      <c r="B236" s="367"/>
      <c r="C236" s="357"/>
      <c r="D236" s="355"/>
      <c r="E236" s="367"/>
      <c r="F236" s="357"/>
    </row>
    <row r="237">
      <c r="A237" s="355"/>
      <c r="B237" s="367"/>
      <c r="C237" s="357"/>
      <c r="D237" s="355"/>
      <c r="E237" s="367"/>
      <c r="F237" s="357"/>
    </row>
    <row r="238">
      <c r="A238" s="355"/>
      <c r="B238" s="367"/>
      <c r="C238" s="357"/>
      <c r="D238" s="355"/>
      <c r="E238" s="367"/>
      <c r="F238" s="357"/>
    </row>
    <row r="239">
      <c r="A239" s="355"/>
      <c r="B239" s="367"/>
      <c r="C239" s="357"/>
      <c r="D239" s="355"/>
      <c r="E239" s="367"/>
      <c r="F239" s="357"/>
    </row>
    <row r="240">
      <c r="A240" s="355"/>
      <c r="B240" s="367"/>
      <c r="C240" s="357"/>
      <c r="D240" s="355"/>
      <c r="E240" s="367"/>
      <c r="F240" s="357"/>
    </row>
    <row r="241">
      <c r="A241" s="355"/>
      <c r="B241" s="367"/>
      <c r="C241" s="357"/>
      <c r="D241" s="355"/>
      <c r="E241" s="367"/>
      <c r="F241" s="357"/>
    </row>
    <row r="242">
      <c r="A242" s="355"/>
      <c r="B242" s="367"/>
      <c r="C242" s="357"/>
      <c r="D242" s="355"/>
      <c r="E242" s="367"/>
      <c r="F242" s="357"/>
    </row>
    <row r="243">
      <c r="A243" s="355"/>
      <c r="B243" s="367"/>
      <c r="C243" s="357"/>
      <c r="D243" s="355"/>
      <c r="E243" s="367"/>
      <c r="F243" s="357"/>
    </row>
    <row r="244">
      <c r="A244" s="355"/>
      <c r="B244" s="367"/>
      <c r="C244" s="357"/>
      <c r="D244" s="355"/>
      <c r="E244" s="367"/>
      <c r="F244" s="357"/>
    </row>
    <row r="245">
      <c r="A245" s="355"/>
      <c r="B245" s="367"/>
      <c r="C245" s="357"/>
      <c r="D245" s="355"/>
      <c r="E245" s="367"/>
      <c r="F245" s="357"/>
    </row>
    <row r="246">
      <c r="A246" s="355"/>
      <c r="B246" s="367"/>
      <c r="C246" s="357"/>
      <c r="D246" s="355"/>
      <c r="E246" s="367"/>
      <c r="F246" s="357"/>
    </row>
    <row r="247">
      <c r="A247" s="355"/>
      <c r="B247" s="367"/>
      <c r="C247" s="357"/>
      <c r="D247" s="355"/>
      <c r="E247" s="367"/>
      <c r="F247" s="357"/>
    </row>
    <row r="248">
      <c r="A248" s="355"/>
      <c r="B248" s="367"/>
      <c r="C248" s="357"/>
      <c r="D248" s="355"/>
      <c r="E248" s="367"/>
      <c r="F248" s="357"/>
    </row>
    <row r="249">
      <c r="A249" s="355"/>
      <c r="B249" s="367"/>
      <c r="C249" s="357"/>
      <c r="D249" s="355"/>
      <c r="E249" s="367"/>
      <c r="F249" s="357"/>
    </row>
    <row r="250">
      <c r="A250" s="355"/>
      <c r="B250" s="367"/>
      <c r="C250" s="357"/>
      <c r="D250" s="355"/>
      <c r="E250" s="367"/>
      <c r="F250" s="357"/>
    </row>
    <row r="251">
      <c r="A251" s="355"/>
      <c r="B251" s="367"/>
      <c r="C251" s="357"/>
      <c r="D251" s="355"/>
      <c r="E251" s="367"/>
      <c r="F251" s="357"/>
    </row>
    <row r="252">
      <c r="A252" s="355"/>
      <c r="B252" s="367"/>
      <c r="C252" s="357"/>
      <c r="D252" s="355"/>
      <c r="E252" s="367"/>
      <c r="F252" s="357"/>
    </row>
    <row r="253">
      <c r="A253" s="355"/>
      <c r="B253" s="367"/>
      <c r="C253" s="357"/>
      <c r="D253" s="355"/>
      <c r="E253" s="367"/>
      <c r="F253" s="357"/>
    </row>
    <row r="254">
      <c r="A254" s="355"/>
      <c r="B254" s="367"/>
      <c r="C254" s="357"/>
      <c r="D254" s="355"/>
      <c r="E254" s="367"/>
      <c r="F254" s="357"/>
    </row>
    <row r="255">
      <c r="A255" s="355"/>
      <c r="B255" s="367"/>
      <c r="C255" s="357"/>
      <c r="D255" s="355"/>
      <c r="E255" s="367"/>
      <c r="F255" s="357"/>
    </row>
    <row r="256">
      <c r="A256" s="355"/>
      <c r="B256" s="367"/>
      <c r="C256" s="357"/>
      <c r="D256" s="355"/>
      <c r="E256" s="367"/>
      <c r="F256" s="357"/>
    </row>
    <row r="257">
      <c r="A257" s="355"/>
      <c r="B257" s="367"/>
      <c r="C257" s="357"/>
      <c r="D257" s="355"/>
      <c r="E257" s="367"/>
      <c r="F257" s="357"/>
    </row>
    <row r="258">
      <c r="A258" s="355"/>
      <c r="B258" s="367"/>
      <c r="C258" s="357"/>
      <c r="D258" s="355"/>
      <c r="E258" s="367"/>
      <c r="F258" s="357"/>
    </row>
    <row r="259">
      <c r="A259" s="355"/>
      <c r="B259" s="367"/>
      <c r="C259" s="357"/>
      <c r="D259" s="355"/>
      <c r="E259" s="367"/>
      <c r="F259" s="357"/>
    </row>
    <row r="260">
      <c r="A260" s="355"/>
      <c r="B260" s="367"/>
      <c r="C260" s="357"/>
      <c r="D260" s="355"/>
      <c r="E260" s="367"/>
      <c r="F260" s="357"/>
    </row>
    <row r="261">
      <c r="A261" s="355"/>
      <c r="B261" s="367"/>
      <c r="C261" s="357"/>
      <c r="D261" s="355"/>
      <c r="E261" s="367"/>
      <c r="F261" s="357"/>
    </row>
    <row r="262">
      <c r="A262" s="355"/>
      <c r="B262" s="367"/>
      <c r="C262" s="357"/>
      <c r="D262" s="355"/>
      <c r="E262" s="367"/>
      <c r="F262" s="357"/>
    </row>
    <row r="263">
      <c r="A263" s="355"/>
      <c r="B263" s="367"/>
      <c r="C263" s="357"/>
      <c r="D263" s="355"/>
      <c r="E263" s="367"/>
      <c r="F263" s="357"/>
    </row>
    <row r="264">
      <c r="A264" s="355"/>
      <c r="B264" s="367"/>
      <c r="C264" s="357"/>
      <c r="D264" s="355"/>
      <c r="E264" s="367"/>
      <c r="F264" s="357"/>
    </row>
    <row r="265">
      <c r="A265" s="355"/>
      <c r="B265" s="367"/>
      <c r="C265" s="357"/>
      <c r="D265" s="355"/>
      <c r="E265" s="367"/>
      <c r="F265" s="357"/>
    </row>
    <row r="266">
      <c r="A266" s="355"/>
      <c r="B266" s="367"/>
      <c r="C266" s="357"/>
      <c r="D266" s="355"/>
      <c r="E266" s="367"/>
      <c r="F266" s="357"/>
    </row>
    <row r="267">
      <c r="A267" s="355"/>
      <c r="B267" s="367"/>
      <c r="C267" s="357"/>
      <c r="D267" s="355"/>
      <c r="E267" s="367"/>
      <c r="F267" s="357"/>
    </row>
    <row r="268">
      <c r="A268" s="355"/>
      <c r="B268" s="367"/>
      <c r="C268" s="357"/>
      <c r="D268" s="355"/>
      <c r="E268" s="367"/>
      <c r="F268" s="357"/>
    </row>
    <row r="269">
      <c r="A269" s="355"/>
      <c r="B269" s="367"/>
      <c r="C269" s="357"/>
      <c r="D269" s="355"/>
      <c r="E269" s="367"/>
      <c r="F269" s="357"/>
    </row>
    <row r="270">
      <c r="A270" s="355"/>
      <c r="B270" s="367"/>
      <c r="C270" s="357"/>
      <c r="D270" s="355"/>
      <c r="E270" s="367"/>
      <c r="F270" s="357"/>
    </row>
    <row r="271">
      <c r="A271" s="355"/>
      <c r="B271" s="367"/>
      <c r="C271" s="357"/>
      <c r="D271" s="355"/>
      <c r="E271" s="367"/>
      <c r="F271" s="357"/>
    </row>
    <row r="272">
      <c r="A272" s="355"/>
      <c r="B272" s="367"/>
      <c r="C272" s="357"/>
      <c r="D272" s="355"/>
      <c r="E272" s="367"/>
      <c r="F272" s="357"/>
    </row>
    <row r="273">
      <c r="A273" s="355"/>
      <c r="B273" s="367"/>
      <c r="C273" s="357"/>
      <c r="D273" s="355"/>
      <c r="E273" s="367"/>
      <c r="F273" s="357"/>
    </row>
    <row r="274">
      <c r="A274" s="355"/>
      <c r="B274" s="367"/>
      <c r="C274" s="357"/>
      <c r="D274" s="355"/>
      <c r="E274" s="367"/>
      <c r="F274" s="357"/>
    </row>
    <row r="275">
      <c r="A275" s="355"/>
      <c r="B275" s="367"/>
      <c r="C275" s="357"/>
      <c r="D275" s="355"/>
      <c r="E275" s="367"/>
      <c r="F275" s="357"/>
    </row>
    <row r="276">
      <c r="A276" s="355"/>
      <c r="B276" s="367"/>
      <c r="C276" s="357"/>
      <c r="D276" s="355"/>
      <c r="E276" s="367"/>
      <c r="F276" s="357"/>
    </row>
    <row r="277">
      <c r="A277" s="355"/>
      <c r="B277" s="367"/>
      <c r="C277" s="357"/>
      <c r="D277" s="355"/>
      <c r="E277" s="367"/>
      <c r="F277" s="357"/>
    </row>
    <row r="278">
      <c r="A278" s="355"/>
      <c r="B278" s="367"/>
      <c r="C278" s="357"/>
      <c r="D278" s="355"/>
      <c r="E278" s="367"/>
      <c r="F278" s="357"/>
    </row>
    <row r="279">
      <c r="A279" s="355"/>
      <c r="B279" s="367"/>
      <c r="C279" s="357"/>
      <c r="D279" s="355"/>
      <c r="E279" s="367"/>
      <c r="F279" s="357"/>
    </row>
    <row r="280">
      <c r="A280" s="355"/>
      <c r="B280" s="367"/>
      <c r="C280" s="357"/>
      <c r="D280" s="355"/>
      <c r="E280" s="367"/>
      <c r="F280" s="357"/>
    </row>
    <row r="281">
      <c r="A281" s="355"/>
      <c r="B281" s="367"/>
      <c r="C281" s="357"/>
      <c r="D281" s="355"/>
      <c r="E281" s="367"/>
      <c r="F281" s="357"/>
    </row>
    <row r="282">
      <c r="A282" s="355"/>
      <c r="B282" s="367"/>
      <c r="C282" s="357"/>
      <c r="D282" s="355"/>
      <c r="E282" s="367"/>
      <c r="F282" s="357"/>
    </row>
    <row r="283">
      <c r="A283" s="355"/>
      <c r="B283" s="367"/>
      <c r="C283" s="357"/>
      <c r="D283" s="355"/>
      <c r="E283" s="367"/>
      <c r="F283" s="357"/>
    </row>
    <row r="284">
      <c r="A284" s="355"/>
      <c r="B284" s="367"/>
      <c r="C284" s="357"/>
      <c r="D284" s="355"/>
      <c r="E284" s="367"/>
      <c r="F284" s="357"/>
    </row>
    <row r="285">
      <c r="A285" s="355"/>
      <c r="B285" s="367"/>
      <c r="C285" s="357"/>
      <c r="D285" s="355"/>
      <c r="E285" s="367"/>
      <c r="F285" s="357"/>
    </row>
    <row r="286">
      <c r="A286" s="355"/>
      <c r="B286" s="367"/>
      <c r="C286" s="357"/>
      <c r="D286" s="355"/>
      <c r="E286" s="367"/>
      <c r="F286" s="357"/>
    </row>
    <row r="287">
      <c r="A287" s="355"/>
      <c r="B287" s="367"/>
      <c r="C287" s="357"/>
      <c r="D287" s="355"/>
      <c r="E287" s="367"/>
      <c r="F287" s="357"/>
    </row>
    <row r="288">
      <c r="A288" s="355"/>
      <c r="B288" s="367"/>
      <c r="C288" s="357"/>
      <c r="D288" s="355"/>
      <c r="E288" s="367"/>
      <c r="F288" s="357"/>
    </row>
    <row r="289">
      <c r="A289" s="355"/>
      <c r="B289" s="367"/>
      <c r="C289" s="357"/>
      <c r="D289" s="355"/>
      <c r="E289" s="367"/>
      <c r="F289" s="357"/>
    </row>
    <row r="290">
      <c r="A290" s="355"/>
      <c r="B290" s="367"/>
      <c r="C290" s="357"/>
      <c r="D290" s="355"/>
      <c r="E290" s="367"/>
      <c r="F290" s="357"/>
    </row>
    <row r="291">
      <c r="A291" s="355"/>
      <c r="B291" s="367"/>
      <c r="C291" s="357"/>
      <c r="D291" s="355"/>
      <c r="E291" s="367"/>
      <c r="F291" s="357"/>
    </row>
    <row r="292">
      <c r="A292" s="355"/>
      <c r="B292" s="367"/>
      <c r="C292" s="357"/>
      <c r="D292" s="355"/>
      <c r="E292" s="367"/>
      <c r="F292" s="357"/>
    </row>
    <row r="293">
      <c r="A293" s="355"/>
      <c r="B293" s="367"/>
      <c r="C293" s="357"/>
      <c r="D293" s="355"/>
      <c r="E293" s="367"/>
      <c r="F293" s="357"/>
    </row>
    <row r="294">
      <c r="A294" s="355"/>
      <c r="B294" s="367"/>
      <c r="C294" s="357"/>
      <c r="D294" s="355"/>
      <c r="E294" s="367"/>
      <c r="F294" s="357"/>
    </row>
    <row r="295">
      <c r="A295" s="355"/>
      <c r="B295" s="367"/>
      <c r="C295" s="357"/>
      <c r="D295" s="355"/>
      <c r="E295" s="367"/>
      <c r="F295" s="357"/>
    </row>
    <row r="296">
      <c r="A296" s="355"/>
      <c r="B296" s="367"/>
      <c r="C296" s="357"/>
      <c r="D296" s="355"/>
      <c r="E296" s="367"/>
      <c r="F296" s="357"/>
    </row>
    <row r="297">
      <c r="A297" s="355"/>
      <c r="B297" s="367"/>
      <c r="C297" s="357"/>
      <c r="D297" s="355"/>
      <c r="E297" s="367"/>
      <c r="F297" s="357"/>
    </row>
    <row r="298">
      <c r="A298" s="355"/>
      <c r="B298" s="367"/>
      <c r="C298" s="357"/>
      <c r="D298" s="355"/>
      <c r="E298" s="367"/>
      <c r="F298" s="357"/>
    </row>
    <row r="299">
      <c r="A299" s="355"/>
      <c r="B299" s="367"/>
      <c r="C299" s="357"/>
      <c r="D299" s="355"/>
      <c r="E299" s="367"/>
      <c r="F299" s="357"/>
    </row>
    <row r="300">
      <c r="A300" s="355"/>
      <c r="B300" s="367"/>
      <c r="C300" s="357"/>
      <c r="D300" s="355"/>
      <c r="E300" s="367"/>
      <c r="F300" s="357"/>
    </row>
    <row r="301">
      <c r="A301" s="355"/>
      <c r="B301" s="367"/>
      <c r="C301" s="357"/>
      <c r="D301" s="355"/>
      <c r="E301" s="367"/>
      <c r="F301" s="357"/>
    </row>
    <row r="302">
      <c r="A302" s="355"/>
      <c r="B302" s="367"/>
      <c r="C302" s="357"/>
      <c r="D302" s="355"/>
      <c r="E302" s="367"/>
      <c r="F302" s="357"/>
    </row>
    <row r="303">
      <c r="A303" s="355"/>
      <c r="B303" s="367"/>
      <c r="C303" s="357"/>
      <c r="D303" s="355"/>
      <c r="E303" s="367"/>
      <c r="F303" s="357"/>
    </row>
    <row r="304">
      <c r="A304" s="355"/>
      <c r="B304" s="367"/>
      <c r="C304" s="357"/>
      <c r="D304" s="355"/>
      <c r="E304" s="367"/>
      <c r="F304" s="357"/>
    </row>
    <row r="305">
      <c r="A305" s="355"/>
      <c r="B305" s="367"/>
      <c r="C305" s="357"/>
      <c r="D305" s="355"/>
      <c r="E305" s="367"/>
      <c r="F305" s="357"/>
    </row>
    <row r="306">
      <c r="A306" s="355"/>
      <c r="B306" s="367"/>
      <c r="C306" s="357"/>
      <c r="D306" s="355"/>
      <c r="E306" s="367"/>
      <c r="F306" s="357"/>
    </row>
    <row r="307">
      <c r="A307" s="355"/>
      <c r="B307" s="367"/>
      <c r="C307" s="357"/>
      <c r="D307" s="355"/>
      <c r="E307" s="367"/>
      <c r="F307" s="357"/>
    </row>
    <row r="308">
      <c r="A308" s="355"/>
      <c r="B308" s="367"/>
      <c r="C308" s="357"/>
      <c r="D308" s="355"/>
      <c r="E308" s="367"/>
      <c r="F308" s="357"/>
    </row>
    <row r="309">
      <c r="A309" s="355"/>
      <c r="B309" s="367"/>
      <c r="C309" s="357"/>
      <c r="D309" s="355"/>
      <c r="E309" s="367"/>
      <c r="F309" s="357"/>
    </row>
    <row r="310">
      <c r="A310" s="355"/>
      <c r="B310" s="367"/>
      <c r="C310" s="357"/>
      <c r="D310" s="355"/>
      <c r="E310" s="367"/>
      <c r="F310" s="357"/>
    </row>
    <row r="311">
      <c r="A311" s="355"/>
      <c r="B311" s="367"/>
      <c r="C311" s="357"/>
      <c r="D311" s="355"/>
      <c r="E311" s="367"/>
      <c r="F311" s="357"/>
    </row>
    <row r="312">
      <c r="A312" s="355"/>
      <c r="B312" s="367"/>
      <c r="C312" s="357"/>
      <c r="D312" s="355"/>
      <c r="E312" s="367"/>
      <c r="F312" s="357"/>
    </row>
    <row r="313">
      <c r="A313" s="355"/>
      <c r="B313" s="367"/>
      <c r="C313" s="357"/>
      <c r="D313" s="355"/>
      <c r="E313" s="367"/>
      <c r="F313" s="357"/>
    </row>
    <row r="314">
      <c r="A314" s="355"/>
      <c r="B314" s="367"/>
      <c r="C314" s="357"/>
      <c r="D314" s="355"/>
      <c r="E314" s="367"/>
      <c r="F314" s="357"/>
    </row>
    <row r="315">
      <c r="A315" s="355"/>
      <c r="B315" s="367"/>
      <c r="C315" s="357"/>
      <c r="D315" s="355"/>
      <c r="E315" s="367"/>
      <c r="F315" s="357"/>
    </row>
    <row r="316">
      <c r="A316" s="355"/>
      <c r="B316" s="367"/>
      <c r="C316" s="357"/>
      <c r="D316" s="355"/>
      <c r="E316" s="367"/>
      <c r="F316" s="357"/>
    </row>
    <row r="317">
      <c r="A317" s="355"/>
      <c r="B317" s="367"/>
      <c r="C317" s="357"/>
      <c r="D317" s="355"/>
      <c r="E317" s="367"/>
      <c r="F317" s="357"/>
    </row>
    <row r="318">
      <c r="A318" s="355"/>
      <c r="B318" s="367"/>
      <c r="C318" s="357"/>
      <c r="D318" s="355"/>
      <c r="E318" s="367"/>
      <c r="F318" s="357"/>
    </row>
    <row r="319">
      <c r="A319" s="355"/>
      <c r="B319" s="367"/>
      <c r="C319" s="357"/>
      <c r="D319" s="355"/>
      <c r="E319" s="367"/>
      <c r="F319" s="357"/>
    </row>
    <row r="320">
      <c r="A320" s="355"/>
      <c r="B320" s="367"/>
      <c r="C320" s="357"/>
      <c r="D320" s="355"/>
      <c r="E320" s="367"/>
      <c r="F320" s="357"/>
    </row>
    <row r="321">
      <c r="A321" s="355"/>
      <c r="B321" s="367"/>
      <c r="C321" s="357"/>
      <c r="D321" s="355"/>
      <c r="E321" s="367"/>
      <c r="F321" s="357"/>
    </row>
    <row r="322">
      <c r="A322" s="355"/>
      <c r="B322" s="367"/>
      <c r="C322" s="357"/>
      <c r="D322" s="355"/>
      <c r="E322" s="367"/>
      <c r="F322" s="357"/>
    </row>
    <row r="323">
      <c r="A323" s="355"/>
      <c r="B323" s="367"/>
      <c r="C323" s="357"/>
      <c r="D323" s="355"/>
      <c r="E323" s="367"/>
      <c r="F323" s="357"/>
    </row>
    <row r="324">
      <c r="A324" s="355"/>
      <c r="B324" s="367"/>
      <c r="C324" s="357"/>
      <c r="D324" s="355"/>
      <c r="E324" s="367"/>
      <c r="F324" s="357"/>
    </row>
    <row r="325">
      <c r="A325" s="355"/>
      <c r="B325" s="367"/>
      <c r="C325" s="357"/>
      <c r="D325" s="355"/>
      <c r="E325" s="367"/>
      <c r="F325" s="357"/>
    </row>
    <row r="326">
      <c r="A326" s="355"/>
      <c r="B326" s="367"/>
      <c r="C326" s="357"/>
      <c r="D326" s="355"/>
      <c r="E326" s="367"/>
      <c r="F326" s="357"/>
    </row>
    <row r="327">
      <c r="A327" s="355"/>
      <c r="B327" s="367"/>
      <c r="C327" s="357"/>
      <c r="D327" s="355"/>
      <c r="E327" s="367"/>
      <c r="F327" s="357"/>
    </row>
    <row r="328">
      <c r="A328" s="355"/>
      <c r="B328" s="367"/>
      <c r="C328" s="357"/>
      <c r="D328" s="355"/>
      <c r="E328" s="367"/>
      <c r="F328" s="357"/>
    </row>
    <row r="329">
      <c r="A329" s="355"/>
      <c r="B329" s="367"/>
      <c r="C329" s="357"/>
      <c r="D329" s="355"/>
      <c r="E329" s="367"/>
      <c r="F329" s="357"/>
    </row>
    <row r="330">
      <c r="A330" s="355"/>
      <c r="B330" s="367"/>
      <c r="C330" s="357"/>
      <c r="D330" s="355"/>
      <c r="E330" s="367"/>
      <c r="F330" s="357"/>
    </row>
    <row r="331">
      <c r="A331" s="355"/>
      <c r="B331" s="367"/>
      <c r="C331" s="357"/>
      <c r="D331" s="355"/>
      <c r="E331" s="367"/>
      <c r="F331" s="357"/>
    </row>
    <row r="332">
      <c r="A332" s="355"/>
      <c r="B332" s="367"/>
      <c r="C332" s="357"/>
      <c r="D332" s="355"/>
      <c r="E332" s="367"/>
      <c r="F332" s="357"/>
    </row>
    <row r="333">
      <c r="A333" s="355"/>
      <c r="B333" s="367"/>
      <c r="C333" s="357"/>
      <c r="D333" s="355"/>
      <c r="E333" s="367"/>
      <c r="F333" s="357"/>
    </row>
    <row r="334">
      <c r="A334" s="355"/>
      <c r="B334" s="367"/>
      <c r="C334" s="357"/>
      <c r="D334" s="355"/>
      <c r="E334" s="367"/>
      <c r="F334" s="357"/>
    </row>
    <row r="335">
      <c r="A335" s="355"/>
      <c r="B335" s="367"/>
      <c r="C335" s="357"/>
      <c r="D335" s="355"/>
      <c r="E335" s="367"/>
      <c r="F335" s="357"/>
    </row>
    <row r="336">
      <c r="A336" s="355"/>
      <c r="B336" s="367"/>
      <c r="C336" s="357"/>
      <c r="D336" s="355"/>
      <c r="E336" s="367"/>
      <c r="F336" s="357"/>
    </row>
    <row r="337">
      <c r="A337" s="355"/>
      <c r="B337" s="367"/>
      <c r="C337" s="357"/>
      <c r="D337" s="355"/>
      <c r="E337" s="367"/>
      <c r="F337" s="357"/>
    </row>
    <row r="338">
      <c r="A338" s="355"/>
      <c r="B338" s="367"/>
      <c r="C338" s="357"/>
      <c r="D338" s="355"/>
      <c r="E338" s="367"/>
      <c r="F338" s="357"/>
    </row>
    <row r="339">
      <c r="A339" s="355"/>
      <c r="B339" s="367"/>
      <c r="C339" s="357"/>
      <c r="D339" s="355"/>
      <c r="E339" s="367"/>
      <c r="F339" s="357"/>
    </row>
    <row r="340">
      <c r="A340" s="355"/>
      <c r="B340" s="367"/>
      <c r="C340" s="357"/>
      <c r="D340" s="355"/>
      <c r="E340" s="367"/>
      <c r="F340" s="357"/>
    </row>
    <row r="341">
      <c r="A341" s="355"/>
      <c r="B341" s="367"/>
      <c r="C341" s="357"/>
      <c r="D341" s="355"/>
      <c r="E341" s="367"/>
      <c r="F341" s="357"/>
    </row>
    <row r="342">
      <c r="A342" s="355"/>
      <c r="B342" s="367"/>
      <c r="C342" s="357"/>
      <c r="D342" s="355"/>
      <c r="E342" s="367"/>
      <c r="F342" s="357"/>
    </row>
    <row r="343">
      <c r="A343" s="355"/>
      <c r="B343" s="367"/>
      <c r="C343" s="357"/>
      <c r="D343" s="355"/>
      <c r="E343" s="367"/>
      <c r="F343" s="357"/>
    </row>
    <row r="344">
      <c r="A344" s="355"/>
      <c r="B344" s="367"/>
      <c r="C344" s="357"/>
      <c r="D344" s="355"/>
      <c r="E344" s="367"/>
      <c r="F344" s="357"/>
    </row>
    <row r="345">
      <c r="A345" s="355"/>
      <c r="B345" s="367"/>
      <c r="C345" s="357"/>
      <c r="D345" s="355"/>
      <c r="E345" s="367"/>
      <c r="F345" s="357"/>
    </row>
    <row r="346">
      <c r="A346" s="355"/>
      <c r="B346" s="367"/>
      <c r="C346" s="357"/>
      <c r="D346" s="355"/>
      <c r="E346" s="367"/>
      <c r="F346" s="357"/>
    </row>
    <row r="347">
      <c r="A347" s="355"/>
      <c r="B347" s="367"/>
      <c r="C347" s="357"/>
      <c r="D347" s="355"/>
      <c r="E347" s="367"/>
      <c r="F347" s="357"/>
    </row>
    <row r="348">
      <c r="A348" s="355"/>
      <c r="B348" s="367"/>
      <c r="C348" s="357"/>
      <c r="D348" s="355"/>
      <c r="E348" s="367"/>
      <c r="F348" s="357"/>
    </row>
    <row r="349">
      <c r="A349" s="355"/>
      <c r="B349" s="367"/>
      <c r="C349" s="357"/>
      <c r="D349" s="355"/>
      <c r="E349" s="367"/>
      <c r="F349" s="357"/>
    </row>
    <row r="350">
      <c r="A350" s="355"/>
      <c r="B350" s="367"/>
      <c r="C350" s="357"/>
      <c r="D350" s="355"/>
      <c r="E350" s="367"/>
      <c r="F350" s="357"/>
    </row>
    <row r="351">
      <c r="A351" s="355"/>
      <c r="B351" s="367"/>
      <c r="C351" s="357"/>
      <c r="D351" s="355"/>
      <c r="E351" s="367"/>
      <c r="F351" s="357"/>
    </row>
    <row r="352">
      <c r="A352" s="355"/>
      <c r="B352" s="367"/>
      <c r="C352" s="357"/>
      <c r="D352" s="355"/>
      <c r="E352" s="367"/>
      <c r="F352" s="357"/>
    </row>
    <row r="353">
      <c r="A353" s="355"/>
      <c r="B353" s="367"/>
      <c r="C353" s="357"/>
      <c r="D353" s="355"/>
      <c r="E353" s="367"/>
      <c r="F353" s="357"/>
    </row>
    <row r="354">
      <c r="A354" s="355"/>
      <c r="B354" s="367"/>
      <c r="C354" s="357"/>
      <c r="D354" s="355"/>
      <c r="E354" s="367"/>
      <c r="F354" s="357"/>
    </row>
    <row r="355">
      <c r="A355" s="355"/>
      <c r="B355" s="367"/>
      <c r="C355" s="357"/>
      <c r="D355" s="355"/>
      <c r="E355" s="367"/>
      <c r="F355" s="357"/>
    </row>
    <row r="356">
      <c r="A356" s="355"/>
      <c r="B356" s="367"/>
      <c r="C356" s="357"/>
      <c r="D356" s="355"/>
      <c r="E356" s="367"/>
      <c r="F356" s="357"/>
    </row>
    <row r="357">
      <c r="A357" s="355"/>
      <c r="B357" s="367"/>
      <c r="C357" s="357"/>
      <c r="D357" s="355"/>
      <c r="E357" s="367"/>
      <c r="F357" s="357"/>
    </row>
    <row r="358">
      <c r="A358" s="355"/>
      <c r="B358" s="367"/>
      <c r="C358" s="357"/>
      <c r="D358" s="355"/>
      <c r="E358" s="367"/>
      <c r="F358" s="357"/>
    </row>
    <row r="359">
      <c r="A359" s="355"/>
      <c r="B359" s="367"/>
      <c r="C359" s="357"/>
      <c r="D359" s="355"/>
      <c r="E359" s="367"/>
      <c r="F359" s="357"/>
    </row>
    <row r="360">
      <c r="A360" s="355"/>
      <c r="B360" s="367"/>
      <c r="C360" s="357"/>
      <c r="D360" s="355"/>
      <c r="E360" s="367"/>
      <c r="F360" s="357"/>
    </row>
    <row r="361">
      <c r="A361" s="355"/>
      <c r="B361" s="367"/>
      <c r="C361" s="357"/>
      <c r="D361" s="355"/>
      <c r="E361" s="367"/>
      <c r="F361" s="357"/>
    </row>
    <row r="362">
      <c r="A362" s="355"/>
      <c r="B362" s="367"/>
      <c r="C362" s="357"/>
      <c r="D362" s="355"/>
      <c r="E362" s="367"/>
      <c r="F362" s="357"/>
    </row>
    <row r="363">
      <c r="A363" s="355"/>
      <c r="B363" s="367"/>
      <c r="C363" s="357"/>
      <c r="D363" s="355"/>
      <c r="E363" s="367"/>
      <c r="F363" s="357"/>
    </row>
    <row r="364">
      <c r="A364" s="355"/>
      <c r="B364" s="367"/>
      <c r="C364" s="357"/>
      <c r="D364" s="355"/>
      <c r="E364" s="367"/>
      <c r="F364" s="357"/>
    </row>
    <row r="365">
      <c r="A365" s="355"/>
      <c r="B365" s="367"/>
      <c r="C365" s="357"/>
      <c r="D365" s="355"/>
      <c r="E365" s="367"/>
      <c r="F365" s="357"/>
    </row>
    <row r="366">
      <c r="A366" s="355"/>
      <c r="B366" s="367"/>
      <c r="C366" s="357"/>
      <c r="D366" s="355"/>
      <c r="E366" s="367"/>
      <c r="F366" s="357"/>
    </row>
    <row r="367">
      <c r="A367" s="355"/>
      <c r="B367" s="367"/>
      <c r="C367" s="357"/>
      <c r="D367" s="355"/>
      <c r="E367" s="367"/>
      <c r="F367" s="357"/>
    </row>
    <row r="368">
      <c r="A368" s="355"/>
      <c r="B368" s="367"/>
      <c r="C368" s="357"/>
      <c r="D368" s="355"/>
      <c r="E368" s="367"/>
      <c r="F368" s="357"/>
    </row>
    <row r="369">
      <c r="A369" s="355"/>
      <c r="B369" s="367"/>
      <c r="C369" s="357"/>
      <c r="D369" s="355"/>
      <c r="E369" s="367"/>
      <c r="F369" s="357"/>
    </row>
    <row r="370">
      <c r="A370" s="355"/>
      <c r="B370" s="367"/>
      <c r="C370" s="357"/>
      <c r="D370" s="355"/>
      <c r="E370" s="367"/>
      <c r="F370" s="357"/>
    </row>
    <row r="371">
      <c r="A371" s="355"/>
      <c r="B371" s="367"/>
      <c r="C371" s="357"/>
      <c r="D371" s="355"/>
      <c r="E371" s="367"/>
      <c r="F371" s="357"/>
    </row>
    <row r="372">
      <c r="A372" s="355"/>
      <c r="B372" s="367"/>
      <c r="C372" s="357"/>
      <c r="D372" s="355"/>
      <c r="E372" s="367"/>
      <c r="F372" s="357"/>
    </row>
    <row r="373">
      <c r="A373" s="355"/>
      <c r="B373" s="367"/>
      <c r="C373" s="357"/>
      <c r="D373" s="355"/>
      <c r="E373" s="367"/>
      <c r="F373" s="357"/>
    </row>
    <row r="374">
      <c r="A374" s="355"/>
      <c r="B374" s="367"/>
      <c r="C374" s="357"/>
      <c r="D374" s="355"/>
      <c r="E374" s="367"/>
      <c r="F374" s="357"/>
    </row>
    <row r="375">
      <c r="A375" s="355"/>
      <c r="B375" s="367"/>
      <c r="C375" s="357"/>
      <c r="D375" s="355"/>
      <c r="E375" s="367"/>
      <c r="F375" s="357"/>
    </row>
    <row r="376">
      <c r="A376" s="355"/>
      <c r="B376" s="367"/>
      <c r="C376" s="357"/>
      <c r="D376" s="355"/>
      <c r="E376" s="367"/>
      <c r="F376" s="357"/>
    </row>
    <row r="377">
      <c r="A377" s="355"/>
      <c r="B377" s="367"/>
      <c r="C377" s="357"/>
      <c r="D377" s="355"/>
      <c r="E377" s="367"/>
      <c r="F377" s="357"/>
    </row>
    <row r="378">
      <c r="A378" s="355"/>
      <c r="B378" s="367"/>
      <c r="C378" s="357"/>
      <c r="D378" s="355"/>
      <c r="E378" s="367"/>
      <c r="F378" s="357"/>
    </row>
    <row r="379">
      <c r="A379" s="355"/>
      <c r="B379" s="367"/>
      <c r="C379" s="357"/>
      <c r="D379" s="355"/>
      <c r="E379" s="367"/>
      <c r="F379" s="357"/>
    </row>
    <row r="380">
      <c r="A380" s="355"/>
      <c r="B380" s="367"/>
      <c r="C380" s="357"/>
      <c r="D380" s="355"/>
      <c r="E380" s="367"/>
      <c r="F380" s="357"/>
    </row>
    <row r="381">
      <c r="A381" s="355"/>
      <c r="B381" s="367"/>
      <c r="C381" s="357"/>
      <c r="D381" s="355"/>
      <c r="E381" s="367"/>
      <c r="F381" s="357"/>
    </row>
    <row r="382">
      <c r="A382" s="355"/>
      <c r="B382" s="367"/>
      <c r="C382" s="357"/>
      <c r="D382" s="355"/>
      <c r="E382" s="367"/>
      <c r="F382" s="357"/>
    </row>
    <row r="383">
      <c r="A383" s="355"/>
      <c r="B383" s="367"/>
      <c r="C383" s="357"/>
      <c r="D383" s="355"/>
      <c r="E383" s="367"/>
      <c r="F383" s="357"/>
    </row>
    <row r="384">
      <c r="A384" s="355"/>
      <c r="B384" s="367"/>
      <c r="C384" s="357"/>
      <c r="D384" s="355"/>
      <c r="E384" s="367"/>
      <c r="F384" s="357"/>
    </row>
    <row r="385">
      <c r="A385" s="355"/>
      <c r="B385" s="367"/>
      <c r="C385" s="357"/>
      <c r="D385" s="355"/>
      <c r="E385" s="367"/>
      <c r="F385" s="357"/>
    </row>
    <row r="386">
      <c r="A386" s="355"/>
      <c r="B386" s="367"/>
      <c r="C386" s="357"/>
      <c r="D386" s="355"/>
      <c r="E386" s="367"/>
      <c r="F386" s="357"/>
    </row>
    <row r="387">
      <c r="A387" s="355"/>
      <c r="B387" s="367"/>
      <c r="C387" s="357"/>
      <c r="D387" s="355"/>
      <c r="E387" s="367"/>
      <c r="F387" s="357"/>
    </row>
    <row r="388">
      <c r="A388" s="355"/>
      <c r="B388" s="367"/>
      <c r="C388" s="357"/>
      <c r="D388" s="355"/>
      <c r="E388" s="367"/>
      <c r="F388" s="357"/>
    </row>
    <row r="389">
      <c r="A389" s="355"/>
      <c r="B389" s="367"/>
      <c r="C389" s="357"/>
      <c r="D389" s="355"/>
      <c r="E389" s="367"/>
      <c r="F389" s="357"/>
    </row>
    <row r="390">
      <c r="A390" s="355"/>
      <c r="B390" s="367"/>
      <c r="C390" s="357"/>
      <c r="D390" s="355"/>
      <c r="E390" s="367"/>
      <c r="F390" s="357"/>
    </row>
    <row r="391">
      <c r="A391" s="355"/>
      <c r="B391" s="367"/>
      <c r="C391" s="357"/>
      <c r="D391" s="355"/>
      <c r="E391" s="367"/>
      <c r="F391" s="357"/>
    </row>
    <row r="392">
      <c r="A392" s="355"/>
      <c r="B392" s="367"/>
      <c r="C392" s="357"/>
      <c r="D392" s="355"/>
      <c r="E392" s="367"/>
      <c r="F392" s="357"/>
    </row>
    <row r="393">
      <c r="A393" s="355"/>
      <c r="B393" s="367"/>
      <c r="C393" s="357"/>
      <c r="D393" s="355"/>
      <c r="E393" s="367"/>
      <c r="F393" s="357"/>
    </row>
    <row r="394">
      <c r="A394" s="355"/>
      <c r="B394" s="367"/>
      <c r="C394" s="357"/>
      <c r="D394" s="355"/>
      <c r="E394" s="367"/>
      <c r="F394" s="357"/>
    </row>
    <row r="395">
      <c r="A395" s="355"/>
      <c r="B395" s="367"/>
      <c r="C395" s="357"/>
      <c r="D395" s="355"/>
      <c r="E395" s="367"/>
      <c r="F395" s="357"/>
    </row>
    <row r="396">
      <c r="A396" s="355"/>
      <c r="B396" s="367"/>
      <c r="C396" s="357"/>
      <c r="D396" s="355"/>
      <c r="E396" s="367"/>
      <c r="F396" s="357"/>
    </row>
    <row r="397">
      <c r="A397" s="355"/>
      <c r="B397" s="367"/>
      <c r="C397" s="357"/>
      <c r="D397" s="355"/>
      <c r="E397" s="367"/>
      <c r="F397" s="357"/>
    </row>
    <row r="398">
      <c r="A398" s="355"/>
      <c r="B398" s="367"/>
      <c r="C398" s="357"/>
      <c r="D398" s="355"/>
      <c r="E398" s="367"/>
      <c r="F398" s="357"/>
    </row>
    <row r="399">
      <c r="A399" s="355"/>
      <c r="B399" s="367"/>
      <c r="C399" s="357"/>
      <c r="D399" s="355"/>
      <c r="E399" s="367"/>
      <c r="F399" s="357"/>
    </row>
    <row r="400">
      <c r="A400" s="355"/>
      <c r="B400" s="367"/>
      <c r="C400" s="357"/>
      <c r="D400" s="355"/>
      <c r="E400" s="367"/>
      <c r="F400" s="357"/>
    </row>
    <row r="401">
      <c r="A401" s="355"/>
      <c r="B401" s="367"/>
      <c r="C401" s="357"/>
      <c r="D401" s="355"/>
      <c r="E401" s="367"/>
      <c r="F401" s="357"/>
    </row>
    <row r="402">
      <c r="A402" s="355"/>
      <c r="B402" s="367"/>
      <c r="C402" s="357"/>
      <c r="D402" s="355"/>
      <c r="E402" s="367"/>
      <c r="F402" s="357"/>
    </row>
    <row r="403">
      <c r="A403" s="355"/>
      <c r="B403" s="367"/>
      <c r="C403" s="357"/>
      <c r="D403" s="355"/>
      <c r="E403" s="367"/>
      <c r="F403" s="357"/>
    </row>
    <row r="404">
      <c r="A404" s="355"/>
      <c r="B404" s="367"/>
      <c r="C404" s="357"/>
      <c r="D404" s="355"/>
      <c r="E404" s="367"/>
      <c r="F404" s="357"/>
    </row>
    <row r="405">
      <c r="A405" s="355"/>
      <c r="B405" s="367"/>
      <c r="C405" s="357"/>
      <c r="D405" s="355"/>
      <c r="E405" s="367"/>
      <c r="F405" s="357"/>
    </row>
    <row r="406">
      <c r="A406" s="355"/>
      <c r="B406" s="367"/>
      <c r="C406" s="357"/>
      <c r="D406" s="355"/>
      <c r="E406" s="367"/>
      <c r="F406" s="357"/>
    </row>
    <row r="407">
      <c r="A407" s="355"/>
      <c r="B407" s="367"/>
      <c r="C407" s="357"/>
      <c r="D407" s="355"/>
      <c r="E407" s="367"/>
      <c r="F407" s="357"/>
    </row>
    <row r="408">
      <c r="A408" s="355"/>
      <c r="B408" s="367"/>
      <c r="C408" s="357"/>
      <c r="D408" s="355"/>
      <c r="E408" s="367"/>
      <c r="F408" s="357"/>
    </row>
    <row r="409">
      <c r="A409" s="355"/>
      <c r="B409" s="367"/>
      <c r="C409" s="357"/>
      <c r="D409" s="355"/>
      <c r="E409" s="367"/>
      <c r="F409" s="357"/>
    </row>
    <row r="410">
      <c r="A410" s="355"/>
      <c r="B410" s="367"/>
      <c r="C410" s="357"/>
      <c r="D410" s="355"/>
      <c r="E410" s="367"/>
      <c r="F410" s="357"/>
    </row>
    <row r="411">
      <c r="A411" s="355"/>
      <c r="B411" s="367"/>
      <c r="C411" s="357"/>
      <c r="D411" s="355"/>
      <c r="E411" s="367"/>
      <c r="F411" s="357"/>
    </row>
    <row r="412">
      <c r="A412" s="355"/>
      <c r="B412" s="367"/>
      <c r="C412" s="357"/>
      <c r="D412" s="355"/>
      <c r="E412" s="367"/>
      <c r="F412" s="357"/>
    </row>
    <row r="413">
      <c r="A413" s="355"/>
      <c r="B413" s="367"/>
      <c r="C413" s="357"/>
      <c r="D413" s="355"/>
      <c r="E413" s="367"/>
      <c r="F413" s="357"/>
    </row>
    <row r="414">
      <c r="A414" s="355"/>
      <c r="B414" s="367"/>
      <c r="C414" s="357"/>
      <c r="D414" s="355"/>
      <c r="E414" s="367"/>
      <c r="F414" s="357"/>
    </row>
    <row r="415">
      <c r="A415" s="355"/>
      <c r="B415" s="367"/>
      <c r="C415" s="357"/>
      <c r="D415" s="355"/>
      <c r="E415" s="367"/>
      <c r="F415" s="357"/>
    </row>
    <row r="416">
      <c r="A416" s="355"/>
      <c r="B416" s="367"/>
      <c r="C416" s="357"/>
      <c r="D416" s="355"/>
      <c r="E416" s="367"/>
      <c r="F416" s="357"/>
    </row>
    <row r="417">
      <c r="A417" s="355"/>
      <c r="B417" s="367"/>
      <c r="C417" s="357"/>
      <c r="D417" s="355"/>
      <c r="E417" s="367"/>
      <c r="F417" s="357"/>
    </row>
    <row r="418">
      <c r="A418" s="355"/>
      <c r="B418" s="367"/>
      <c r="C418" s="357"/>
      <c r="D418" s="355"/>
      <c r="E418" s="367"/>
      <c r="F418" s="357"/>
    </row>
    <row r="419">
      <c r="A419" s="355"/>
      <c r="B419" s="367"/>
      <c r="C419" s="357"/>
      <c r="D419" s="355"/>
      <c r="E419" s="367"/>
      <c r="F419" s="357"/>
    </row>
    <row r="420">
      <c r="A420" s="355"/>
      <c r="B420" s="367"/>
      <c r="C420" s="357"/>
      <c r="D420" s="355"/>
      <c r="E420" s="367"/>
      <c r="F420" s="357"/>
    </row>
    <row r="421">
      <c r="A421" s="355"/>
      <c r="B421" s="367"/>
      <c r="C421" s="357"/>
      <c r="D421" s="355"/>
      <c r="E421" s="367"/>
      <c r="F421" s="357"/>
    </row>
    <row r="422">
      <c r="A422" s="355"/>
      <c r="B422" s="367"/>
      <c r="C422" s="357"/>
      <c r="D422" s="355"/>
      <c r="E422" s="367"/>
      <c r="F422" s="357"/>
    </row>
    <row r="423">
      <c r="A423" s="355"/>
      <c r="B423" s="367"/>
      <c r="C423" s="357"/>
      <c r="D423" s="355"/>
      <c r="E423" s="367"/>
      <c r="F423" s="357"/>
    </row>
    <row r="424">
      <c r="A424" s="355"/>
      <c r="B424" s="367"/>
      <c r="C424" s="357"/>
      <c r="D424" s="355"/>
      <c r="E424" s="367"/>
      <c r="F424" s="357"/>
    </row>
    <row r="425">
      <c r="A425" s="355"/>
      <c r="B425" s="367"/>
      <c r="C425" s="357"/>
      <c r="D425" s="355"/>
      <c r="E425" s="367"/>
      <c r="F425" s="357"/>
    </row>
    <row r="426">
      <c r="A426" s="355"/>
      <c r="B426" s="367"/>
      <c r="C426" s="357"/>
      <c r="D426" s="355"/>
      <c r="E426" s="367"/>
      <c r="F426" s="357"/>
    </row>
    <row r="427">
      <c r="A427" s="355"/>
      <c r="B427" s="367"/>
      <c r="C427" s="357"/>
      <c r="D427" s="355"/>
      <c r="E427" s="367"/>
      <c r="F427" s="357"/>
    </row>
    <row r="428">
      <c r="A428" s="355"/>
      <c r="B428" s="367"/>
      <c r="C428" s="357"/>
      <c r="D428" s="355"/>
      <c r="E428" s="367"/>
      <c r="F428" s="357"/>
    </row>
    <row r="429">
      <c r="A429" s="355"/>
      <c r="B429" s="367"/>
      <c r="C429" s="357"/>
      <c r="D429" s="355"/>
      <c r="E429" s="367"/>
      <c r="F429" s="357"/>
    </row>
    <row r="430">
      <c r="A430" s="355"/>
      <c r="B430" s="367"/>
      <c r="C430" s="357"/>
      <c r="D430" s="355"/>
      <c r="E430" s="367"/>
      <c r="F430" s="357"/>
    </row>
    <row r="431">
      <c r="A431" s="355"/>
      <c r="B431" s="367"/>
      <c r="C431" s="357"/>
      <c r="D431" s="355"/>
      <c r="E431" s="367"/>
      <c r="F431" s="357"/>
    </row>
    <row r="432">
      <c r="A432" s="355"/>
      <c r="B432" s="367"/>
      <c r="C432" s="357"/>
      <c r="D432" s="355"/>
      <c r="E432" s="367"/>
      <c r="F432" s="357"/>
    </row>
    <row r="433">
      <c r="A433" s="355"/>
      <c r="B433" s="367"/>
      <c r="C433" s="357"/>
      <c r="D433" s="355"/>
      <c r="E433" s="367"/>
      <c r="F433" s="357"/>
    </row>
    <row r="434">
      <c r="A434" s="355"/>
      <c r="B434" s="367"/>
      <c r="C434" s="357"/>
      <c r="D434" s="355"/>
      <c r="E434" s="367"/>
      <c r="F434" s="357"/>
    </row>
    <row r="435">
      <c r="A435" s="355"/>
      <c r="B435" s="367"/>
      <c r="C435" s="357"/>
      <c r="D435" s="355"/>
      <c r="E435" s="367"/>
      <c r="F435" s="357"/>
    </row>
    <row r="436">
      <c r="A436" s="355"/>
      <c r="B436" s="367"/>
      <c r="C436" s="357"/>
      <c r="D436" s="355"/>
      <c r="E436" s="367"/>
      <c r="F436" s="357"/>
    </row>
    <row r="437">
      <c r="A437" s="355"/>
      <c r="B437" s="367"/>
      <c r="C437" s="357"/>
      <c r="D437" s="355"/>
      <c r="E437" s="367"/>
      <c r="F437" s="357"/>
    </row>
    <row r="438">
      <c r="A438" s="355"/>
      <c r="B438" s="367"/>
      <c r="C438" s="357"/>
      <c r="D438" s="355"/>
      <c r="E438" s="367"/>
      <c r="F438" s="357"/>
    </row>
    <row r="439">
      <c r="A439" s="355"/>
      <c r="B439" s="367"/>
      <c r="C439" s="357"/>
      <c r="D439" s="355"/>
      <c r="E439" s="367"/>
      <c r="F439" s="357"/>
    </row>
    <row r="440">
      <c r="A440" s="355"/>
      <c r="B440" s="367"/>
      <c r="C440" s="357"/>
      <c r="D440" s="355"/>
      <c r="E440" s="367"/>
      <c r="F440" s="357"/>
    </row>
    <row r="441">
      <c r="A441" s="355"/>
      <c r="B441" s="367"/>
      <c r="C441" s="357"/>
      <c r="D441" s="355"/>
      <c r="E441" s="367"/>
      <c r="F441" s="357"/>
    </row>
    <row r="442">
      <c r="A442" s="355"/>
      <c r="B442" s="367"/>
      <c r="C442" s="357"/>
      <c r="D442" s="355"/>
      <c r="E442" s="367"/>
      <c r="F442" s="357"/>
    </row>
    <row r="443">
      <c r="A443" s="355"/>
      <c r="B443" s="367"/>
      <c r="C443" s="357"/>
      <c r="D443" s="355"/>
      <c r="E443" s="367"/>
      <c r="F443" s="357"/>
    </row>
    <row r="444">
      <c r="A444" s="355"/>
      <c r="B444" s="367"/>
      <c r="C444" s="357"/>
      <c r="D444" s="355"/>
      <c r="E444" s="367"/>
      <c r="F444" s="357"/>
    </row>
    <row r="445">
      <c r="A445" s="355"/>
      <c r="B445" s="367"/>
      <c r="C445" s="357"/>
      <c r="D445" s="355"/>
      <c r="E445" s="367"/>
      <c r="F445" s="357"/>
    </row>
    <row r="446">
      <c r="A446" s="355"/>
      <c r="B446" s="367"/>
      <c r="C446" s="357"/>
      <c r="D446" s="355"/>
      <c r="E446" s="367"/>
      <c r="F446" s="357"/>
    </row>
    <row r="447">
      <c r="A447" s="355"/>
      <c r="B447" s="367"/>
      <c r="C447" s="357"/>
      <c r="D447" s="355"/>
      <c r="E447" s="367"/>
      <c r="F447" s="357"/>
    </row>
    <row r="448">
      <c r="A448" s="355"/>
      <c r="B448" s="367"/>
      <c r="C448" s="357"/>
      <c r="D448" s="355"/>
      <c r="E448" s="367"/>
      <c r="F448" s="357"/>
    </row>
    <row r="449">
      <c r="A449" s="355"/>
      <c r="B449" s="367"/>
      <c r="C449" s="357"/>
      <c r="D449" s="355"/>
      <c r="E449" s="367"/>
      <c r="F449" s="357"/>
    </row>
    <row r="450">
      <c r="A450" s="355"/>
      <c r="B450" s="367"/>
      <c r="C450" s="357"/>
      <c r="D450" s="355"/>
      <c r="E450" s="367"/>
      <c r="F450" s="357"/>
    </row>
    <row r="451">
      <c r="A451" s="355"/>
      <c r="B451" s="367"/>
      <c r="C451" s="357"/>
      <c r="D451" s="355"/>
      <c r="E451" s="367"/>
      <c r="F451" s="357"/>
    </row>
    <row r="452">
      <c r="A452" s="355"/>
      <c r="B452" s="367"/>
      <c r="C452" s="357"/>
      <c r="D452" s="355"/>
      <c r="E452" s="367"/>
      <c r="F452" s="357"/>
    </row>
    <row r="453">
      <c r="A453" s="355"/>
      <c r="B453" s="367"/>
      <c r="C453" s="357"/>
      <c r="D453" s="355"/>
      <c r="E453" s="367"/>
      <c r="F453" s="357"/>
    </row>
    <row r="454">
      <c r="A454" s="355"/>
      <c r="B454" s="367"/>
      <c r="C454" s="357"/>
      <c r="D454" s="355"/>
      <c r="E454" s="367"/>
      <c r="F454" s="357"/>
    </row>
    <row r="455">
      <c r="A455" s="355"/>
      <c r="B455" s="367"/>
      <c r="C455" s="357"/>
      <c r="D455" s="355"/>
      <c r="E455" s="367"/>
      <c r="F455" s="357"/>
    </row>
    <row r="456">
      <c r="A456" s="355"/>
      <c r="B456" s="367"/>
      <c r="C456" s="357"/>
      <c r="D456" s="355"/>
      <c r="E456" s="367"/>
      <c r="F456" s="357"/>
    </row>
    <row r="457">
      <c r="A457" s="355"/>
      <c r="B457" s="367"/>
      <c r="C457" s="357"/>
      <c r="D457" s="355"/>
      <c r="E457" s="367"/>
      <c r="F457" s="357"/>
    </row>
    <row r="458">
      <c r="A458" s="355"/>
      <c r="B458" s="367"/>
      <c r="C458" s="357"/>
      <c r="D458" s="355"/>
      <c r="E458" s="367"/>
      <c r="F458" s="357"/>
    </row>
    <row r="459">
      <c r="A459" s="355"/>
      <c r="B459" s="367"/>
      <c r="C459" s="357"/>
      <c r="D459" s="355"/>
      <c r="E459" s="367"/>
      <c r="F459" s="357"/>
    </row>
    <row r="460">
      <c r="A460" s="355"/>
      <c r="B460" s="367"/>
      <c r="C460" s="357"/>
      <c r="D460" s="355"/>
      <c r="E460" s="367"/>
      <c r="F460" s="357"/>
    </row>
    <row r="461">
      <c r="A461" s="355"/>
      <c r="B461" s="367"/>
      <c r="C461" s="357"/>
      <c r="D461" s="355"/>
      <c r="E461" s="367"/>
      <c r="F461" s="357"/>
    </row>
    <row r="462">
      <c r="A462" s="355"/>
      <c r="B462" s="367"/>
      <c r="C462" s="357"/>
      <c r="D462" s="355"/>
      <c r="E462" s="367"/>
      <c r="F462" s="357"/>
    </row>
    <row r="463">
      <c r="A463" s="355"/>
      <c r="B463" s="367"/>
      <c r="C463" s="357"/>
      <c r="D463" s="355"/>
      <c r="E463" s="367"/>
      <c r="F463" s="357"/>
    </row>
    <row r="464">
      <c r="A464" s="355"/>
      <c r="B464" s="367"/>
      <c r="C464" s="357"/>
      <c r="D464" s="355"/>
      <c r="E464" s="367"/>
      <c r="F464" s="357"/>
    </row>
    <row r="465">
      <c r="A465" s="355"/>
      <c r="B465" s="367"/>
      <c r="C465" s="357"/>
      <c r="D465" s="355"/>
      <c r="E465" s="367"/>
      <c r="F465" s="357"/>
    </row>
    <row r="466">
      <c r="A466" s="355"/>
      <c r="B466" s="367"/>
      <c r="C466" s="357"/>
      <c r="D466" s="355"/>
      <c r="E466" s="367"/>
      <c r="F466" s="357"/>
    </row>
    <row r="467">
      <c r="A467" s="355"/>
      <c r="B467" s="367"/>
      <c r="C467" s="357"/>
      <c r="D467" s="355"/>
      <c r="E467" s="367"/>
      <c r="F467" s="357"/>
    </row>
    <row r="468">
      <c r="A468" s="355"/>
      <c r="B468" s="367"/>
      <c r="C468" s="357"/>
      <c r="D468" s="355"/>
      <c r="E468" s="367"/>
      <c r="F468" s="357"/>
    </row>
    <row r="469">
      <c r="A469" s="355"/>
      <c r="B469" s="367"/>
      <c r="C469" s="357"/>
      <c r="D469" s="355"/>
      <c r="E469" s="367"/>
      <c r="F469" s="357"/>
    </row>
    <row r="470">
      <c r="A470" s="355"/>
      <c r="B470" s="367"/>
      <c r="C470" s="357"/>
      <c r="D470" s="355"/>
      <c r="E470" s="367"/>
      <c r="F470" s="357"/>
    </row>
    <row r="471">
      <c r="A471" s="355"/>
      <c r="B471" s="367"/>
      <c r="C471" s="357"/>
      <c r="D471" s="355"/>
      <c r="E471" s="367"/>
      <c r="F471" s="357"/>
    </row>
    <row r="472">
      <c r="A472" s="355"/>
      <c r="B472" s="367"/>
      <c r="C472" s="357"/>
      <c r="D472" s="355"/>
      <c r="E472" s="367"/>
      <c r="F472" s="357"/>
    </row>
    <row r="473">
      <c r="A473" s="355"/>
      <c r="B473" s="367"/>
      <c r="C473" s="357"/>
      <c r="D473" s="355"/>
      <c r="E473" s="367"/>
      <c r="F473" s="357"/>
    </row>
    <row r="474">
      <c r="A474" s="355"/>
      <c r="B474" s="367"/>
      <c r="C474" s="357"/>
      <c r="D474" s="355"/>
      <c r="E474" s="367"/>
      <c r="F474" s="357"/>
    </row>
    <row r="475">
      <c r="A475" s="355"/>
      <c r="B475" s="367"/>
      <c r="C475" s="357"/>
      <c r="D475" s="355"/>
      <c r="E475" s="367"/>
      <c r="F475" s="357"/>
    </row>
    <row r="476">
      <c r="A476" s="355"/>
      <c r="B476" s="367"/>
      <c r="C476" s="357"/>
      <c r="D476" s="355"/>
      <c r="E476" s="367"/>
      <c r="F476" s="357"/>
    </row>
    <row r="477">
      <c r="A477" s="355"/>
      <c r="B477" s="367"/>
      <c r="C477" s="357"/>
      <c r="D477" s="355"/>
      <c r="E477" s="367"/>
      <c r="F477" s="357"/>
    </row>
    <row r="478">
      <c r="A478" s="355"/>
      <c r="B478" s="367"/>
      <c r="C478" s="357"/>
      <c r="D478" s="355"/>
      <c r="E478" s="367"/>
      <c r="F478" s="357"/>
    </row>
    <row r="479">
      <c r="A479" s="355"/>
      <c r="B479" s="367"/>
      <c r="C479" s="357"/>
      <c r="D479" s="355"/>
      <c r="E479" s="367"/>
      <c r="F479" s="357"/>
    </row>
    <row r="480">
      <c r="A480" s="355"/>
      <c r="B480" s="367"/>
      <c r="C480" s="357"/>
      <c r="D480" s="355"/>
      <c r="E480" s="367"/>
      <c r="F480" s="357"/>
    </row>
    <row r="481">
      <c r="A481" s="355"/>
      <c r="B481" s="367"/>
      <c r="C481" s="357"/>
      <c r="D481" s="355"/>
      <c r="E481" s="367"/>
      <c r="F481" s="357"/>
    </row>
    <row r="482">
      <c r="A482" s="355"/>
      <c r="B482" s="367"/>
      <c r="C482" s="357"/>
      <c r="D482" s="355"/>
      <c r="E482" s="367"/>
      <c r="F482" s="357"/>
    </row>
    <row r="483">
      <c r="A483" s="355"/>
      <c r="B483" s="367"/>
      <c r="C483" s="357"/>
      <c r="D483" s="355"/>
      <c r="E483" s="367"/>
      <c r="F483" s="357"/>
    </row>
    <row r="484">
      <c r="A484" s="355"/>
      <c r="B484" s="367"/>
      <c r="C484" s="357"/>
      <c r="D484" s="355"/>
      <c r="E484" s="367"/>
      <c r="F484" s="357"/>
    </row>
    <row r="485">
      <c r="A485" s="355"/>
      <c r="B485" s="367"/>
      <c r="C485" s="357"/>
      <c r="D485" s="355"/>
      <c r="E485" s="367"/>
      <c r="F485" s="357"/>
    </row>
    <row r="486">
      <c r="A486" s="355"/>
      <c r="B486" s="367"/>
      <c r="C486" s="357"/>
      <c r="D486" s="355"/>
      <c r="E486" s="367"/>
      <c r="F486" s="357"/>
    </row>
    <row r="487">
      <c r="A487" s="355"/>
      <c r="B487" s="367"/>
      <c r="C487" s="357"/>
      <c r="D487" s="355"/>
      <c r="E487" s="367"/>
      <c r="F487" s="357"/>
    </row>
    <row r="488">
      <c r="A488" s="355"/>
      <c r="B488" s="367"/>
      <c r="C488" s="357"/>
      <c r="D488" s="355"/>
      <c r="E488" s="367"/>
      <c r="F488" s="357"/>
    </row>
    <row r="489">
      <c r="A489" s="355"/>
      <c r="B489" s="367"/>
      <c r="C489" s="357"/>
      <c r="D489" s="355"/>
      <c r="E489" s="367"/>
      <c r="F489" s="357"/>
    </row>
    <row r="490">
      <c r="A490" s="355"/>
      <c r="B490" s="367"/>
      <c r="C490" s="357"/>
      <c r="D490" s="355"/>
      <c r="E490" s="367"/>
      <c r="F490" s="357"/>
    </row>
    <row r="491">
      <c r="A491" s="355"/>
      <c r="B491" s="367"/>
      <c r="C491" s="357"/>
      <c r="D491" s="355"/>
      <c r="E491" s="367"/>
      <c r="F491" s="357"/>
    </row>
    <row r="492">
      <c r="A492" s="355"/>
      <c r="B492" s="367"/>
      <c r="C492" s="357"/>
      <c r="D492" s="355"/>
      <c r="E492" s="367"/>
      <c r="F492" s="357"/>
    </row>
    <row r="493">
      <c r="A493" s="355"/>
      <c r="B493" s="367"/>
      <c r="C493" s="357"/>
      <c r="D493" s="355"/>
      <c r="E493" s="367"/>
      <c r="F493" s="357"/>
    </row>
    <row r="494">
      <c r="A494" s="355"/>
      <c r="B494" s="367"/>
      <c r="C494" s="357"/>
      <c r="D494" s="355"/>
      <c r="E494" s="367"/>
      <c r="F494" s="357"/>
    </row>
    <row r="495">
      <c r="A495" s="355"/>
      <c r="B495" s="367"/>
      <c r="C495" s="357"/>
      <c r="D495" s="355"/>
      <c r="E495" s="367"/>
      <c r="F495" s="357"/>
    </row>
    <row r="496">
      <c r="A496" s="355"/>
      <c r="B496" s="367"/>
      <c r="C496" s="357"/>
      <c r="D496" s="355"/>
      <c r="E496" s="367"/>
      <c r="F496" s="357"/>
    </row>
    <row r="497">
      <c r="A497" s="355"/>
      <c r="B497" s="367"/>
      <c r="C497" s="357"/>
      <c r="D497" s="355"/>
      <c r="E497" s="367"/>
      <c r="F497" s="357"/>
    </row>
    <row r="498">
      <c r="A498" s="355"/>
      <c r="B498" s="367"/>
      <c r="C498" s="357"/>
      <c r="D498" s="355"/>
      <c r="E498" s="367"/>
      <c r="F498" s="357"/>
    </row>
    <row r="499">
      <c r="A499" s="355"/>
      <c r="B499" s="367"/>
      <c r="C499" s="357"/>
      <c r="D499" s="355"/>
      <c r="E499" s="367"/>
      <c r="F499" s="357"/>
    </row>
    <row r="500">
      <c r="A500" s="355"/>
      <c r="B500" s="367"/>
      <c r="C500" s="357"/>
      <c r="D500" s="355"/>
      <c r="E500" s="367"/>
      <c r="F500" s="357"/>
    </row>
    <row r="501">
      <c r="A501" s="355"/>
      <c r="B501" s="367"/>
      <c r="C501" s="357"/>
      <c r="D501" s="355"/>
      <c r="E501" s="367"/>
      <c r="F501" s="357"/>
    </row>
    <row r="502">
      <c r="A502" s="355"/>
      <c r="B502" s="367"/>
      <c r="C502" s="357"/>
      <c r="D502" s="355"/>
      <c r="E502" s="367"/>
      <c r="F502" s="357"/>
    </row>
    <row r="503">
      <c r="A503" s="355"/>
      <c r="B503" s="367"/>
      <c r="C503" s="357"/>
      <c r="D503" s="355"/>
      <c r="E503" s="367"/>
      <c r="F503" s="357"/>
    </row>
    <row r="504">
      <c r="A504" s="355"/>
      <c r="B504" s="367"/>
      <c r="C504" s="357"/>
      <c r="D504" s="355"/>
      <c r="E504" s="367"/>
      <c r="F504" s="357"/>
    </row>
    <row r="505">
      <c r="A505" s="355"/>
      <c r="B505" s="367"/>
      <c r="C505" s="357"/>
      <c r="D505" s="355"/>
      <c r="E505" s="367"/>
      <c r="F505" s="357"/>
    </row>
    <row r="506">
      <c r="A506" s="355"/>
      <c r="B506" s="367"/>
      <c r="C506" s="357"/>
      <c r="D506" s="355"/>
      <c r="E506" s="367"/>
      <c r="F506" s="357"/>
    </row>
    <row r="507">
      <c r="A507" s="355"/>
      <c r="B507" s="367"/>
      <c r="C507" s="357"/>
      <c r="D507" s="355"/>
      <c r="E507" s="367"/>
      <c r="F507" s="357"/>
    </row>
    <row r="508">
      <c r="A508" s="355"/>
      <c r="B508" s="367"/>
      <c r="C508" s="357"/>
      <c r="D508" s="355"/>
      <c r="E508" s="367"/>
      <c r="F508" s="357"/>
    </row>
    <row r="509">
      <c r="A509" s="355"/>
      <c r="B509" s="367"/>
      <c r="C509" s="357"/>
      <c r="D509" s="355"/>
      <c r="E509" s="367"/>
      <c r="F509" s="357"/>
    </row>
    <row r="510">
      <c r="A510" s="355"/>
      <c r="B510" s="367"/>
      <c r="C510" s="357"/>
      <c r="D510" s="355"/>
      <c r="E510" s="367"/>
      <c r="F510" s="357"/>
    </row>
    <row r="511">
      <c r="A511" s="355"/>
      <c r="B511" s="367"/>
      <c r="C511" s="357"/>
      <c r="D511" s="355"/>
      <c r="E511" s="367"/>
      <c r="F511" s="357"/>
    </row>
    <row r="512">
      <c r="A512" s="355"/>
      <c r="B512" s="367"/>
      <c r="C512" s="357"/>
      <c r="D512" s="355"/>
      <c r="E512" s="367"/>
      <c r="F512" s="357"/>
    </row>
    <row r="513">
      <c r="A513" s="355"/>
      <c r="B513" s="367"/>
      <c r="C513" s="357"/>
      <c r="D513" s="355"/>
      <c r="E513" s="367"/>
      <c r="F513" s="357"/>
    </row>
    <row r="514">
      <c r="A514" s="355"/>
      <c r="B514" s="367"/>
      <c r="C514" s="357"/>
      <c r="D514" s="355"/>
      <c r="E514" s="367"/>
      <c r="F514" s="357"/>
    </row>
    <row r="515">
      <c r="A515" s="355"/>
      <c r="B515" s="367"/>
      <c r="C515" s="357"/>
      <c r="D515" s="355"/>
      <c r="E515" s="367"/>
      <c r="F515" s="357"/>
    </row>
    <row r="516">
      <c r="A516" s="355"/>
      <c r="B516" s="367"/>
      <c r="C516" s="357"/>
      <c r="D516" s="355"/>
      <c r="E516" s="367"/>
      <c r="F516" s="357"/>
    </row>
    <row r="517">
      <c r="A517" s="355"/>
      <c r="B517" s="367"/>
      <c r="C517" s="357"/>
      <c r="D517" s="355"/>
      <c r="E517" s="367"/>
      <c r="F517" s="357"/>
    </row>
    <row r="518">
      <c r="A518" s="355"/>
      <c r="B518" s="367"/>
      <c r="C518" s="357"/>
      <c r="D518" s="355"/>
      <c r="E518" s="367"/>
      <c r="F518" s="357"/>
    </row>
    <row r="519">
      <c r="A519" s="355"/>
      <c r="B519" s="367"/>
      <c r="C519" s="357"/>
      <c r="D519" s="355"/>
      <c r="E519" s="367"/>
      <c r="F519" s="357"/>
    </row>
    <row r="520">
      <c r="A520" s="355"/>
      <c r="B520" s="367"/>
      <c r="C520" s="357"/>
      <c r="D520" s="355"/>
      <c r="E520" s="367"/>
      <c r="F520" s="357"/>
    </row>
    <row r="521">
      <c r="A521" s="355"/>
      <c r="B521" s="367"/>
      <c r="C521" s="357"/>
      <c r="D521" s="355"/>
      <c r="E521" s="367"/>
      <c r="F521" s="357"/>
    </row>
    <row r="522">
      <c r="A522" s="355"/>
      <c r="B522" s="367"/>
      <c r="C522" s="357"/>
      <c r="D522" s="355"/>
      <c r="E522" s="367"/>
      <c r="F522" s="357"/>
    </row>
    <row r="523">
      <c r="A523" s="355"/>
      <c r="B523" s="367"/>
      <c r="C523" s="357"/>
      <c r="D523" s="355"/>
      <c r="E523" s="367"/>
      <c r="F523" s="357"/>
    </row>
    <row r="524">
      <c r="A524" s="355"/>
      <c r="B524" s="367"/>
      <c r="C524" s="357"/>
      <c r="D524" s="355"/>
      <c r="E524" s="367"/>
      <c r="F524" s="357"/>
    </row>
    <row r="525">
      <c r="A525" s="355"/>
      <c r="B525" s="367"/>
      <c r="C525" s="357"/>
      <c r="D525" s="355"/>
      <c r="E525" s="367"/>
      <c r="F525" s="357"/>
    </row>
    <row r="526">
      <c r="A526" s="355"/>
      <c r="B526" s="367"/>
      <c r="C526" s="357"/>
      <c r="D526" s="355"/>
      <c r="E526" s="367"/>
      <c r="F526" s="357"/>
    </row>
    <row r="527">
      <c r="A527" s="355"/>
      <c r="B527" s="367"/>
      <c r="C527" s="357"/>
      <c r="D527" s="355"/>
      <c r="E527" s="367"/>
      <c r="F527" s="357"/>
    </row>
    <row r="528">
      <c r="A528" s="355"/>
      <c r="B528" s="367"/>
      <c r="C528" s="357"/>
      <c r="D528" s="355"/>
      <c r="E528" s="367"/>
      <c r="F528" s="357"/>
    </row>
    <row r="529">
      <c r="A529" s="355"/>
      <c r="B529" s="367"/>
      <c r="C529" s="357"/>
      <c r="D529" s="355"/>
      <c r="E529" s="367"/>
      <c r="F529" s="357"/>
    </row>
    <row r="530">
      <c r="A530" s="355"/>
      <c r="B530" s="367"/>
      <c r="C530" s="357"/>
      <c r="D530" s="355"/>
      <c r="E530" s="367"/>
      <c r="F530" s="357"/>
    </row>
    <row r="531">
      <c r="A531" s="355"/>
      <c r="B531" s="367"/>
      <c r="C531" s="357"/>
      <c r="D531" s="355"/>
      <c r="E531" s="367"/>
      <c r="F531" s="357"/>
    </row>
    <row r="532">
      <c r="A532" s="355"/>
      <c r="B532" s="367"/>
      <c r="C532" s="357"/>
      <c r="D532" s="355"/>
      <c r="E532" s="367"/>
      <c r="F532" s="357"/>
    </row>
    <row r="533">
      <c r="A533" s="355"/>
      <c r="B533" s="367"/>
      <c r="C533" s="357"/>
      <c r="D533" s="355"/>
      <c r="E533" s="367"/>
      <c r="F533" s="357"/>
    </row>
    <row r="534">
      <c r="A534" s="355"/>
      <c r="B534" s="367"/>
      <c r="C534" s="357"/>
      <c r="D534" s="355"/>
      <c r="E534" s="367"/>
      <c r="F534" s="357"/>
    </row>
    <row r="535">
      <c r="A535" s="355"/>
      <c r="B535" s="367"/>
      <c r="C535" s="357"/>
      <c r="D535" s="355"/>
      <c r="E535" s="367"/>
      <c r="F535" s="357"/>
    </row>
    <row r="536">
      <c r="A536" s="355"/>
      <c r="B536" s="367"/>
      <c r="C536" s="357"/>
      <c r="D536" s="355"/>
      <c r="E536" s="367"/>
      <c r="F536" s="357"/>
    </row>
    <row r="537">
      <c r="A537" s="355"/>
      <c r="B537" s="367"/>
      <c r="C537" s="357"/>
      <c r="D537" s="355"/>
      <c r="E537" s="367"/>
      <c r="F537" s="357"/>
    </row>
    <row r="538">
      <c r="A538" s="355"/>
      <c r="B538" s="367"/>
      <c r="C538" s="357"/>
      <c r="D538" s="355"/>
      <c r="E538" s="367"/>
      <c r="F538" s="357"/>
    </row>
    <row r="539">
      <c r="A539" s="355"/>
      <c r="B539" s="367"/>
      <c r="C539" s="357"/>
      <c r="D539" s="355"/>
      <c r="E539" s="367"/>
      <c r="F539" s="357"/>
    </row>
    <row r="540">
      <c r="A540" s="355"/>
      <c r="B540" s="367"/>
      <c r="C540" s="357"/>
      <c r="D540" s="355"/>
      <c r="E540" s="367"/>
      <c r="F540" s="357"/>
    </row>
    <row r="541">
      <c r="A541" s="355"/>
      <c r="B541" s="367"/>
      <c r="C541" s="357"/>
      <c r="D541" s="355"/>
      <c r="E541" s="367"/>
      <c r="F541" s="357"/>
    </row>
    <row r="542">
      <c r="A542" s="355"/>
      <c r="B542" s="367"/>
      <c r="C542" s="357"/>
      <c r="D542" s="355"/>
      <c r="E542" s="367"/>
      <c r="F542" s="357"/>
    </row>
    <row r="543">
      <c r="A543" s="355"/>
      <c r="B543" s="367"/>
      <c r="C543" s="357"/>
      <c r="D543" s="355"/>
      <c r="E543" s="367"/>
      <c r="F543" s="357"/>
    </row>
    <row r="544">
      <c r="A544" s="355"/>
      <c r="B544" s="367"/>
      <c r="C544" s="357"/>
      <c r="D544" s="355"/>
      <c r="E544" s="367"/>
      <c r="F544" s="357"/>
    </row>
    <row r="545">
      <c r="A545" s="355"/>
      <c r="B545" s="367"/>
      <c r="C545" s="357"/>
      <c r="D545" s="355"/>
      <c r="E545" s="367"/>
      <c r="F545" s="357"/>
    </row>
    <row r="546">
      <c r="A546" s="355"/>
      <c r="B546" s="367"/>
      <c r="C546" s="357"/>
      <c r="D546" s="355"/>
      <c r="E546" s="367"/>
      <c r="F546" s="357"/>
    </row>
    <row r="547">
      <c r="A547" s="355"/>
      <c r="B547" s="367"/>
      <c r="C547" s="357"/>
      <c r="D547" s="355"/>
      <c r="E547" s="367"/>
      <c r="F547" s="357"/>
    </row>
    <row r="548">
      <c r="A548" s="355"/>
      <c r="B548" s="367"/>
      <c r="C548" s="357"/>
      <c r="D548" s="355"/>
      <c r="E548" s="367"/>
      <c r="F548" s="357"/>
    </row>
    <row r="549">
      <c r="A549" s="355"/>
      <c r="B549" s="367"/>
      <c r="C549" s="357"/>
      <c r="D549" s="355"/>
      <c r="E549" s="367"/>
      <c r="F549" s="357"/>
    </row>
    <row r="550">
      <c r="A550" s="355"/>
      <c r="B550" s="367"/>
      <c r="C550" s="357"/>
      <c r="D550" s="355"/>
      <c r="E550" s="367"/>
      <c r="F550" s="357"/>
    </row>
    <row r="551">
      <c r="A551" s="355"/>
      <c r="B551" s="367"/>
      <c r="C551" s="357"/>
      <c r="D551" s="355"/>
      <c r="E551" s="367"/>
      <c r="F551" s="357"/>
    </row>
    <row r="552">
      <c r="A552" s="355"/>
      <c r="B552" s="367"/>
      <c r="C552" s="357"/>
      <c r="D552" s="355"/>
      <c r="E552" s="367"/>
      <c r="F552" s="357"/>
    </row>
    <row r="553">
      <c r="A553" s="355"/>
      <c r="B553" s="367"/>
      <c r="C553" s="357"/>
      <c r="D553" s="355"/>
      <c r="E553" s="367"/>
      <c r="F553" s="357"/>
    </row>
    <row r="554">
      <c r="A554" s="355"/>
      <c r="B554" s="367"/>
      <c r="C554" s="357"/>
      <c r="D554" s="355"/>
      <c r="E554" s="367"/>
      <c r="F554" s="357"/>
    </row>
    <row r="555">
      <c r="A555" s="355"/>
      <c r="B555" s="367"/>
      <c r="C555" s="357"/>
      <c r="D555" s="355"/>
      <c r="E555" s="367"/>
      <c r="F555" s="357"/>
    </row>
    <row r="556">
      <c r="A556" s="355"/>
      <c r="B556" s="367"/>
      <c r="C556" s="357"/>
      <c r="D556" s="355"/>
      <c r="E556" s="367"/>
      <c r="F556" s="357"/>
    </row>
    <row r="557">
      <c r="A557" s="355"/>
      <c r="B557" s="367"/>
      <c r="C557" s="357"/>
      <c r="D557" s="355"/>
      <c r="E557" s="367"/>
      <c r="F557" s="357"/>
    </row>
    <row r="558">
      <c r="A558" s="355"/>
      <c r="B558" s="367"/>
      <c r="C558" s="357"/>
      <c r="D558" s="355"/>
      <c r="E558" s="367"/>
      <c r="F558" s="357"/>
    </row>
    <row r="559">
      <c r="A559" s="355"/>
      <c r="B559" s="367"/>
      <c r="C559" s="357"/>
      <c r="D559" s="355"/>
      <c r="E559" s="367"/>
      <c r="F559" s="357"/>
    </row>
    <row r="560">
      <c r="A560" s="355"/>
      <c r="B560" s="367"/>
      <c r="C560" s="357"/>
      <c r="D560" s="355"/>
      <c r="E560" s="367"/>
      <c r="F560" s="357"/>
    </row>
    <row r="561">
      <c r="A561" s="355"/>
      <c r="B561" s="367"/>
      <c r="C561" s="357"/>
      <c r="D561" s="355"/>
      <c r="E561" s="367"/>
      <c r="F561" s="357"/>
    </row>
    <row r="562">
      <c r="A562" s="355"/>
      <c r="B562" s="367"/>
      <c r="C562" s="357"/>
      <c r="D562" s="355"/>
      <c r="E562" s="367"/>
      <c r="F562" s="357"/>
    </row>
    <row r="563">
      <c r="A563" s="355"/>
      <c r="B563" s="367"/>
      <c r="C563" s="357"/>
      <c r="D563" s="355"/>
      <c r="E563" s="367"/>
      <c r="F563" s="357"/>
    </row>
    <row r="564">
      <c r="A564" s="355"/>
      <c r="B564" s="367"/>
      <c r="C564" s="357"/>
      <c r="D564" s="355"/>
      <c r="E564" s="367"/>
      <c r="F564" s="357"/>
    </row>
    <row r="565">
      <c r="A565" s="355"/>
      <c r="B565" s="367"/>
      <c r="C565" s="357"/>
      <c r="D565" s="355"/>
      <c r="E565" s="367"/>
      <c r="F565" s="357"/>
    </row>
    <row r="566">
      <c r="A566" s="355"/>
      <c r="B566" s="367"/>
      <c r="C566" s="357"/>
      <c r="D566" s="355"/>
      <c r="E566" s="367"/>
      <c r="F566" s="357"/>
    </row>
    <row r="567">
      <c r="A567" s="355"/>
      <c r="B567" s="367"/>
      <c r="C567" s="357"/>
      <c r="D567" s="355"/>
      <c r="E567" s="367"/>
      <c r="F567" s="357"/>
    </row>
    <row r="568">
      <c r="A568" s="355"/>
      <c r="B568" s="367"/>
      <c r="C568" s="357"/>
      <c r="D568" s="355"/>
      <c r="E568" s="367"/>
      <c r="F568" s="357"/>
    </row>
    <row r="569">
      <c r="A569" s="355"/>
      <c r="B569" s="367"/>
      <c r="C569" s="357"/>
      <c r="D569" s="355"/>
      <c r="E569" s="367"/>
      <c r="F569" s="357"/>
    </row>
    <row r="570">
      <c r="A570" s="355"/>
      <c r="B570" s="367"/>
      <c r="C570" s="357"/>
      <c r="D570" s="355"/>
      <c r="E570" s="367"/>
      <c r="F570" s="357"/>
    </row>
    <row r="571">
      <c r="A571" s="355"/>
      <c r="B571" s="367"/>
      <c r="C571" s="357"/>
      <c r="D571" s="355"/>
      <c r="E571" s="367"/>
      <c r="F571" s="357"/>
    </row>
    <row r="572">
      <c r="A572" s="355"/>
      <c r="B572" s="367"/>
      <c r="C572" s="357"/>
      <c r="D572" s="355"/>
      <c r="E572" s="367"/>
      <c r="F572" s="357"/>
    </row>
    <row r="573">
      <c r="A573" s="355"/>
      <c r="B573" s="367"/>
      <c r="C573" s="357"/>
      <c r="D573" s="355"/>
      <c r="E573" s="367"/>
      <c r="F573" s="357"/>
    </row>
    <row r="574">
      <c r="A574" s="355"/>
      <c r="B574" s="367"/>
      <c r="C574" s="357"/>
      <c r="D574" s="355"/>
      <c r="E574" s="367"/>
      <c r="F574" s="357"/>
    </row>
    <row r="575">
      <c r="A575" s="355"/>
      <c r="B575" s="367"/>
      <c r="C575" s="357"/>
      <c r="D575" s="355"/>
      <c r="E575" s="367"/>
      <c r="F575" s="357"/>
    </row>
    <row r="576">
      <c r="A576" s="355"/>
      <c r="B576" s="367"/>
      <c r="C576" s="357"/>
      <c r="D576" s="355"/>
      <c r="E576" s="367"/>
      <c r="F576" s="357"/>
    </row>
    <row r="577">
      <c r="A577" s="355"/>
      <c r="B577" s="367"/>
      <c r="C577" s="357"/>
      <c r="D577" s="355"/>
      <c r="E577" s="367"/>
      <c r="F577" s="357"/>
    </row>
    <row r="578">
      <c r="A578" s="355"/>
      <c r="B578" s="367"/>
      <c r="C578" s="357"/>
      <c r="D578" s="355"/>
      <c r="E578" s="367"/>
      <c r="F578" s="357"/>
    </row>
    <row r="579">
      <c r="A579" s="355"/>
      <c r="B579" s="367"/>
      <c r="C579" s="357"/>
      <c r="D579" s="355"/>
      <c r="E579" s="367"/>
      <c r="F579" s="357"/>
    </row>
    <row r="580">
      <c r="A580" s="355"/>
      <c r="B580" s="367"/>
      <c r="C580" s="357"/>
      <c r="D580" s="355"/>
      <c r="E580" s="367"/>
      <c r="F580" s="357"/>
    </row>
    <row r="581">
      <c r="A581" s="355"/>
      <c r="B581" s="367"/>
      <c r="C581" s="357"/>
      <c r="D581" s="355"/>
      <c r="E581" s="367"/>
      <c r="F581" s="357"/>
    </row>
    <row r="582">
      <c r="A582" s="355"/>
      <c r="B582" s="367"/>
      <c r="C582" s="357"/>
      <c r="D582" s="355"/>
      <c r="E582" s="367"/>
      <c r="F582" s="357"/>
    </row>
    <row r="583">
      <c r="A583" s="355"/>
      <c r="B583" s="367"/>
      <c r="C583" s="357"/>
      <c r="D583" s="355"/>
      <c r="E583" s="367"/>
      <c r="F583" s="357"/>
    </row>
    <row r="584">
      <c r="A584" s="355"/>
      <c r="B584" s="367"/>
      <c r="C584" s="357"/>
      <c r="D584" s="355"/>
      <c r="E584" s="367"/>
      <c r="F584" s="357"/>
    </row>
    <row r="585">
      <c r="A585" s="355"/>
      <c r="B585" s="367"/>
      <c r="C585" s="357"/>
      <c r="D585" s="355"/>
      <c r="E585" s="367"/>
      <c r="F585" s="357"/>
    </row>
    <row r="586">
      <c r="A586" s="355"/>
      <c r="B586" s="367"/>
      <c r="C586" s="357"/>
      <c r="D586" s="355"/>
      <c r="E586" s="367"/>
      <c r="F586" s="357"/>
    </row>
    <row r="587">
      <c r="A587" s="355"/>
      <c r="B587" s="367"/>
      <c r="C587" s="357"/>
      <c r="D587" s="355"/>
      <c r="E587" s="367"/>
      <c r="F587" s="357"/>
    </row>
    <row r="588">
      <c r="A588" s="355"/>
      <c r="B588" s="367"/>
      <c r="C588" s="357"/>
      <c r="D588" s="355"/>
      <c r="E588" s="367"/>
      <c r="F588" s="357"/>
    </row>
    <row r="589">
      <c r="A589" s="355"/>
      <c r="B589" s="367"/>
      <c r="C589" s="357"/>
      <c r="D589" s="355"/>
      <c r="E589" s="367"/>
      <c r="F589" s="357"/>
    </row>
    <row r="590">
      <c r="A590" s="355"/>
      <c r="B590" s="367"/>
      <c r="C590" s="357"/>
      <c r="D590" s="355"/>
      <c r="E590" s="367"/>
      <c r="F590" s="357"/>
    </row>
    <row r="591">
      <c r="A591" s="355"/>
      <c r="B591" s="367"/>
      <c r="C591" s="357"/>
      <c r="D591" s="355"/>
      <c r="E591" s="367"/>
      <c r="F591" s="357"/>
    </row>
    <row r="592">
      <c r="A592" s="355"/>
      <c r="B592" s="367"/>
      <c r="C592" s="357"/>
      <c r="D592" s="355"/>
      <c r="E592" s="367"/>
      <c r="F592" s="357"/>
    </row>
    <row r="593">
      <c r="A593" s="355"/>
      <c r="B593" s="367"/>
      <c r="C593" s="357"/>
      <c r="D593" s="355"/>
      <c r="E593" s="367"/>
      <c r="F593" s="357"/>
    </row>
    <row r="594">
      <c r="A594" s="355"/>
      <c r="B594" s="367"/>
      <c r="C594" s="357"/>
      <c r="D594" s="355"/>
      <c r="E594" s="367"/>
      <c r="F594" s="357"/>
    </row>
    <row r="595">
      <c r="A595" s="355"/>
      <c r="B595" s="367"/>
      <c r="C595" s="357"/>
      <c r="D595" s="355"/>
      <c r="E595" s="367"/>
      <c r="F595" s="357"/>
    </row>
    <row r="596">
      <c r="A596" s="355"/>
      <c r="B596" s="367"/>
      <c r="C596" s="357"/>
      <c r="D596" s="355"/>
      <c r="E596" s="367"/>
      <c r="F596" s="357"/>
    </row>
    <row r="597">
      <c r="A597" s="355"/>
      <c r="B597" s="367"/>
      <c r="C597" s="357"/>
      <c r="D597" s="355"/>
      <c r="E597" s="367"/>
      <c r="F597" s="357"/>
    </row>
    <row r="598">
      <c r="A598" s="355"/>
      <c r="B598" s="367"/>
      <c r="C598" s="357"/>
      <c r="D598" s="355"/>
      <c r="E598" s="367"/>
      <c r="F598" s="357"/>
    </row>
    <row r="599">
      <c r="A599" s="355"/>
      <c r="B599" s="367"/>
      <c r="C599" s="357"/>
      <c r="D599" s="355"/>
      <c r="E599" s="367"/>
      <c r="F599" s="357"/>
    </row>
    <row r="600">
      <c r="A600" s="355"/>
      <c r="B600" s="367"/>
      <c r="C600" s="357"/>
      <c r="D600" s="355"/>
      <c r="E600" s="367"/>
      <c r="F600" s="357"/>
    </row>
    <row r="601">
      <c r="A601" s="355"/>
      <c r="B601" s="367"/>
      <c r="C601" s="357"/>
      <c r="D601" s="355"/>
      <c r="E601" s="367"/>
      <c r="F601" s="357"/>
    </row>
    <row r="602">
      <c r="A602" s="355"/>
      <c r="B602" s="367"/>
      <c r="C602" s="357"/>
      <c r="D602" s="355"/>
      <c r="E602" s="367"/>
      <c r="F602" s="357"/>
    </row>
    <row r="603">
      <c r="A603" s="355"/>
      <c r="B603" s="367"/>
      <c r="C603" s="357"/>
      <c r="D603" s="355"/>
      <c r="E603" s="367"/>
      <c r="F603" s="357"/>
    </row>
    <row r="604">
      <c r="A604" s="355"/>
      <c r="B604" s="367"/>
      <c r="C604" s="357"/>
      <c r="D604" s="355"/>
      <c r="E604" s="367"/>
      <c r="F604" s="357"/>
    </row>
    <row r="605">
      <c r="A605" s="355"/>
      <c r="B605" s="367"/>
      <c r="C605" s="357"/>
      <c r="D605" s="355"/>
      <c r="E605" s="367"/>
      <c r="F605" s="357"/>
    </row>
    <row r="606">
      <c r="A606" s="355"/>
      <c r="B606" s="367"/>
      <c r="C606" s="357"/>
      <c r="D606" s="355"/>
      <c r="E606" s="367"/>
      <c r="F606" s="357"/>
    </row>
    <row r="607">
      <c r="A607" s="355"/>
      <c r="B607" s="367"/>
      <c r="C607" s="357"/>
      <c r="D607" s="355"/>
      <c r="E607" s="367"/>
      <c r="F607" s="357"/>
    </row>
    <row r="608">
      <c r="A608" s="355"/>
      <c r="B608" s="367"/>
      <c r="C608" s="357"/>
      <c r="D608" s="355"/>
      <c r="E608" s="367"/>
      <c r="F608" s="357"/>
    </row>
    <row r="609">
      <c r="A609" s="355"/>
      <c r="B609" s="367"/>
      <c r="C609" s="357"/>
      <c r="D609" s="355"/>
      <c r="E609" s="367"/>
      <c r="F609" s="357"/>
    </row>
    <row r="610">
      <c r="A610" s="355"/>
      <c r="B610" s="367"/>
      <c r="C610" s="357"/>
      <c r="D610" s="355"/>
      <c r="E610" s="367"/>
      <c r="F610" s="357"/>
    </row>
    <row r="611">
      <c r="A611" s="355"/>
      <c r="B611" s="367"/>
      <c r="C611" s="357"/>
      <c r="D611" s="355"/>
      <c r="E611" s="367"/>
      <c r="F611" s="357"/>
    </row>
    <row r="612">
      <c r="A612" s="355"/>
      <c r="B612" s="367"/>
      <c r="C612" s="357"/>
      <c r="D612" s="355"/>
      <c r="E612" s="367"/>
      <c r="F612" s="357"/>
    </row>
    <row r="613">
      <c r="A613" s="355"/>
      <c r="B613" s="367"/>
      <c r="C613" s="357"/>
      <c r="D613" s="355"/>
      <c r="E613" s="367"/>
      <c r="F613" s="357"/>
    </row>
    <row r="614">
      <c r="A614" s="355"/>
      <c r="B614" s="367"/>
      <c r="C614" s="357"/>
      <c r="D614" s="355"/>
      <c r="E614" s="367"/>
      <c r="F614" s="357"/>
    </row>
    <row r="615">
      <c r="A615" s="355"/>
      <c r="B615" s="367"/>
      <c r="C615" s="357"/>
      <c r="D615" s="355"/>
      <c r="E615" s="367"/>
      <c r="F615" s="357"/>
    </row>
    <row r="616">
      <c r="A616" s="355"/>
      <c r="B616" s="367"/>
      <c r="C616" s="357"/>
      <c r="D616" s="355"/>
      <c r="E616" s="367"/>
      <c r="F616" s="357"/>
    </row>
    <row r="617">
      <c r="A617" s="355"/>
      <c r="B617" s="367"/>
      <c r="C617" s="357"/>
      <c r="D617" s="355"/>
      <c r="E617" s="367"/>
      <c r="F617" s="357"/>
    </row>
    <row r="618">
      <c r="A618" s="355"/>
      <c r="B618" s="367"/>
      <c r="C618" s="357"/>
      <c r="D618" s="355"/>
      <c r="E618" s="367"/>
      <c r="F618" s="357"/>
    </row>
    <row r="619">
      <c r="A619" s="355"/>
      <c r="B619" s="367"/>
      <c r="C619" s="357"/>
      <c r="D619" s="355"/>
      <c r="E619" s="367"/>
      <c r="F619" s="357"/>
    </row>
    <row r="620">
      <c r="A620" s="355"/>
      <c r="B620" s="367"/>
      <c r="C620" s="357"/>
      <c r="D620" s="355"/>
      <c r="E620" s="367"/>
      <c r="F620" s="357"/>
    </row>
    <row r="621">
      <c r="A621" s="355"/>
      <c r="B621" s="367"/>
      <c r="C621" s="357"/>
      <c r="D621" s="355"/>
      <c r="E621" s="367"/>
      <c r="F621" s="357"/>
    </row>
    <row r="622">
      <c r="A622" s="355"/>
      <c r="B622" s="367"/>
      <c r="C622" s="357"/>
      <c r="D622" s="355"/>
      <c r="E622" s="367"/>
      <c r="F622" s="357"/>
    </row>
    <row r="623">
      <c r="A623" s="355"/>
      <c r="B623" s="367"/>
      <c r="C623" s="357"/>
      <c r="D623" s="355"/>
      <c r="E623" s="367"/>
      <c r="F623" s="357"/>
    </row>
    <row r="624">
      <c r="A624" s="355"/>
      <c r="B624" s="367"/>
      <c r="C624" s="357"/>
      <c r="D624" s="355"/>
      <c r="E624" s="367"/>
      <c r="F624" s="357"/>
    </row>
    <row r="625">
      <c r="A625" s="355"/>
      <c r="B625" s="367"/>
      <c r="C625" s="357"/>
      <c r="D625" s="355"/>
      <c r="E625" s="367"/>
      <c r="F625" s="357"/>
    </row>
    <row r="626">
      <c r="A626" s="355"/>
      <c r="B626" s="367"/>
      <c r="C626" s="357"/>
      <c r="D626" s="355"/>
      <c r="E626" s="367"/>
      <c r="F626" s="357"/>
    </row>
    <row r="627">
      <c r="A627" s="355"/>
      <c r="B627" s="367"/>
      <c r="C627" s="357"/>
      <c r="D627" s="355"/>
      <c r="E627" s="367"/>
      <c r="F627" s="357"/>
    </row>
    <row r="628">
      <c r="A628" s="355"/>
      <c r="B628" s="367"/>
      <c r="C628" s="357"/>
      <c r="D628" s="355"/>
      <c r="E628" s="367"/>
      <c r="F628" s="357"/>
    </row>
    <row r="629">
      <c r="A629" s="355"/>
      <c r="B629" s="367"/>
      <c r="C629" s="357"/>
      <c r="D629" s="355"/>
      <c r="E629" s="367"/>
      <c r="F629" s="357"/>
    </row>
    <row r="630">
      <c r="A630" s="355"/>
      <c r="B630" s="367"/>
      <c r="C630" s="357"/>
      <c r="D630" s="355"/>
      <c r="E630" s="367"/>
      <c r="F630" s="357"/>
    </row>
    <row r="631">
      <c r="A631" s="355"/>
      <c r="B631" s="367"/>
      <c r="C631" s="357"/>
      <c r="D631" s="355"/>
      <c r="E631" s="367"/>
      <c r="F631" s="357"/>
    </row>
    <row r="632">
      <c r="A632" s="355"/>
      <c r="B632" s="367"/>
      <c r="C632" s="357"/>
      <c r="D632" s="355"/>
      <c r="E632" s="367"/>
      <c r="F632" s="357"/>
    </row>
    <row r="633">
      <c r="A633" s="355"/>
      <c r="B633" s="367"/>
      <c r="C633" s="357"/>
      <c r="D633" s="355"/>
      <c r="E633" s="367"/>
      <c r="F633" s="357"/>
    </row>
    <row r="634">
      <c r="A634" s="355"/>
      <c r="B634" s="367"/>
      <c r="C634" s="357"/>
      <c r="D634" s="355"/>
      <c r="E634" s="367"/>
      <c r="F634" s="357"/>
    </row>
    <row r="635">
      <c r="A635" s="355"/>
      <c r="B635" s="367"/>
      <c r="C635" s="357"/>
      <c r="D635" s="355"/>
      <c r="E635" s="367"/>
      <c r="F635" s="357"/>
    </row>
    <row r="636">
      <c r="A636" s="355"/>
      <c r="B636" s="367"/>
      <c r="C636" s="357"/>
      <c r="D636" s="355"/>
      <c r="E636" s="367"/>
      <c r="F636" s="357"/>
    </row>
    <row r="637">
      <c r="A637" s="355"/>
      <c r="B637" s="367"/>
      <c r="C637" s="357"/>
      <c r="D637" s="355"/>
      <c r="E637" s="367"/>
      <c r="F637" s="357"/>
    </row>
    <row r="638">
      <c r="A638" s="355"/>
      <c r="B638" s="367"/>
      <c r="C638" s="357"/>
      <c r="D638" s="355"/>
      <c r="E638" s="367"/>
      <c r="F638" s="357"/>
    </row>
    <row r="639">
      <c r="A639" s="355"/>
      <c r="B639" s="367"/>
      <c r="C639" s="357"/>
      <c r="D639" s="355"/>
      <c r="E639" s="367"/>
      <c r="F639" s="357"/>
    </row>
    <row r="640">
      <c r="A640" s="355"/>
      <c r="B640" s="367"/>
      <c r="C640" s="357"/>
      <c r="D640" s="355"/>
      <c r="E640" s="367"/>
      <c r="F640" s="357"/>
    </row>
    <row r="641">
      <c r="A641" s="355"/>
      <c r="B641" s="367"/>
      <c r="C641" s="357"/>
      <c r="D641" s="355"/>
      <c r="E641" s="367"/>
      <c r="F641" s="357"/>
    </row>
    <row r="642">
      <c r="A642" s="355"/>
      <c r="B642" s="367"/>
      <c r="C642" s="357"/>
      <c r="D642" s="355"/>
      <c r="E642" s="367"/>
      <c r="F642" s="357"/>
    </row>
    <row r="643">
      <c r="A643" s="355"/>
      <c r="B643" s="367"/>
      <c r="C643" s="357"/>
      <c r="D643" s="355"/>
      <c r="E643" s="367"/>
      <c r="F643" s="357"/>
    </row>
    <row r="644">
      <c r="A644" s="355"/>
      <c r="B644" s="367"/>
      <c r="C644" s="357"/>
      <c r="D644" s="355"/>
      <c r="E644" s="367"/>
      <c r="F644" s="357"/>
    </row>
    <row r="645">
      <c r="A645" s="355"/>
      <c r="B645" s="367"/>
      <c r="C645" s="357"/>
      <c r="D645" s="355"/>
      <c r="E645" s="367"/>
      <c r="F645" s="357"/>
    </row>
    <row r="646">
      <c r="A646" s="355"/>
      <c r="B646" s="367"/>
      <c r="C646" s="357"/>
      <c r="D646" s="355"/>
      <c r="E646" s="367"/>
      <c r="F646" s="357"/>
    </row>
    <row r="647">
      <c r="A647" s="355"/>
      <c r="B647" s="367"/>
      <c r="C647" s="357"/>
      <c r="D647" s="355"/>
      <c r="E647" s="367"/>
      <c r="F647" s="357"/>
    </row>
    <row r="648">
      <c r="A648" s="355"/>
      <c r="B648" s="367"/>
      <c r="C648" s="357"/>
      <c r="D648" s="355"/>
      <c r="E648" s="367"/>
      <c r="F648" s="357"/>
    </row>
    <row r="649">
      <c r="A649" s="355"/>
      <c r="B649" s="367"/>
      <c r="C649" s="357"/>
      <c r="D649" s="355"/>
      <c r="E649" s="367"/>
      <c r="F649" s="357"/>
    </row>
    <row r="650">
      <c r="A650" s="355"/>
      <c r="B650" s="367"/>
      <c r="C650" s="357"/>
      <c r="D650" s="355"/>
      <c r="E650" s="367"/>
      <c r="F650" s="357"/>
    </row>
    <row r="651">
      <c r="A651" s="355"/>
      <c r="B651" s="367"/>
      <c r="C651" s="357"/>
      <c r="D651" s="355"/>
      <c r="E651" s="367"/>
      <c r="F651" s="357"/>
    </row>
    <row r="652">
      <c r="A652" s="355"/>
      <c r="B652" s="367"/>
      <c r="C652" s="357"/>
      <c r="D652" s="355"/>
      <c r="E652" s="367"/>
      <c r="F652" s="357"/>
    </row>
    <row r="653">
      <c r="A653" s="355"/>
      <c r="B653" s="367"/>
      <c r="C653" s="357"/>
      <c r="D653" s="355"/>
      <c r="E653" s="367"/>
      <c r="F653" s="357"/>
    </row>
    <row r="654">
      <c r="A654" s="355"/>
      <c r="B654" s="367"/>
      <c r="C654" s="357"/>
      <c r="D654" s="355"/>
      <c r="E654" s="367"/>
      <c r="F654" s="357"/>
    </row>
    <row r="655">
      <c r="A655" s="355"/>
      <c r="B655" s="367"/>
      <c r="C655" s="357"/>
      <c r="D655" s="355"/>
      <c r="E655" s="367"/>
      <c r="F655" s="357"/>
    </row>
    <row r="656">
      <c r="A656" s="355"/>
      <c r="B656" s="367"/>
      <c r="C656" s="357"/>
      <c r="D656" s="355"/>
      <c r="E656" s="367"/>
      <c r="F656" s="357"/>
    </row>
    <row r="657">
      <c r="A657" s="355"/>
      <c r="B657" s="367"/>
      <c r="C657" s="357"/>
      <c r="D657" s="355"/>
      <c r="E657" s="367"/>
      <c r="F657" s="357"/>
    </row>
    <row r="658">
      <c r="A658" s="355"/>
      <c r="B658" s="367"/>
      <c r="C658" s="357"/>
      <c r="D658" s="355"/>
      <c r="E658" s="367"/>
      <c r="F658" s="357"/>
    </row>
    <row r="659">
      <c r="A659" s="355"/>
      <c r="B659" s="367"/>
      <c r="C659" s="357"/>
      <c r="D659" s="355"/>
      <c r="E659" s="367"/>
      <c r="F659" s="357"/>
    </row>
    <row r="660">
      <c r="A660" s="355"/>
      <c r="B660" s="367"/>
      <c r="C660" s="357"/>
      <c r="D660" s="355"/>
      <c r="E660" s="367"/>
      <c r="F660" s="357"/>
    </row>
    <row r="661">
      <c r="A661" s="355"/>
      <c r="B661" s="367"/>
      <c r="C661" s="357"/>
      <c r="D661" s="355"/>
      <c r="E661" s="367"/>
      <c r="F661" s="357"/>
    </row>
    <row r="662">
      <c r="A662" s="355"/>
      <c r="B662" s="367"/>
      <c r="C662" s="357"/>
      <c r="D662" s="355"/>
      <c r="E662" s="367"/>
      <c r="F662" s="357"/>
    </row>
    <row r="663">
      <c r="A663" s="355"/>
      <c r="B663" s="367"/>
      <c r="C663" s="357"/>
      <c r="D663" s="355"/>
      <c r="E663" s="367"/>
      <c r="F663" s="357"/>
    </row>
    <row r="664">
      <c r="A664" s="355"/>
      <c r="B664" s="367"/>
      <c r="C664" s="357"/>
      <c r="D664" s="355"/>
      <c r="E664" s="367"/>
      <c r="F664" s="357"/>
    </row>
    <row r="665">
      <c r="A665" s="355"/>
      <c r="B665" s="367"/>
      <c r="C665" s="357"/>
      <c r="D665" s="355"/>
      <c r="E665" s="367"/>
      <c r="F665" s="357"/>
    </row>
    <row r="666">
      <c r="A666" s="355"/>
      <c r="B666" s="367"/>
      <c r="C666" s="357"/>
      <c r="D666" s="355"/>
      <c r="E666" s="367"/>
      <c r="F666" s="357"/>
    </row>
    <row r="667">
      <c r="A667" s="355"/>
      <c r="B667" s="367"/>
      <c r="C667" s="357"/>
      <c r="D667" s="355"/>
      <c r="E667" s="367"/>
      <c r="F667" s="357"/>
    </row>
    <row r="668">
      <c r="A668" s="355"/>
      <c r="B668" s="367"/>
      <c r="C668" s="357"/>
      <c r="D668" s="355"/>
      <c r="E668" s="367"/>
      <c r="F668" s="357"/>
    </row>
    <row r="669">
      <c r="A669" s="355"/>
      <c r="B669" s="367"/>
      <c r="C669" s="357"/>
      <c r="D669" s="355"/>
      <c r="E669" s="367"/>
      <c r="F669" s="357"/>
    </row>
    <row r="670">
      <c r="A670" s="355"/>
      <c r="B670" s="367"/>
      <c r="C670" s="357"/>
      <c r="D670" s="355"/>
      <c r="E670" s="367"/>
      <c r="F670" s="357"/>
    </row>
    <row r="671">
      <c r="A671" s="355"/>
      <c r="B671" s="367"/>
      <c r="C671" s="357"/>
      <c r="D671" s="355"/>
      <c r="E671" s="367"/>
      <c r="F671" s="357"/>
    </row>
    <row r="672">
      <c r="A672" s="355"/>
      <c r="B672" s="367"/>
      <c r="C672" s="357"/>
      <c r="D672" s="355"/>
      <c r="E672" s="367"/>
      <c r="F672" s="357"/>
    </row>
    <row r="673">
      <c r="A673" s="355"/>
      <c r="B673" s="367"/>
      <c r="C673" s="357"/>
      <c r="D673" s="355"/>
      <c r="E673" s="367"/>
      <c r="F673" s="357"/>
    </row>
    <row r="674">
      <c r="A674" s="355"/>
      <c r="B674" s="367"/>
      <c r="C674" s="357"/>
      <c r="D674" s="355"/>
      <c r="E674" s="367"/>
      <c r="F674" s="357"/>
    </row>
    <row r="675">
      <c r="A675" s="355"/>
      <c r="B675" s="367"/>
      <c r="C675" s="357"/>
      <c r="D675" s="355"/>
      <c r="E675" s="367"/>
      <c r="F675" s="357"/>
    </row>
    <row r="676">
      <c r="A676" s="355"/>
      <c r="B676" s="367"/>
      <c r="C676" s="357"/>
      <c r="D676" s="355"/>
      <c r="E676" s="367"/>
      <c r="F676" s="357"/>
    </row>
    <row r="677">
      <c r="A677" s="355"/>
      <c r="B677" s="367"/>
      <c r="C677" s="357"/>
      <c r="D677" s="355"/>
      <c r="E677" s="367"/>
      <c r="F677" s="357"/>
    </row>
    <row r="678">
      <c r="A678" s="355"/>
      <c r="B678" s="367"/>
      <c r="C678" s="357"/>
      <c r="D678" s="355"/>
      <c r="E678" s="367"/>
      <c r="F678" s="357"/>
    </row>
    <row r="679">
      <c r="A679" s="355"/>
      <c r="B679" s="367"/>
      <c r="C679" s="357"/>
      <c r="D679" s="355"/>
      <c r="E679" s="367"/>
      <c r="F679" s="357"/>
    </row>
    <row r="680">
      <c r="A680" s="355"/>
      <c r="B680" s="367"/>
      <c r="C680" s="357"/>
      <c r="D680" s="355"/>
      <c r="E680" s="367"/>
      <c r="F680" s="357"/>
    </row>
    <row r="681">
      <c r="A681" s="355"/>
      <c r="B681" s="367"/>
      <c r="C681" s="357"/>
      <c r="D681" s="355"/>
      <c r="E681" s="367"/>
      <c r="F681" s="357"/>
    </row>
    <row r="682">
      <c r="A682" s="355"/>
      <c r="B682" s="367"/>
      <c r="C682" s="357"/>
      <c r="D682" s="355"/>
      <c r="E682" s="367"/>
      <c r="F682" s="357"/>
    </row>
    <row r="683">
      <c r="A683" s="355"/>
      <c r="B683" s="367"/>
      <c r="C683" s="357"/>
      <c r="D683" s="355"/>
      <c r="E683" s="367"/>
      <c r="F683" s="357"/>
    </row>
    <row r="684">
      <c r="A684" s="355"/>
      <c r="B684" s="367"/>
      <c r="C684" s="357"/>
      <c r="D684" s="355"/>
      <c r="E684" s="367"/>
      <c r="F684" s="357"/>
    </row>
    <row r="685">
      <c r="A685" s="355"/>
      <c r="B685" s="367"/>
      <c r="C685" s="357"/>
      <c r="D685" s="355"/>
      <c r="E685" s="367"/>
      <c r="F685" s="357"/>
    </row>
    <row r="686">
      <c r="A686" s="355"/>
      <c r="B686" s="367"/>
      <c r="C686" s="357"/>
      <c r="D686" s="355"/>
      <c r="E686" s="367"/>
      <c r="F686" s="357"/>
    </row>
    <row r="687">
      <c r="A687" s="355"/>
      <c r="B687" s="367"/>
      <c r="C687" s="357"/>
      <c r="D687" s="355"/>
      <c r="E687" s="367"/>
      <c r="F687" s="357"/>
    </row>
    <row r="688">
      <c r="A688" s="355"/>
      <c r="B688" s="367"/>
      <c r="C688" s="357"/>
      <c r="D688" s="355"/>
      <c r="E688" s="367"/>
      <c r="F688" s="357"/>
    </row>
    <row r="689">
      <c r="A689" s="355"/>
      <c r="B689" s="367"/>
      <c r="C689" s="357"/>
      <c r="D689" s="355"/>
      <c r="E689" s="367"/>
      <c r="F689" s="357"/>
    </row>
    <row r="690">
      <c r="A690" s="355"/>
      <c r="B690" s="367"/>
      <c r="C690" s="357"/>
      <c r="D690" s="355"/>
      <c r="E690" s="367"/>
      <c r="F690" s="357"/>
    </row>
    <row r="691">
      <c r="A691" s="355"/>
      <c r="B691" s="367"/>
      <c r="C691" s="357"/>
      <c r="D691" s="355"/>
      <c r="E691" s="367"/>
      <c r="F691" s="357"/>
    </row>
    <row r="692">
      <c r="A692" s="355"/>
      <c r="B692" s="367"/>
      <c r="C692" s="357"/>
      <c r="D692" s="355"/>
      <c r="E692" s="367"/>
      <c r="F692" s="357"/>
    </row>
    <row r="693">
      <c r="A693" s="355"/>
      <c r="B693" s="367"/>
      <c r="C693" s="357"/>
      <c r="D693" s="355"/>
      <c r="E693" s="367"/>
      <c r="F693" s="357"/>
    </row>
    <row r="694">
      <c r="A694" s="355"/>
      <c r="B694" s="367"/>
      <c r="C694" s="357"/>
      <c r="D694" s="355"/>
      <c r="E694" s="367"/>
      <c r="F694" s="357"/>
    </row>
    <row r="695">
      <c r="A695" s="355"/>
      <c r="B695" s="367"/>
      <c r="C695" s="357"/>
      <c r="D695" s="355"/>
      <c r="E695" s="367"/>
      <c r="F695" s="357"/>
    </row>
    <row r="696">
      <c r="A696" s="355"/>
      <c r="B696" s="367"/>
      <c r="C696" s="357"/>
      <c r="D696" s="355"/>
      <c r="E696" s="367"/>
      <c r="F696" s="357"/>
    </row>
    <row r="697">
      <c r="A697" s="355"/>
      <c r="B697" s="367"/>
      <c r="C697" s="357"/>
      <c r="D697" s="355"/>
      <c r="E697" s="367"/>
      <c r="F697" s="357"/>
    </row>
    <row r="698">
      <c r="A698" s="355"/>
      <c r="B698" s="367"/>
      <c r="C698" s="357"/>
      <c r="D698" s="355"/>
      <c r="E698" s="367"/>
      <c r="F698" s="357"/>
    </row>
    <row r="699">
      <c r="A699" s="355"/>
      <c r="B699" s="367"/>
      <c r="C699" s="357"/>
      <c r="D699" s="355"/>
      <c r="E699" s="367"/>
      <c r="F699" s="357"/>
    </row>
    <row r="700">
      <c r="A700" s="355"/>
      <c r="B700" s="367"/>
      <c r="C700" s="357"/>
      <c r="D700" s="355"/>
      <c r="E700" s="367"/>
      <c r="F700" s="357"/>
    </row>
    <row r="701">
      <c r="A701" s="355"/>
      <c r="B701" s="367"/>
      <c r="C701" s="357"/>
      <c r="D701" s="355"/>
      <c r="E701" s="367"/>
      <c r="F701" s="357"/>
    </row>
    <row r="702">
      <c r="A702" s="355"/>
      <c r="B702" s="367"/>
      <c r="C702" s="357"/>
      <c r="D702" s="355"/>
      <c r="E702" s="367"/>
      <c r="F702" s="357"/>
    </row>
    <row r="703">
      <c r="A703" s="355"/>
      <c r="B703" s="367"/>
      <c r="C703" s="357"/>
      <c r="D703" s="355"/>
      <c r="E703" s="367"/>
      <c r="F703" s="357"/>
    </row>
    <row r="704">
      <c r="A704" s="355"/>
      <c r="B704" s="367"/>
      <c r="C704" s="357"/>
      <c r="D704" s="355"/>
      <c r="E704" s="367"/>
      <c r="F704" s="357"/>
    </row>
    <row r="705">
      <c r="A705" s="355"/>
      <c r="B705" s="367"/>
      <c r="C705" s="357"/>
      <c r="D705" s="355"/>
      <c r="E705" s="367"/>
      <c r="F705" s="357"/>
    </row>
    <row r="706">
      <c r="A706" s="355"/>
      <c r="B706" s="367"/>
      <c r="C706" s="357"/>
      <c r="D706" s="355"/>
      <c r="E706" s="367"/>
      <c r="F706" s="357"/>
    </row>
    <row r="707">
      <c r="A707" s="355"/>
      <c r="B707" s="367"/>
      <c r="C707" s="357"/>
      <c r="D707" s="355"/>
      <c r="E707" s="367"/>
      <c r="F707" s="357"/>
    </row>
    <row r="708">
      <c r="A708" s="355"/>
      <c r="B708" s="367"/>
      <c r="C708" s="357"/>
      <c r="D708" s="355"/>
      <c r="E708" s="367"/>
      <c r="F708" s="357"/>
    </row>
    <row r="709">
      <c r="A709" s="355"/>
      <c r="B709" s="367"/>
      <c r="C709" s="357"/>
      <c r="D709" s="355"/>
      <c r="E709" s="367"/>
      <c r="F709" s="357"/>
    </row>
    <row r="710">
      <c r="A710" s="355"/>
      <c r="B710" s="367"/>
      <c r="C710" s="357"/>
      <c r="D710" s="355"/>
      <c r="E710" s="367"/>
      <c r="F710" s="357"/>
    </row>
    <row r="711">
      <c r="A711" s="355"/>
      <c r="B711" s="367"/>
      <c r="C711" s="357"/>
      <c r="D711" s="355"/>
      <c r="E711" s="367"/>
      <c r="F711" s="357"/>
    </row>
    <row r="712">
      <c r="A712" s="355"/>
      <c r="B712" s="367"/>
      <c r="C712" s="357"/>
      <c r="D712" s="355"/>
      <c r="E712" s="367"/>
      <c r="F712" s="357"/>
    </row>
    <row r="713">
      <c r="A713" s="355"/>
      <c r="B713" s="367"/>
      <c r="C713" s="357"/>
      <c r="D713" s="355"/>
      <c r="E713" s="367"/>
      <c r="F713" s="357"/>
    </row>
    <row r="714">
      <c r="A714" s="355"/>
      <c r="B714" s="367"/>
      <c r="C714" s="357"/>
      <c r="D714" s="355"/>
      <c r="E714" s="367"/>
      <c r="F714" s="357"/>
    </row>
    <row r="715">
      <c r="A715" s="355"/>
      <c r="B715" s="367"/>
      <c r="C715" s="357"/>
      <c r="D715" s="355"/>
      <c r="E715" s="367"/>
      <c r="F715" s="357"/>
    </row>
    <row r="716">
      <c r="A716" s="355"/>
      <c r="B716" s="367"/>
      <c r="C716" s="357"/>
      <c r="D716" s="355"/>
      <c r="E716" s="367"/>
      <c r="F716" s="357"/>
    </row>
    <row r="717">
      <c r="A717" s="355"/>
      <c r="B717" s="367"/>
      <c r="C717" s="357"/>
      <c r="D717" s="355"/>
      <c r="E717" s="367"/>
      <c r="F717" s="357"/>
    </row>
    <row r="718">
      <c r="A718" s="355"/>
      <c r="B718" s="367"/>
      <c r="C718" s="357"/>
      <c r="D718" s="355"/>
      <c r="E718" s="367"/>
      <c r="F718" s="357"/>
    </row>
    <row r="719">
      <c r="A719" s="355"/>
      <c r="B719" s="367"/>
      <c r="C719" s="357"/>
      <c r="D719" s="355"/>
      <c r="E719" s="367"/>
      <c r="F719" s="357"/>
    </row>
    <row r="720">
      <c r="A720" s="355"/>
      <c r="B720" s="367"/>
      <c r="C720" s="357"/>
      <c r="D720" s="355"/>
      <c r="E720" s="367"/>
      <c r="F720" s="357"/>
    </row>
    <row r="721">
      <c r="A721" s="355"/>
      <c r="B721" s="367"/>
      <c r="C721" s="357"/>
      <c r="D721" s="355"/>
      <c r="E721" s="367"/>
      <c r="F721" s="357"/>
    </row>
    <row r="722">
      <c r="A722" s="355"/>
      <c r="B722" s="367"/>
      <c r="C722" s="357"/>
      <c r="D722" s="355"/>
      <c r="E722" s="367"/>
      <c r="F722" s="357"/>
    </row>
    <row r="723">
      <c r="A723" s="355"/>
      <c r="B723" s="367"/>
      <c r="C723" s="357"/>
      <c r="D723" s="355"/>
      <c r="E723" s="367"/>
      <c r="F723" s="357"/>
    </row>
    <row r="724">
      <c r="A724" s="355"/>
      <c r="B724" s="367"/>
      <c r="C724" s="357"/>
      <c r="D724" s="355"/>
      <c r="E724" s="367"/>
      <c r="F724" s="357"/>
    </row>
    <row r="725">
      <c r="A725" s="355"/>
      <c r="B725" s="367"/>
      <c r="C725" s="357"/>
      <c r="D725" s="355"/>
      <c r="E725" s="367"/>
      <c r="F725" s="357"/>
    </row>
    <row r="726">
      <c r="A726" s="355"/>
      <c r="B726" s="367"/>
      <c r="C726" s="357"/>
      <c r="D726" s="355"/>
      <c r="E726" s="367"/>
      <c r="F726" s="357"/>
    </row>
    <row r="727">
      <c r="A727" s="355"/>
      <c r="B727" s="367"/>
      <c r="C727" s="357"/>
      <c r="D727" s="355"/>
      <c r="E727" s="367"/>
      <c r="F727" s="357"/>
    </row>
    <row r="728">
      <c r="A728" s="355"/>
      <c r="B728" s="367"/>
      <c r="C728" s="357"/>
      <c r="D728" s="355"/>
      <c r="E728" s="367"/>
      <c r="F728" s="357"/>
    </row>
    <row r="729">
      <c r="A729" s="355"/>
      <c r="B729" s="367"/>
      <c r="C729" s="357"/>
      <c r="D729" s="355"/>
      <c r="E729" s="367"/>
      <c r="F729" s="357"/>
    </row>
    <row r="730">
      <c r="A730" s="355"/>
      <c r="B730" s="367"/>
      <c r="C730" s="357"/>
      <c r="D730" s="355"/>
      <c r="E730" s="367"/>
      <c r="F730" s="357"/>
    </row>
    <row r="731">
      <c r="A731" s="355"/>
      <c r="B731" s="367"/>
      <c r="C731" s="357"/>
      <c r="D731" s="355"/>
      <c r="E731" s="367"/>
      <c r="F731" s="357"/>
    </row>
    <row r="732">
      <c r="A732" s="355"/>
      <c r="B732" s="367"/>
      <c r="C732" s="357"/>
      <c r="D732" s="355"/>
      <c r="E732" s="367"/>
      <c r="F732" s="357"/>
    </row>
    <row r="733">
      <c r="A733" s="355"/>
      <c r="B733" s="367"/>
      <c r="C733" s="357"/>
      <c r="D733" s="355"/>
      <c r="E733" s="367"/>
      <c r="F733" s="357"/>
    </row>
    <row r="734">
      <c r="A734" s="355"/>
      <c r="B734" s="367"/>
      <c r="C734" s="357"/>
      <c r="D734" s="355"/>
      <c r="E734" s="367"/>
      <c r="F734" s="357"/>
    </row>
    <row r="735">
      <c r="A735" s="355"/>
      <c r="B735" s="367"/>
      <c r="C735" s="357"/>
      <c r="D735" s="355"/>
      <c r="E735" s="367"/>
      <c r="F735" s="357"/>
    </row>
    <row r="736">
      <c r="A736" s="355"/>
      <c r="B736" s="367"/>
      <c r="C736" s="357"/>
      <c r="D736" s="355"/>
      <c r="E736" s="367"/>
      <c r="F736" s="357"/>
    </row>
    <row r="737">
      <c r="A737" s="355"/>
      <c r="B737" s="367"/>
      <c r="C737" s="357"/>
      <c r="D737" s="355"/>
      <c r="E737" s="367"/>
      <c r="F737" s="357"/>
    </row>
    <row r="738">
      <c r="A738" s="355"/>
      <c r="B738" s="367"/>
      <c r="C738" s="357"/>
      <c r="D738" s="355"/>
      <c r="E738" s="367"/>
      <c r="F738" s="357"/>
    </row>
    <row r="739">
      <c r="A739" s="355"/>
      <c r="B739" s="367"/>
      <c r="C739" s="357"/>
      <c r="D739" s="355"/>
      <c r="E739" s="367"/>
      <c r="F739" s="357"/>
    </row>
    <row r="740">
      <c r="A740" s="355"/>
      <c r="B740" s="367"/>
      <c r="C740" s="357"/>
      <c r="D740" s="355"/>
      <c r="E740" s="367"/>
      <c r="F740" s="357"/>
    </row>
    <row r="741">
      <c r="A741" s="355"/>
      <c r="B741" s="367"/>
      <c r="C741" s="357"/>
      <c r="D741" s="355"/>
      <c r="E741" s="367"/>
      <c r="F741" s="357"/>
    </row>
    <row r="742">
      <c r="A742" s="355"/>
      <c r="B742" s="367"/>
      <c r="C742" s="357"/>
      <c r="D742" s="355"/>
      <c r="E742" s="367"/>
      <c r="F742" s="357"/>
    </row>
    <row r="743">
      <c r="A743" s="355"/>
      <c r="B743" s="367"/>
      <c r="C743" s="357"/>
      <c r="D743" s="355"/>
      <c r="E743" s="367"/>
      <c r="F743" s="357"/>
    </row>
    <row r="744">
      <c r="A744" s="355"/>
      <c r="B744" s="367"/>
      <c r="C744" s="357"/>
      <c r="D744" s="355"/>
      <c r="E744" s="367"/>
      <c r="F744" s="357"/>
    </row>
    <row r="745">
      <c r="A745" s="355"/>
      <c r="B745" s="367"/>
      <c r="C745" s="357"/>
      <c r="D745" s="355"/>
      <c r="E745" s="367"/>
      <c r="F745" s="357"/>
    </row>
    <row r="746">
      <c r="A746" s="355"/>
      <c r="B746" s="367"/>
      <c r="C746" s="357"/>
      <c r="D746" s="355"/>
      <c r="E746" s="367"/>
      <c r="F746" s="357"/>
    </row>
    <row r="747">
      <c r="A747" s="355"/>
      <c r="B747" s="367"/>
      <c r="C747" s="357"/>
      <c r="D747" s="355"/>
      <c r="E747" s="367"/>
      <c r="F747" s="357"/>
    </row>
    <row r="748">
      <c r="A748" s="355"/>
      <c r="B748" s="367"/>
      <c r="C748" s="357"/>
      <c r="D748" s="355"/>
      <c r="E748" s="367"/>
      <c r="F748" s="357"/>
    </row>
    <row r="749">
      <c r="A749" s="355"/>
      <c r="B749" s="367"/>
      <c r="C749" s="357"/>
      <c r="D749" s="355"/>
      <c r="E749" s="367"/>
      <c r="F749" s="357"/>
    </row>
    <row r="750">
      <c r="A750" s="355"/>
      <c r="B750" s="367"/>
      <c r="C750" s="357"/>
      <c r="D750" s="355"/>
      <c r="E750" s="367"/>
      <c r="F750" s="357"/>
    </row>
    <row r="751">
      <c r="A751" s="355"/>
      <c r="B751" s="367"/>
      <c r="C751" s="357"/>
      <c r="D751" s="355"/>
      <c r="E751" s="367"/>
      <c r="F751" s="357"/>
    </row>
    <row r="752">
      <c r="A752" s="355"/>
      <c r="B752" s="367"/>
      <c r="C752" s="357"/>
      <c r="D752" s="355"/>
      <c r="E752" s="367"/>
      <c r="F752" s="357"/>
    </row>
    <row r="753">
      <c r="A753" s="355"/>
      <c r="B753" s="367"/>
      <c r="C753" s="357"/>
      <c r="D753" s="355"/>
      <c r="E753" s="367"/>
      <c r="F753" s="357"/>
    </row>
    <row r="754">
      <c r="A754" s="355"/>
      <c r="B754" s="367"/>
      <c r="C754" s="357"/>
      <c r="D754" s="355"/>
      <c r="E754" s="367"/>
      <c r="F754" s="357"/>
    </row>
    <row r="755">
      <c r="A755" s="355"/>
      <c r="B755" s="367"/>
      <c r="C755" s="357"/>
      <c r="D755" s="355"/>
      <c r="E755" s="367"/>
      <c r="F755" s="357"/>
    </row>
    <row r="756">
      <c r="A756" s="355"/>
      <c r="B756" s="367"/>
      <c r="C756" s="357"/>
      <c r="D756" s="355"/>
      <c r="E756" s="367"/>
      <c r="F756" s="357"/>
    </row>
    <row r="757">
      <c r="A757" s="355"/>
      <c r="B757" s="367"/>
      <c r="C757" s="357"/>
      <c r="D757" s="355"/>
      <c r="E757" s="367"/>
      <c r="F757" s="357"/>
    </row>
    <row r="758">
      <c r="A758" s="355"/>
      <c r="B758" s="367"/>
      <c r="C758" s="357"/>
      <c r="D758" s="355"/>
      <c r="E758" s="367"/>
      <c r="F758" s="357"/>
    </row>
    <row r="759">
      <c r="A759" s="355"/>
      <c r="B759" s="367"/>
      <c r="C759" s="357"/>
      <c r="D759" s="355"/>
      <c r="E759" s="367"/>
      <c r="F759" s="357"/>
    </row>
    <row r="760">
      <c r="A760" s="355"/>
      <c r="B760" s="367"/>
      <c r="C760" s="357"/>
      <c r="D760" s="355"/>
      <c r="E760" s="367"/>
      <c r="F760" s="357"/>
    </row>
    <row r="761">
      <c r="A761" s="355"/>
      <c r="B761" s="367"/>
      <c r="C761" s="357"/>
      <c r="D761" s="355"/>
      <c r="E761" s="367"/>
      <c r="F761" s="357"/>
    </row>
    <row r="762">
      <c r="A762" s="355"/>
      <c r="B762" s="367"/>
      <c r="C762" s="357"/>
      <c r="D762" s="355"/>
      <c r="E762" s="367"/>
      <c r="F762" s="357"/>
    </row>
    <row r="763">
      <c r="A763" s="355"/>
      <c r="B763" s="367"/>
      <c r="C763" s="357"/>
      <c r="D763" s="355"/>
      <c r="E763" s="367"/>
      <c r="F763" s="357"/>
    </row>
    <row r="764">
      <c r="A764" s="355"/>
      <c r="B764" s="367"/>
      <c r="C764" s="357"/>
      <c r="D764" s="355"/>
      <c r="E764" s="367"/>
      <c r="F764" s="357"/>
    </row>
    <row r="765">
      <c r="A765" s="355"/>
      <c r="B765" s="367"/>
      <c r="C765" s="357"/>
      <c r="D765" s="355"/>
      <c r="E765" s="367"/>
      <c r="F765" s="357"/>
    </row>
    <row r="766">
      <c r="A766" s="355"/>
      <c r="B766" s="367"/>
      <c r="C766" s="357"/>
      <c r="D766" s="355"/>
      <c r="E766" s="367"/>
      <c r="F766" s="357"/>
    </row>
    <row r="767">
      <c r="A767" s="355"/>
      <c r="B767" s="367"/>
      <c r="C767" s="357"/>
      <c r="D767" s="355"/>
      <c r="E767" s="367"/>
      <c r="F767" s="357"/>
    </row>
    <row r="768">
      <c r="A768" s="355"/>
      <c r="B768" s="367"/>
      <c r="C768" s="357"/>
      <c r="D768" s="355"/>
      <c r="E768" s="367"/>
      <c r="F768" s="357"/>
    </row>
    <row r="769">
      <c r="A769" s="355"/>
      <c r="B769" s="367"/>
      <c r="C769" s="357"/>
      <c r="D769" s="355"/>
      <c r="E769" s="367"/>
      <c r="F769" s="357"/>
    </row>
    <row r="770">
      <c r="A770" s="355"/>
      <c r="B770" s="367"/>
      <c r="C770" s="357"/>
      <c r="D770" s="355"/>
      <c r="E770" s="367"/>
      <c r="F770" s="357"/>
    </row>
    <row r="771">
      <c r="A771" s="355"/>
      <c r="B771" s="367"/>
      <c r="C771" s="357"/>
      <c r="D771" s="355"/>
      <c r="E771" s="367"/>
      <c r="F771" s="357"/>
    </row>
    <row r="772">
      <c r="A772" s="355"/>
      <c r="B772" s="367"/>
      <c r="C772" s="357"/>
      <c r="D772" s="355"/>
      <c r="E772" s="367"/>
      <c r="F772" s="357"/>
    </row>
    <row r="773">
      <c r="A773" s="355"/>
      <c r="B773" s="367"/>
      <c r="C773" s="357"/>
      <c r="D773" s="355"/>
      <c r="E773" s="367"/>
      <c r="F773" s="357"/>
    </row>
    <row r="774">
      <c r="A774" s="355"/>
      <c r="B774" s="367"/>
      <c r="C774" s="357"/>
      <c r="D774" s="355"/>
      <c r="E774" s="367"/>
      <c r="F774" s="357"/>
    </row>
    <row r="775">
      <c r="A775" s="355"/>
      <c r="B775" s="367"/>
      <c r="C775" s="357"/>
      <c r="D775" s="355"/>
      <c r="E775" s="367"/>
      <c r="F775" s="357"/>
    </row>
    <row r="776">
      <c r="A776" s="355"/>
      <c r="B776" s="367"/>
      <c r="C776" s="357"/>
      <c r="D776" s="355"/>
      <c r="E776" s="367"/>
      <c r="F776" s="357"/>
    </row>
    <row r="777">
      <c r="A777" s="355"/>
      <c r="B777" s="367"/>
      <c r="C777" s="357"/>
      <c r="D777" s="355"/>
      <c r="E777" s="367"/>
      <c r="F777" s="357"/>
    </row>
    <row r="778">
      <c r="A778" s="355"/>
      <c r="B778" s="367"/>
      <c r="C778" s="357"/>
      <c r="D778" s="355"/>
      <c r="E778" s="367"/>
      <c r="F778" s="357"/>
    </row>
    <row r="779">
      <c r="A779" s="355"/>
      <c r="B779" s="367"/>
      <c r="C779" s="357"/>
      <c r="D779" s="355"/>
      <c r="E779" s="367"/>
      <c r="F779" s="357"/>
    </row>
    <row r="780">
      <c r="A780" s="355"/>
      <c r="B780" s="367"/>
      <c r="C780" s="357"/>
      <c r="D780" s="355"/>
      <c r="E780" s="367"/>
      <c r="F780" s="357"/>
    </row>
    <row r="781">
      <c r="A781" s="355"/>
      <c r="B781" s="367"/>
      <c r="C781" s="357"/>
      <c r="D781" s="355"/>
      <c r="E781" s="367"/>
      <c r="F781" s="357"/>
    </row>
    <row r="782">
      <c r="A782" s="355"/>
      <c r="B782" s="367"/>
      <c r="C782" s="357"/>
      <c r="D782" s="355"/>
      <c r="E782" s="367"/>
      <c r="F782" s="357"/>
    </row>
    <row r="783">
      <c r="A783" s="355"/>
      <c r="B783" s="367"/>
      <c r="C783" s="357"/>
      <c r="D783" s="355"/>
      <c r="E783" s="367"/>
      <c r="F783" s="357"/>
    </row>
    <row r="784">
      <c r="A784" s="355"/>
      <c r="B784" s="367"/>
      <c r="C784" s="357"/>
      <c r="D784" s="355"/>
      <c r="E784" s="367"/>
      <c r="F784" s="357"/>
    </row>
    <row r="785">
      <c r="A785" s="355"/>
      <c r="B785" s="367"/>
      <c r="C785" s="357"/>
      <c r="D785" s="355"/>
      <c r="E785" s="367"/>
      <c r="F785" s="357"/>
    </row>
    <row r="786">
      <c r="A786" s="355"/>
      <c r="B786" s="367"/>
      <c r="C786" s="357"/>
      <c r="D786" s="355"/>
      <c r="E786" s="367"/>
      <c r="F786" s="357"/>
    </row>
    <row r="787">
      <c r="A787" s="355"/>
      <c r="B787" s="367"/>
      <c r="C787" s="357"/>
      <c r="D787" s="355"/>
      <c r="E787" s="367"/>
      <c r="F787" s="357"/>
    </row>
    <row r="788">
      <c r="A788" s="355"/>
      <c r="B788" s="367"/>
      <c r="C788" s="357"/>
      <c r="D788" s="355"/>
      <c r="E788" s="367"/>
      <c r="F788" s="357"/>
    </row>
    <row r="789">
      <c r="A789" s="355"/>
      <c r="B789" s="367"/>
      <c r="C789" s="357"/>
      <c r="D789" s="355"/>
      <c r="E789" s="367"/>
      <c r="F789" s="357"/>
    </row>
    <row r="790">
      <c r="A790" s="355"/>
      <c r="B790" s="367"/>
      <c r="C790" s="357"/>
      <c r="D790" s="355"/>
      <c r="E790" s="367"/>
      <c r="F790" s="357"/>
    </row>
    <row r="791">
      <c r="A791" s="355"/>
      <c r="B791" s="367"/>
      <c r="C791" s="357"/>
      <c r="D791" s="355"/>
      <c r="E791" s="367"/>
      <c r="F791" s="357"/>
    </row>
    <row r="792">
      <c r="A792" s="355"/>
      <c r="B792" s="367"/>
      <c r="C792" s="357"/>
      <c r="D792" s="355"/>
      <c r="E792" s="367"/>
      <c r="F792" s="357"/>
    </row>
    <row r="793">
      <c r="A793" s="355"/>
      <c r="B793" s="367"/>
      <c r="C793" s="357"/>
      <c r="D793" s="355"/>
      <c r="E793" s="367"/>
      <c r="F793" s="357"/>
    </row>
    <row r="794">
      <c r="A794" s="355"/>
      <c r="B794" s="367"/>
      <c r="C794" s="357"/>
      <c r="D794" s="355"/>
      <c r="E794" s="367"/>
      <c r="F794" s="357"/>
    </row>
    <row r="795">
      <c r="A795" s="355"/>
      <c r="B795" s="367"/>
      <c r="C795" s="357"/>
      <c r="D795" s="355"/>
      <c r="E795" s="367"/>
      <c r="F795" s="357"/>
    </row>
    <row r="796">
      <c r="A796" s="355"/>
      <c r="B796" s="367"/>
      <c r="C796" s="357"/>
      <c r="D796" s="355"/>
      <c r="E796" s="367"/>
      <c r="F796" s="357"/>
    </row>
    <row r="797">
      <c r="A797" s="355"/>
      <c r="B797" s="367"/>
      <c r="C797" s="357"/>
      <c r="D797" s="355"/>
      <c r="E797" s="367"/>
      <c r="F797" s="357"/>
    </row>
    <row r="798">
      <c r="A798" s="355"/>
      <c r="B798" s="367"/>
      <c r="C798" s="357"/>
      <c r="D798" s="355"/>
      <c r="E798" s="367"/>
      <c r="F798" s="357"/>
    </row>
    <row r="799">
      <c r="A799" s="355"/>
      <c r="B799" s="367"/>
      <c r="C799" s="357"/>
      <c r="D799" s="355"/>
      <c r="E799" s="367"/>
      <c r="F799" s="357"/>
    </row>
    <row r="800">
      <c r="A800" s="355"/>
      <c r="B800" s="367"/>
      <c r="C800" s="357"/>
      <c r="D800" s="355"/>
      <c r="E800" s="367"/>
      <c r="F800" s="357"/>
    </row>
    <row r="801">
      <c r="A801" s="355"/>
      <c r="B801" s="367"/>
      <c r="C801" s="357"/>
      <c r="D801" s="355"/>
      <c r="E801" s="367"/>
      <c r="F801" s="357"/>
    </row>
    <row r="802">
      <c r="A802" s="355"/>
      <c r="B802" s="367"/>
      <c r="C802" s="357"/>
      <c r="D802" s="355"/>
      <c r="E802" s="367"/>
      <c r="F802" s="357"/>
    </row>
    <row r="803">
      <c r="A803" s="355"/>
      <c r="B803" s="367"/>
      <c r="C803" s="357"/>
      <c r="D803" s="355"/>
      <c r="E803" s="367"/>
      <c r="F803" s="357"/>
    </row>
    <row r="804">
      <c r="A804" s="355"/>
      <c r="B804" s="367"/>
      <c r="C804" s="357"/>
      <c r="D804" s="355"/>
      <c r="E804" s="367"/>
      <c r="F804" s="357"/>
    </row>
    <row r="805">
      <c r="A805" s="355"/>
      <c r="B805" s="367"/>
      <c r="C805" s="357"/>
      <c r="D805" s="355"/>
      <c r="E805" s="367"/>
      <c r="F805" s="357"/>
    </row>
    <row r="806">
      <c r="A806" s="355"/>
      <c r="B806" s="367"/>
      <c r="C806" s="357"/>
      <c r="D806" s="355"/>
      <c r="E806" s="367"/>
      <c r="F806" s="357"/>
    </row>
    <row r="807">
      <c r="A807" s="355"/>
      <c r="B807" s="367"/>
      <c r="C807" s="357"/>
      <c r="D807" s="355"/>
      <c r="E807" s="367"/>
      <c r="F807" s="357"/>
    </row>
    <row r="808">
      <c r="A808" s="355"/>
      <c r="B808" s="367"/>
      <c r="C808" s="357"/>
      <c r="D808" s="355"/>
      <c r="E808" s="367"/>
      <c r="F808" s="357"/>
    </row>
    <row r="809">
      <c r="A809" s="355"/>
      <c r="B809" s="367"/>
      <c r="C809" s="357"/>
      <c r="D809" s="355"/>
      <c r="E809" s="367"/>
      <c r="F809" s="357"/>
    </row>
    <row r="810">
      <c r="A810" s="355"/>
      <c r="B810" s="367"/>
      <c r="C810" s="357"/>
      <c r="D810" s="355"/>
      <c r="E810" s="367"/>
      <c r="F810" s="357"/>
    </row>
    <row r="811">
      <c r="A811" s="355"/>
      <c r="B811" s="367"/>
      <c r="C811" s="357"/>
      <c r="D811" s="355"/>
      <c r="E811" s="367"/>
      <c r="F811" s="357"/>
    </row>
    <row r="812">
      <c r="A812" s="355"/>
      <c r="B812" s="367"/>
      <c r="C812" s="357"/>
      <c r="D812" s="355"/>
      <c r="E812" s="367"/>
      <c r="F812" s="357"/>
    </row>
    <row r="813">
      <c r="A813" s="355"/>
      <c r="B813" s="367"/>
      <c r="C813" s="357"/>
      <c r="D813" s="355"/>
      <c r="E813" s="367"/>
      <c r="F813" s="357"/>
    </row>
    <row r="814">
      <c r="A814" s="355"/>
      <c r="B814" s="367"/>
      <c r="C814" s="357"/>
      <c r="D814" s="355"/>
      <c r="E814" s="367"/>
      <c r="F814" s="357"/>
    </row>
    <row r="815">
      <c r="A815" s="355"/>
      <c r="B815" s="367"/>
      <c r="C815" s="357"/>
      <c r="D815" s="355"/>
      <c r="E815" s="367"/>
      <c r="F815" s="357"/>
    </row>
    <row r="816">
      <c r="A816" s="355"/>
      <c r="B816" s="367"/>
      <c r="C816" s="357"/>
      <c r="D816" s="355"/>
      <c r="E816" s="367"/>
      <c r="F816" s="357"/>
    </row>
    <row r="817">
      <c r="A817" s="355"/>
      <c r="B817" s="367"/>
      <c r="C817" s="357"/>
      <c r="D817" s="355"/>
      <c r="E817" s="367"/>
      <c r="F817" s="357"/>
    </row>
    <row r="818">
      <c r="A818" s="355"/>
      <c r="B818" s="367"/>
      <c r="C818" s="357"/>
      <c r="D818" s="355"/>
      <c r="E818" s="367"/>
      <c r="F818" s="357"/>
    </row>
    <row r="819">
      <c r="A819" s="355"/>
      <c r="B819" s="367"/>
      <c r="C819" s="357"/>
      <c r="D819" s="355"/>
      <c r="E819" s="367"/>
      <c r="F819" s="357"/>
    </row>
    <row r="820">
      <c r="A820" s="355"/>
      <c r="B820" s="367"/>
      <c r="C820" s="357"/>
      <c r="D820" s="355"/>
      <c r="E820" s="367"/>
      <c r="F820" s="357"/>
    </row>
    <row r="821">
      <c r="A821" s="355"/>
      <c r="B821" s="367"/>
      <c r="C821" s="357"/>
      <c r="D821" s="355"/>
      <c r="E821" s="367"/>
      <c r="F821" s="357"/>
    </row>
    <row r="822">
      <c r="A822" s="355"/>
      <c r="B822" s="367"/>
      <c r="C822" s="357"/>
      <c r="D822" s="355"/>
      <c r="E822" s="367"/>
      <c r="F822" s="357"/>
    </row>
    <row r="823">
      <c r="A823" s="355"/>
      <c r="B823" s="367"/>
      <c r="C823" s="357"/>
      <c r="D823" s="355"/>
      <c r="E823" s="367"/>
      <c r="F823" s="357"/>
    </row>
    <row r="824">
      <c r="A824" s="355"/>
      <c r="B824" s="367"/>
      <c r="C824" s="357"/>
      <c r="D824" s="355"/>
      <c r="E824" s="367"/>
      <c r="F824" s="357"/>
    </row>
    <row r="825">
      <c r="A825" s="355"/>
      <c r="B825" s="367"/>
      <c r="C825" s="357"/>
      <c r="D825" s="355"/>
      <c r="E825" s="367"/>
      <c r="F825" s="357"/>
    </row>
    <row r="826">
      <c r="A826" s="355"/>
      <c r="B826" s="367"/>
      <c r="C826" s="357"/>
      <c r="D826" s="355"/>
      <c r="E826" s="367"/>
      <c r="F826" s="357"/>
    </row>
    <row r="827">
      <c r="A827" s="355"/>
      <c r="B827" s="367"/>
      <c r="C827" s="357"/>
      <c r="D827" s="355"/>
      <c r="E827" s="367"/>
      <c r="F827" s="357"/>
    </row>
    <row r="828">
      <c r="A828" s="355"/>
      <c r="B828" s="367"/>
      <c r="C828" s="357"/>
      <c r="D828" s="355"/>
      <c r="E828" s="367"/>
      <c r="F828" s="357"/>
    </row>
    <row r="829">
      <c r="A829" s="355"/>
      <c r="B829" s="367"/>
      <c r="C829" s="357"/>
      <c r="D829" s="355"/>
      <c r="E829" s="367"/>
      <c r="F829" s="357"/>
    </row>
    <row r="830">
      <c r="A830" s="355"/>
      <c r="B830" s="367"/>
      <c r="C830" s="357"/>
      <c r="D830" s="355"/>
      <c r="E830" s="367"/>
      <c r="F830" s="357"/>
    </row>
    <row r="831">
      <c r="A831" s="355"/>
      <c r="B831" s="367"/>
      <c r="C831" s="357"/>
      <c r="D831" s="355"/>
      <c r="E831" s="367"/>
      <c r="F831" s="357"/>
    </row>
    <row r="832">
      <c r="A832" s="355"/>
      <c r="B832" s="367"/>
      <c r="C832" s="357"/>
      <c r="D832" s="355"/>
      <c r="E832" s="367"/>
      <c r="F832" s="357"/>
    </row>
    <row r="833">
      <c r="A833" s="355"/>
      <c r="B833" s="367"/>
      <c r="C833" s="357"/>
      <c r="D833" s="355"/>
      <c r="E833" s="367"/>
      <c r="F833" s="357"/>
    </row>
    <row r="834">
      <c r="A834" s="355"/>
      <c r="B834" s="367"/>
      <c r="C834" s="357"/>
      <c r="D834" s="355"/>
      <c r="E834" s="367"/>
      <c r="F834" s="357"/>
    </row>
    <row r="835">
      <c r="A835" s="355"/>
      <c r="B835" s="367"/>
      <c r="C835" s="357"/>
      <c r="D835" s="355"/>
      <c r="E835" s="367"/>
      <c r="F835" s="357"/>
    </row>
    <row r="836">
      <c r="A836" s="355"/>
      <c r="B836" s="367"/>
      <c r="C836" s="357"/>
      <c r="D836" s="355"/>
      <c r="E836" s="367"/>
      <c r="F836" s="357"/>
    </row>
    <row r="837">
      <c r="A837" s="355"/>
      <c r="B837" s="367"/>
      <c r="C837" s="357"/>
      <c r="D837" s="355"/>
      <c r="E837" s="367"/>
      <c r="F837" s="357"/>
    </row>
    <row r="838">
      <c r="A838" s="355"/>
      <c r="B838" s="367"/>
      <c r="C838" s="357"/>
      <c r="D838" s="355"/>
      <c r="E838" s="367"/>
      <c r="F838" s="357"/>
    </row>
    <row r="839">
      <c r="A839" s="355"/>
      <c r="B839" s="367"/>
      <c r="C839" s="357"/>
      <c r="D839" s="355"/>
      <c r="E839" s="367"/>
      <c r="F839" s="357"/>
    </row>
    <row r="840">
      <c r="A840" s="355"/>
      <c r="B840" s="367"/>
      <c r="C840" s="357"/>
      <c r="D840" s="355"/>
      <c r="E840" s="367"/>
      <c r="F840" s="357"/>
    </row>
    <row r="841">
      <c r="A841" s="355"/>
      <c r="B841" s="367"/>
      <c r="C841" s="357"/>
      <c r="D841" s="355"/>
      <c r="E841" s="367"/>
      <c r="F841" s="357"/>
    </row>
    <row r="842">
      <c r="A842" s="355"/>
      <c r="B842" s="367"/>
      <c r="C842" s="357"/>
      <c r="D842" s="355"/>
      <c r="E842" s="367"/>
      <c r="F842" s="357"/>
    </row>
    <row r="843">
      <c r="A843" s="355"/>
      <c r="B843" s="367"/>
      <c r="C843" s="357"/>
      <c r="D843" s="355"/>
      <c r="E843" s="367"/>
      <c r="F843" s="357"/>
    </row>
    <row r="844">
      <c r="A844" s="355"/>
      <c r="B844" s="367"/>
      <c r="C844" s="357"/>
      <c r="D844" s="355"/>
      <c r="E844" s="367"/>
      <c r="F844" s="357"/>
    </row>
    <row r="845">
      <c r="A845" s="355"/>
      <c r="B845" s="367"/>
      <c r="C845" s="357"/>
      <c r="D845" s="355"/>
      <c r="E845" s="367"/>
      <c r="F845" s="357"/>
    </row>
    <row r="846">
      <c r="A846" s="355"/>
      <c r="B846" s="367"/>
      <c r="C846" s="357"/>
      <c r="D846" s="355"/>
      <c r="E846" s="367"/>
      <c r="F846" s="357"/>
    </row>
    <row r="847">
      <c r="A847" s="355"/>
      <c r="B847" s="367"/>
      <c r="C847" s="357"/>
      <c r="D847" s="355"/>
      <c r="E847" s="367"/>
      <c r="F847" s="357"/>
    </row>
    <row r="848">
      <c r="A848" s="355"/>
      <c r="B848" s="367"/>
      <c r="C848" s="357"/>
      <c r="D848" s="355"/>
      <c r="E848" s="367"/>
      <c r="F848" s="357"/>
    </row>
    <row r="849">
      <c r="A849" s="355"/>
      <c r="B849" s="367"/>
      <c r="C849" s="357"/>
      <c r="D849" s="355"/>
      <c r="E849" s="367"/>
      <c r="F849" s="357"/>
    </row>
    <row r="850">
      <c r="A850" s="355"/>
      <c r="B850" s="367"/>
      <c r="C850" s="357"/>
      <c r="D850" s="355"/>
      <c r="E850" s="367"/>
      <c r="F850" s="357"/>
    </row>
    <row r="851">
      <c r="A851" s="355"/>
      <c r="B851" s="367"/>
      <c r="C851" s="357"/>
      <c r="D851" s="355"/>
      <c r="E851" s="367"/>
      <c r="F851" s="357"/>
    </row>
    <row r="852">
      <c r="A852" s="355"/>
      <c r="B852" s="367"/>
      <c r="C852" s="357"/>
      <c r="D852" s="355"/>
      <c r="E852" s="367"/>
      <c r="F852" s="357"/>
    </row>
    <row r="853">
      <c r="A853" s="355"/>
      <c r="B853" s="367"/>
      <c r="C853" s="357"/>
      <c r="D853" s="355"/>
      <c r="E853" s="367"/>
      <c r="F853" s="357"/>
    </row>
    <row r="854">
      <c r="A854" s="355"/>
      <c r="B854" s="367"/>
      <c r="C854" s="357"/>
      <c r="D854" s="355"/>
      <c r="E854" s="367"/>
      <c r="F854" s="357"/>
    </row>
    <row r="855">
      <c r="A855" s="355"/>
      <c r="B855" s="367"/>
      <c r="C855" s="357"/>
      <c r="D855" s="355"/>
      <c r="E855" s="367"/>
      <c r="F855" s="357"/>
    </row>
    <row r="856">
      <c r="A856" s="355"/>
      <c r="B856" s="367"/>
      <c r="C856" s="357"/>
      <c r="D856" s="355"/>
      <c r="E856" s="367"/>
      <c r="F856" s="357"/>
    </row>
    <row r="857">
      <c r="A857" s="355"/>
      <c r="B857" s="367"/>
      <c r="C857" s="357"/>
      <c r="D857" s="355"/>
      <c r="E857" s="367"/>
      <c r="F857" s="357"/>
    </row>
    <row r="858">
      <c r="A858" s="355"/>
      <c r="B858" s="367"/>
      <c r="C858" s="357"/>
      <c r="D858" s="355"/>
      <c r="E858" s="367"/>
      <c r="F858" s="357"/>
    </row>
    <row r="859">
      <c r="A859" s="355"/>
      <c r="B859" s="367"/>
      <c r="C859" s="357"/>
      <c r="D859" s="355"/>
      <c r="E859" s="367"/>
      <c r="F859" s="357"/>
    </row>
    <row r="860">
      <c r="A860" s="355"/>
      <c r="B860" s="367"/>
      <c r="C860" s="357"/>
      <c r="D860" s="355"/>
      <c r="E860" s="367"/>
      <c r="F860" s="357"/>
    </row>
    <row r="861">
      <c r="A861" s="355"/>
      <c r="B861" s="367"/>
      <c r="C861" s="357"/>
      <c r="D861" s="355"/>
      <c r="E861" s="367"/>
      <c r="F861" s="357"/>
    </row>
    <row r="862">
      <c r="A862" s="355"/>
      <c r="B862" s="367"/>
      <c r="C862" s="357"/>
      <c r="D862" s="355"/>
      <c r="E862" s="367"/>
      <c r="F862" s="357"/>
    </row>
    <row r="863">
      <c r="A863" s="355"/>
      <c r="B863" s="367"/>
      <c r="C863" s="357"/>
      <c r="D863" s="355"/>
      <c r="E863" s="367"/>
      <c r="F863" s="357"/>
    </row>
    <row r="864">
      <c r="A864" s="355"/>
      <c r="B864" s="367"/>
      <c r="C864" s="357"/>
      <c r="D864" s="355"/>
      <c r="E864" s="367"/>
      <c r="F864" s="357"/>
    </row>
    <row r="865">
      <c r="A865" s="355"/>
      <c r="B865" s="367"/>
      <c r="C865" s="357"/>
      <c r="D865" s="355"/>
      <c r="E865" s="367"/>
      <c r="F865" s="357"/>
    </row>
    <row r="866">
      <c r="A866" s="355"/>
      <c r="B866" s="367"/>
      <c r="C866" s="357"/>
      <c r="D866" s="355"/>
      <c r="E866" s="367"/>
      <c r="F866" s="357"/>
    </row>
    <row r="867">
      <c r="A867" s="355"/>
      <c r="B867" s="367"/>
      <c r="C867" s="357"/>
      <c r="D867" s="355"/>
      <c r="E867" s="367"/>
      <c r="F867" s="357"/>
    </row>
    <row r="868">
      <c r="A868" s="355"/>
      <c r="B868" s="367"/>
      <c r="C868" s="357"/>
      <c r="D868" s="355"/>
      <c r="E868" s="367"/>
      <c r="F868" s="357"/>
    </row>
    <row r="869">
      <c r="A869" s="355"/>
      <c r="B869" s="367"/>
      <c r="C869" s="357"/>
      <c r="D869" s="355"/>
      <c r="E869" s="367"/>
      <c r="F869" s="357"/>
    </row>
    <row r="870">
      <c r="A870" s="355"/>
      <c r="B870" s="367"/>
      <c r="C870" s="357"/>
      <c r="D870" s="355"/>
      <c r="E870" s="367"/>
      <c r="F870" s="357"/>
    </row>
    <row r="871">
      <c r="A871" s="355"/>
      <c r="B871" s="367"/>
      <c r="C871" s="357"/>
      <c r="D871" s="355"/>
      <c r="E871" s="367"/>
      <c r="F871" s="357"/>
    </row>
    <row r="872">
      <c r="A872" s="355"/>
      <c r="B872" s="367"/>
      <c r="C872" s="357"/>
      <c r="D872" s="355"/>
      <c r="E872" s="367"/>
      <c r="F872" s="357"/>
    </row>
    <row r="873">
      <c r="A873" s="355"/>
      <c r="B873" s="367"/>
      <c r="C873" s="357"/>
      <c r="D873" s="355"/>
      <c r="E873" s="367"/>
      <c r="F873" s="357"/>
    </row>
    <row r="874">
      <c r="A874" s="355"/>
      <c r="B874" s="367"/>
      <c r="C874" s="357"/>
      <c r="D874" s="355"/>
      <c r="E874" s="367"/>
      <c r="F874" s="357"/>
    </row>
    <row r="875">
      <c r="A875" s="355"/>
      <c r="B875" s="367"/>
      <c r="C875" s="357"/>
      <c r="D875" s="355"/>
      <c r="E875" s="367"/>
      <c r="F875" s="357"/>
    </row>
    <row r="876">
      <c r="A876" s="355"/>
      <c r="B876" s="367"/>
      <c r="C876" s="357"/>
      <c r="D876" s="355"/>
      <c r="E876" s="367"/>
      <c r="F876" s="357"/>
    </row>
    <row r="877">
      <c r="A877" s="355"/>
      <c r="B877" s="367"/>
      <c r="C877" s="357"/>
      <c r="D877" s="355"/>
      <c r="E877" s="367"/>
      <c r="F877" s="357"/>
    </row>
    <row r="878">
      <c r="A878" s="355"/>
      <c r="B878" s="367"/>
      <c r="C878" s="357"/>
      <c r="D878" s="355"/>
      <c r="E878" s="367"/>
      <c r="F878" s="357"/>
    </row>
    <row r="879">
      <c r="A879" s="355"/>
      <c r="B879" s="367"/>
      <c r="C879" s="357"/>
      <c r="D879" s="355"/>
      <c r="E879" s="367"/>
      <c r="F879" s="357"/>
    </row>
    <row r="880">
      <c r="A880" s="355"/>
      <c r="B880" s="367"/>
      <c r="C880" s="357"/>
      <c r="D880" s="355"/>
      <c r="E880" s="367"/>
      <c r="F880" s="357"/>
    </row>
    <row r="881">
      <c r="A881" s="355"/>
      <c r="B881" s="367"/>
      <c r="C881" s="357"/>
      <c r="D881" s="355"/>
      <c r="E881" s="367"/>
      <c r="F881" s="357"/>
    </row>
    <row r="882">
      <c r="A882" s="355"/>
      <c r="B882" s="367"/>
      <c r="C882" s="357"/>
      <c r="D882" s="355"/>
      <c r="E882" s="367"/>
      <c r="F882" s="357"/>
    </row>
    <row r="883">
      <c r="A883" s="355"/>
      <c r="B883" s="367"/>
      <c r="C883" s="357"/>
      <c r="D883" s="355"/>
      <c r="E883" s="367"/>
      <c r="F883" s="357"/>
    </row>
    <row r="884">
      <c r="A884" s="355"/>
      <c r="B884" s="367"/>
      <c r="C884" s="357"/>
      <c r="D884" s="355"/>
      <c r="E884" s="367"/>
      <c r="F884" s="357"/>
    </row>
    <row r="885">
      <c r="A885" s="355"/>
      <c r="B885" s="367"/>
      <c r="C885" s="357"/>
      <c r="D885" s="355"/>
      <c r="E885" s="367"/>
      <c r="F885" s="357"/>
    </row>
    <row r="886">
      <c r="A886" s="355"/>
      <c r="B886" s="367"/>
      <c r="C886" s="357"/>
      <c r="D886" s="355"/>
      <c r="E886" s="367"/>
      <c r="F886" s="357"/>
    </row>
    <row r="887">
      <c r="A887" s="355"/>
      <c r="B887" s="367"/>
      <c r="C887" s="357"/>
      <c r="D887" s="355"/>
      <c r="E887" s="367"/>
      <c r="F887" s="357"/>
    </row>
    <row r="888">
      <c r="A888" s="355"/>
      <c r="B888" s="367"/>
      <c r="C888" s="357"/>
      <c r="D888" s="355"/>
      <c r="E888" s="367"/>
      <c r="F888" s="357"/>
    </row>
    <row r="889">
      <c r="A889" s="355"/>
      <c r="B889" s="367"/>
      <c r="C889" s="357"/>
      <c r="D889" s="355"/>
      <c r="E889" s="367"/>
      <c r="F889" s="357"/>
    </row>
    <row r="890">
      <c r="A890" s="355"/>
      <c r="B890" s="367"/>
      <c r="C890" s="357"/>
      <c r="D890" s="355"/>
      <c r="E890" s="367"/>
      <c r="F890" s="357"/>
    </row>
    <row r="891">
      <c r="A891" s="355"/>
      <c r="B891" s="367"/>
      <c r="C891" s="357"/>
      <c r="D891" s="355"/>
      <c r="E891" s="367"/>
      <c r="F891" s="357"/>
    </row>
    <row r="892">
      <c r="A892" s="355"/>
      <c r="B892" s="367"/>
      <c r="C892" s="357"/>
      <c r="D892" s="355"/>
      <c r="E892" s="367"/>
      <c r="F892" s="357"/>
    </row>
    <row r="893">
      <c r="A893" s="355"/>
      <c r="B893" s="367"/>
      <c r="C893" s="357"/>
      <c r="D893" s="355"/>
      <c r="E893" s="367"/>
      <c r="F893" s="357"/>
    </row>
    <row r="894">
      <c r="A894" s="355"/>
      <c r="B894" s="367"/>
      <c r="C894" s="357"/>
      <c r="D894" s="355"/>
      <c r="E894" s="367"/>
      <c r="F894" s="357"/>
    </row>
    <row r="895">
      <c r="A895" s="355"/>
      <c r="B895" s="367"/>
      <c r="C895" s="357"/>
      <c r="D895" s="355"/>
      <c r="E895" s="367"/>
      <c r="F895" s="357"/>
    </row>
    <row r="896">
      <c r="A896" s="355"/>
      <c r="B896" s="367"/>
      <c r="C896" s="357"/>
      <c r="D896" s="355"/>
      <c r="E896" s="367"/>
      <c r="F896" s="357"/>
    </row>
    <row r="897">
      <c r="A897" s="355"/>
      <c r="B897" s="367"/>
      <c r="C897" s="357"/>
      <c r="D897" s="355"/>
      <c r="E897" s="367"/>
      <c r="F897" s="357"/>
    </row>
    <row r="898">
      <c r="A898" s="355"/>
      <c r="B898" s="367"/>
      <c r="C898" s="357"/>
      <c r="D898" s="355"/>
      <c r="E898" s="367"/>
      <c r="F898" s="357"/>
    </row>
    <row r="899">
      <c r="A899" s="355"/>
      <c r="B899" s="367"/>
      <c r="C899" s="357"/>
      <c r="D899" s="355"/>
      <c r="E899" s="367"/>
      <c r="F899" s="357"/>
    </row>
    <row r="900">
      <c r="A900" s="355"/>
      <c r="B900" s="367"/>
      <c r="C900" s="357"/>
      <c r="D900" s="355"/>
      <c r="E900" s="367"/>
      <c r="F900" s="357"/>
    </row>
    <row r="901">
      <c r="A901" s="355"/>
      <c r="B901" s="367"/>
      <c r="C901" s="357"/>
      <c r="D901" s="355"/>
      <c r="E901" s="367"/>
      <c r="F901" s="357"/>
    </row>
    <row r="902">
      <c r="A902" s="355"/>
      <c r="B902" s="367"/>
      <c r="C902" s="357"/>
      <c r="D902" s="355"/>
      <c r="E902" s="367"/>
      <c r="F902" s="357"/>
    </row>
    <row r="903">
      <c r="A903" s="355"/>
      <c r="B903" s="367"/>
      <c r="C903" s="357"/>
      <c r="D903" s="355"/>
      <c r="E903" s="367"/>
      <c r="F903" s="357"/>
    </row>
    <row r="904">
      <c r="A904" s="355"/>
      <c r="B904" s="367"/>
      <c r="C904" s="357"/>
      <c r="D904" s="355"/>
      <c r="E904" s="367"/>
      <c r="F904" s="357"/>
    </row>
    <row r="905">
      <c r="A905" s="355"/>
      <c r="B905" s="367"/>
      <c r="C905" s="357"/>
      <c r="D905" s="355"/>
      <c r="E905" s="367"/>
      <c r="F905" s="357"/>
    </row>
    <row r="906">
      <c r="A906" s="355"/>
      <c r="B906" s="367"/>
      <c r="C906" s="357"/>
      <c r="D906" s="355"/>
      <c r="E906" s="367"/>
      <c r="F906" s="357"/>
    </row>
    <row r="907">
      <c r="A907" s="355"/>
      <c r="B907" s="367"/>
      <c r="C907" s="357"/>
      <c r="D907" s="355"/>
      <c r="E907" s="367"/>
      <c r="F907" s="357"/>
    </row>
    <row r="908">
      <c r="A908" s="355"/>
      <c r="B908" s="367"/>
      <c r="C908" s="357"/>
      <c r="D908" s="355"/>
      <c r="E908" s="367"/>
      <c r="F908" s="357"/>
    </row>
    <row r="909">
      <c r="A909" s="355"/>
      <c r="B909" s="367"/>
      <c r="C909" s="357"/>
      <c r="D909" s="355"/>
      <c r="E909" s="367"/>
      <c r="F909" s="357"/>
    </row>
    <row r="910">
      <c r="A910" s="355"/>
      <c r="B910" s="367"/>
      <c r="C910" s="357"/>
      <c r="D910" s="355"/>
      <c r="E910" s="367"/>
      <c r="F910" s="357"/>
    </row>
    <row r="911">
      <c r="A911" s="355"/>
      <c r="B911" s="367"/>
      <c r="C911" s="357"/>
      <c r="D911" s="355"/>
      <c r="E911" s="367"/>
      <c r="F911" s="357"/>
    </row>
    <row r="912">
      <c r="A912" s="355"/>
      <c r="B912" s="367"/>
      <c r="C912" s="357"/>
      <c r="D912" s="355"/>
      <c r="E912" s="367"/>
      <c r="F912" s="357"/>
    </row>
    <row r="913">
      <c r="A913" s="355"/>
      <c r="B913" s="367"/>
      <c r="C913" s="357"/>
      <c r="D913" s="355"/>
      <c r="E913" s="367"/>
      <c r="F913" s="357"/>
    </row>
    <row r="914">
      <c r="A914" s="355"/>
      <c r="B914" s="367"/>
      <c r="C914" s="357"/>
      <c r="D914" s="355"/>
      <c r="E914" s="367"/>
      <c r="F914" s="357"/>
    </row>
    <row r="915">
      <c r="A915" s="355"/>
      <c r="B915" s="367"/>
      <c r="C915" s="357"/>
      <c r="D915" s="355"/>
      <c r="E915" s="367"/>
      <c r="F915" s="357"/>
    </row>
    <row r="916">
      <c r="A916" s="355"/>
      <c r="B916" s="367"/>
      <c r="C916" s="357"/>
      <c r="D916" s="355"/>
      <c r="E916" s="367"/>
      <c r="F916" s="357"/>
    </row>
    <row r="917">
      <c r="A917" s="355"/>
      <c r="B917" s="367"/>
      <c r="C917" s="357"/>
      <c r="D917" s="355"/>
      <c r="E917" s="367"/>
      <c r="F917" s="357"/>
    </row>
    <row r="918">
      <c r="A918" s="355"/>
      <c r="B918" s="367"/>
      <c r="C918" s="357"/>
      <c r="D918" s="355"/>
      <c r="E918" s="367"/>
      <c r="F918" s="357"/>
    </row>
    <row r="919">
      <c r="A919" s="355"/>
      <c r="B919" s="367"/>
      <c r="C919" s="357"/>
      <c r="D919" s="355"/>
      <c r="E919" s="367"/>
      <c r="F919" s="357"/>
    </row>
    <row r="920">
      <c r="A920" s="355"/>
      <c r="B920" s="367"/>
      <c r="C920" s="357"/>
      <c r="D920" s="355"/>
      <c r="E920" s="367"/>
      <c r="F920" s="357"/>
    </row>
    <row r="921">
      <c r="A921" s="355"/>
      <c r="B921" s="367"/>
      <c r="C921" s="357"/>
      <c r="D921" s="355"/>
      <c r="E921" s="367"/>
      <c r="F921" s="357"/>
    </row>
    <row r="922">
      <c r="A922" s="355"/>
      <c r="B922" s="367"/>
      <c r="C922" s="357"/>
      <c r="D922" s="355"/>
      <c r="E922" s="367"/>
      <c r="F922" s="357"/>
    </row>
    <row r="923">
      <c r="A923" s="355"/>
      <c r="B923" s="367"/>
      <c r="C923" s="357"/>
      <c r="D923" s="355"/>
      <c r="E923" s="367"/>
      <c r="F923" s="357"/>
    </row>
    <row r="924">
      <c r="A924" s="355"/>
      <c r="B924" s="367"/>
      <c r="C924" s="357"/>
      <c r="D924" s="355"/>
      <c r="E924" s="367"/>
      <c r="F924" s="357"/>
    </row>
    <row r="925">
      <c r="A925" s="355"/>
      <c r="B925" s="367"/>
      <c r="C925" s="357"/>
      <c r="D925" s="355"/>
      <c r="E925" s="367"/>
      <c r="F925" s="357"/>
    </row>
    <row r="926">
      <c r="A926" s="355"/>
      <c r="B926" s="367"/>
      <c r="C926" s="357"/>
      <c r="D926" s="355"/>
      <c r="E926" s="367"/>
      <c r="F926" s="357"/>
    </row>
    <row r="927">
      <c r="A927" s="355"/>
      <c r="B927" s="367"/>
      <c r="C927" s="357"/>
      <c r="D927" s="355"/>
      <c r="E927" s="367"/>
      <c r="F927" s="357"/>
    </row>
    <row r="928">
      <c r="A928" s="355"/>
      <c r="B928" s="367"/>
      <c r="C928" s="357"/>
      <c r="D928" s="355"/>
      <c r="E928" s="367"/>
      <c r="F928" s="357"/>
    </row>
    <row r="929">
      <c r="A929" s="355"/>
      <c r="B929" s="367"/>
      <c r="C929" s="357"/>
      <c r="D929" s="355"/>
      <c r="E929" s="367"/>
      <c r="F929" s="357"/>
    </row>
    <row r="930">
      <c r="A930" s="355"/>
      <c r="B930" s="367"/>
      <c r="C930" s="357"/>
      <c r="D930" s="355"/>
      <c r="E930" s="367"/>
      <c r="F930" s="357"/>
    </row>
    <row r="931">
      <c r="A931" s="355"/>
      <c r="B931" s="367"/>
      <c r="C931" s="357"/>
      <c r="D931" s="355"/>
      <c r="E931" s="367"/>
      <c r="F931" s="357"/>
    </row>
    <row r="932">
      <c r="A932" s="355"/>
      <c r="B932" s="367"/>
      <c r="C932" s="357"/>
      <c r="D932" s="355"/>
      <c r="E932" s="367"/>
      <c r="F932" s="357"/>
    </row>
    <row r="933">
      <c r="A933" s="355"/>
      <c r="B933" s="367"/>
      <c r="C933" s="357"/>
      <c r="D933" s="355"/>
      <c r="E933" s="367"/>
      <c r="F933" s="357"/>
    </row>
    <row r="934">
      <c r="A934" s="355"/>
      <c r="B934" s="367"/>
      <c r="C934" s="357"/>
      <c r="D934" s="355"/>
      <c r="E934" s="367"/>
      <c r="F934" s="357"/>
    </row>
    <row r="935">
      <c r="A935" s="355"/>
      <c r="B935" s="367"/>
      <c r="C935" s="357"/>
      <c r="D935" s="355"/>
      <c r="E935" s="367"/>
      <c r="F935" s="357"/>
    </row>
    <row r="936">
      <c r="A936" s="355"/>
      <c r="B936" s="367"/>
      <c r="C936" s="357"/>
      <c r="D936" s="355"/>
      <c r="E936" s="367"/>
      <c r="F936" s="357"/>
    </row>
    <row r="937">
      <c r="A937" s="355"/>
      <c r="B937" s="367"/>
      <c r="C937" s="357"/>
      <c r="D937" s="355"/>
      <c r="E937" s="367"/>
      <c r="F937" s="357"/>
    </row>
    <row r="938">
      <c r="A938" s="355"/>
      <c r="B938" s="367"/>
      <c r="C938" s="357"/>
      <c r="D938" s="355"/>
      <c r="E938" s="367"/>
      <c r="F938" s="357"/>
    </row>
    <row r="939">
      <c r="A939" s="355"/>
      <c r="B939" s="367"/>
      <c r="C939" s="357"/>
      <c r="D939" s="355"/>
      <c r="E939" s="367"/>
      <c r="F939" s="357"/>
    </row>
    <row r="940">
      <c r="A940" s="355"/>
      <c r="B940" s="367"/>
      <c r="C940" s="357"/>
      <c r="D940" s="355"/>
      <c r="E940" s="367"/>
      <c r="F940" s="357"/>
    </row>
    <row r="941">
      <c r="A941" s="355"/>
      <c r="B941" s="367"/>
      <c r="C941" s="357"/>
      <c r="D941" s="355"/>
      <c r="E941" s="367"/>
      <c r="F941" s="357"/>
    </row>
    <row r="942">
      <c r="A942" s="355"/>
      <c r="B942" s="367"/>
      <c r="C942" s="357"/>
      <c r="D942" s="355"/>
      <c r="E942" s="367"/>
      <c r="F942" s="357"/>
    </row>
    <row r="943">
      <c r="A943" s="355"/>
      <c r="B943" s="367"/>
      <c r="C943" s="357"/>
      <c r="D943" s="355"/>
      <c r="E943" s="367"/>
      <c r="F943" s="357"/>
    </row>
    <row r="944">
      <c r="A944" s="355"/>
      <c r="B944" s="367"/>
      <c r="C944" s="357"/>
      <c r="D944" s="355"/>
      <c r="E944" s="367"/>
      <c r="F944" s="357"/>
    </row>
    <row r="945">
      <c r="A945" s="355"/>
      <c r="B945" s="367"/>
      <c r="C945" s="357"/>
      <c r="D945" s="355"/>
      <c r="E945" s="367"/>
      <c r="F945" s="357"/>
    </row>
    <row r="946">
      <c r="A946" s="355"/>
      <c r="B946" s="367"/>
      <c r="C946" s="357"/>
      <c r="D946" s="355"/>
      <c r="E946" s="367"/>
      <c r="F946" s="357"/>
    </row>
    <row r="947">
      <c r="A947" s="355"/>
      <c r="B947" s="367"/>
      <c r="C947" s="357"/>
      <c r="D947" s="355"/>
      <c r="E947" s="367"/>
      <c r="F947" s="357"/>
    </row>
    <row r="948">
      <c r="A948" s="355"/>
      <c r="B948" s="367"/>
      <c r="C948" s="357"/>
      <c r="D948" s="355"/>
      <c r="E948" s="367"/>
      <c r="F948" s="357"/>
    </row>
    <row r="949">
      <c r="A949" s="355"/>
      <c r="B949" s="367"/>
      <c r="C949" s="357"/>
      <c r="D949" s="355"/>
      <c r="E949" s="367"/>
      <c r="F949" s="357"/>
    </row>
    <row r="950">
      <c r="A950" s="355"/>
      <c r="B950" s="367"/>
      <c r="C950" s="357"/>
      <c r="D950" s="355"/>
      <c r="E950" s="367"/>
      <c r="F950" s="357"/>
    </row>
    <row r="951">
      <c r="A951" s="355"/>
      <c r="B951" s="367"/>
      <c r="C951" s="357"/>
      <c r="D951" s="355"/>
      <c r="E951" s="367"/>
      <c r="F951" s="357"/>
    </row>
    <row r="952">
      <c r="A952" s="355"/>
      <c r="B952" s="367"/>
      <c r="C952" s="357"/>
      <c r="D952" s="355"/>
      <c r="E952" s="367"/>
      <c r="F952" s="357"/>
    </row>
    <row r="953">
      <c r="A953" s="355"/>
      <c r="B953" s="367"/>
      <c r="C953" s="357"/>
      <c r="D953" s="355"/>
      <c r="E953" s="367"/>
      <c r="F953" s="357"/>
    </row>
    <row r="954">
      <c r="A954" s="355"/>
      <c r="B954" s="367"/>
      <c r="C954" s="357"/>
      <c r="D954" s="355"/>
      <c r="E954" s="367"/>
      <c r="F954" s="357"/>
    </row>
    <row r="955">
      <c r="A955" s="355"/>
      <c r="B955" s="367"/>
      <c r="C955" s="357"/>
      <c r="D955" s="355"/>
      <c r="E955" s="367"/>
      <c r="F955" s="357"/>
    </row>
    <row r="956">
      <c r="A956" s="355"/>
      <c r="B956" s="367"/>
      <c r="C956" s="357"/>
      <c r="D956" s="355"/>
      <c r="E956" s="367"/>
      <c r="F956" s="357"/>
    </row>
    <row r="957">
      <c r="A957" s="355"/>
      <c r="B957" s="367"/>
      <c r="C957" s="357"/>
      <c r="D957" s="355"/>
      <c r="E957" s="367"/>
      <c r="F957" s="357"/>
    </row>
    <row r="958">
      <c r="A958" s="355"/>
      <c r="B958" s="367"/>
      <c r="C958" s="357"/>
      <c r="D958" s="355"/>
      <c r="E958" s="367"/>
      <c r="F958" s="357"/>
    </row>
    <row r="959">
      <c r="A959" s="355"/>
      <c r="B959" s="367"/>
      <c r="C959" s="357"/>
      <c r="D959" s="355"/>
      <c r="E959" s="367"/>
      <c r="F959" s="357"/>
    </row>
    <row r="960">
      <c r="A960" s="355"/>
      <c r="B960" s="367"/>
      <c r="C960" s="357"/>
      <c r="D960" s="355"/>
      <c r="E960" s="367"/>
      <c r="F960" s="357"/>
    </row>
    <row r="961">
      <c r="A961" s="355"/>
      <c r="B961" s="367"/>
      <c r="C961" s="357"/>
      <c r="D961" s="355"/>
      <c r="E961" s="367"/>
      <c r="F961" s="357"/>
    </row>
    <row r="962">
      <c r="A962" s="355"/>
      <c r="B962" s="367"/>
      <c r="C962" s="357"/>
      <c r="D962" s="355"/>
      <c r="E962" s="367"/>
      <c r="F962" s="357"/>
    </row>
    <row r="963">
      <c r="A963" s="355"/>
      <c r="B963" s="367"/>
      <c r="C963" s="357"/>
      <c r="D963" s="355"/>
      <c r="E963" s="367"/>
      <c r="F963" s="357"/>
    </row>
    <row r="964">
      <c r="A964" s="355"/>
      <c r="B964" s="367"/>
      <c r="C964" s="357"/>
      <c r="D964" s="355"/>
      <c r="E964" s="367"/>
      <c r="F964" s="357"/>
    </row>
    <row r="965">
      <c r="A965" s="355"/>
      <c r="B965" s="367"/>
      <c r="C965" s="357"/>
      <c r="D965" s="355"/>
      <c r="E965" s="367"/>
      <c r="F965" s="357"/>
    </row>
    <row r="966">
      <c r="A966" s="355"/>
      <c r="B966" s="367"/>
      <c r="C966" s="357"/>
      <c r="D966" s="355"/>
      <c r="E966" s="367"/>
      <c r="F966" s="357"/>
    </row>
    <row r="967">
      <c r="A967" s="355"/>
      <c r="B967" s="367"/>
      <c r="C967" s="357"/>
      <c r="D967" s="355"/>
      <c r="E967" s="367"/>
      <c r="F967" s="357"/>
    </row>
    <row r="968">
      <c r="A968" s="355"/>
      <c r="B968" s="367"/>
      <c r="C968" s="357"/>
      <c r="D968" s="355"/>
      <c r="E968" s="367"/>
      <c r="F968" s="357"/>
    </row>
    <row r="969">
      <c r="A969" s="355"/>
      <c r="B969" s="367"/>
      <c r="C969" s="357"/>
      <c r="D969" s="355"/>
      <c r="E969" s="367"/>
      <c r="F969" s="357"/>
    </row>
    <row r="970">
      <c r="A970" s="355"/>
      <c r="B970" s="367"/>
      <c r="C970" s="357"/>
      <c r="D970" s="355"/>
      <c r="E970" s="367"/>
      <c r="F970" s="357"/>
    </row>
    <row r="971">
      <c r="A971" s="355"/>
      <c r="B971" s="367"/>
      <c r="C971" s="357"/>
      <c r="D971" s="355"/>
      <c r="E971" s="367"/>
      <c r="F971" s="357"/>
    </row>
    <row r="972">
      <c r="A972" s="355"/>
      <c r="B972" s="367"/>
      <c r="C972" s="357"/>
      <c r="D972" s="355"/>
      <c r="E972" s="367"/>
      <c r="F972" s="357"/>
    </row>
    <row r="973">
      <c r="A973" s="355"/>
      <c r="B973" s="367"/>
      <c r="C973" s="357"/>
      <c r="D973" s="355"/>
      <c r="E973" s="367"/>
      <c r="F973" s="357"/>
    </row>
    <row r="974">
      <c r="A974" s="355"/>
      <c r="B974" s="367"/>
      <c r="C974" s="357"/>
      <c r="D974" s="355"/>
      <c r="E974" s="367"/>
      <c r="F974" s="357"/>
    </row>
    <row r="975">
      <c r="A975" s="355"/>
      <c r="B975" s="367"/>
      <c r="C975" s="357"/>
      <c r="D975" s="355"/>
      <c r="E975" s="367"/>
      <c r="F975" s="357"/>
    </row>
    <row r="976">
      <c r="A976" s="355"/>
      <c r="B976" s="367"/>
      <c r="C976" s="357"/>
      <c r="D976" s="355"/>
      <c r="E976" s="367"/>
      <c r="F976" s="357"/>
    </row>
    <row r="977">
      <c r="A977" s="355"/>
      <c r="B977" s="367"/>
      <c r="C977" s="357"/>
      <c r="D977" s="355"/>
      <c r="E977" s="367"/>
      <c r="F977" s="357"/>
    </row>
    <row r="978">
      <c r="A978" s="355"/>
      <c r="B978" s="367"/>
      <c r="C978" s="357"/>
      <c r="D978" s="355"/>
      <c r="E978" s="367"/>
      <c r="F978" s="357"/>
    </row>
    <row r="979">
      <c r="A979" s="355"/>
      <c r="B979" s="367"/>
      <c r="C979" s="357"/>
      <c r="D979" s="355"/>
      <c r="E979" s="367"/>
      <c r="F979" s="357"/>
    </row>
    <row r="980">
      <c r="A980" s="355"/>
      <c r="B980" s="367"/>
      <c r="C980" s="357"/>
      <c r="D980" s="355"/>
      <c r="E980" s="367"/>
      <c r="F980" s="357"/>
    </row>
    <row r="981">
      <c r="A981" s="355"/>
      <c r="B981" s="367"/>
      <c r="C981" s="357"/>
      <c r="D981" s="355"/>
      <c r="E981" s="367"/>
      <c r="F981" s="357"/>
    </row>
    <row r="982">
      <c r="A982" s="355"/>
      <c r="B982" s="367"/>
      <c r="C982" s="357"/>
      <c r="D982" s="355"/>
      <c r="E982" s="367"/>
      <c r="F982" s="357"/>
    </row>
    <row r="983">
      <c r="A983" s="355"/>
      <c r="B983" s="367"/>
      <c r="C983" s="357"/>
      <c r="D983" s="355"/>
      <c r="E983" s="367"/>
      <c r="F983" s="357"/>
    </row>
    <row r="984">
      <c r="A984" s="355"/>
      <c r="B984" s="367"/>
      <c r="C984" s="357"/>
      <c r="D984" s="355"/>
      <c r="E984" s="367"/>
      <c r="F984" s="357"/>
    </row>
    <row r="985">
      <c r="A985" s="355"/>
      <c r="B985" s="367"/>
      <c r="C985" s="357"/>
      <c r="D985" s="355"/>
      <c r="E985" s="367"/>
      <c r="F985" s="357"/>
    </row>
    <row r="986">
      <c r="A986" s="355"/>
      <c r="B986" s="367"/>
      <c r="C986" s="357"/>
      <c r="D986" s="355"/>
      <c r="E986" s="367"/>
      <c r="F986" s="357"/>
    </row>
    <row r="987">
      <c r="A987" s="355"/>
      <c r="B987" s="367"/>
      <c r="C987" s="357"/>
      <c r="D987" s="355"/>
      <c r="E987" s="367"/>
      <c r="F987" s="357"/>
    </row>
    <row r="988">
      <c r="A988" s="355"/>
      <c r="B988" s="367"/>
      <c r="C988" s="357"/>
      <c r="D988" s="355"/>
      <c r="E988" s="367"/>
      <c r="F988" s="357"/>
    </row>
    <row r="989">
      <c r="A989" s="355"/>
      <c r="B989" s="367"/>
      <c r="C989" s="357"/>
      <c r="D989" s="355"/>
      <c r="E989" s="367"/>
      <c r="F989" s="357"/>
    </row>
    <row r="990">
      <c r="A990" s="355"/>
      <c r="B990" s="367"/>
      <c r="C990" s="357"/>
      <c r="D990" s="355"/>
      <c r="E990" s="367"/>
      <c r="F990" s="357"/>
    </row>
    <row r="991">
      <c r="A991" s="355"/>
      <c r="B991" s="367"/>
      <c r="C991" s="357"/>
      <c r="D991" s="355"/>
      <c r="E991" s="367"/>
      <c r="F991" s="357"/>
    </row>
    <row r="992">
      <c r="A992" s="355"/>
      <c r="B992" s="367"/>
      <c r="C992" s="357"/>
      <c r="D992" s="355"/>
      <c r="E992" s="367"/>
      <c r="F992" s="357"/>
    </row>
    <row r="993">
      <c r="A993" s="355"/>
      <c r="B993" s="367"/>
      <c r="C993" s="357"/>
      <c r="D993" s="355"/>
      <c r="E993" s="367"/>
      <c r="F993" s="357"/>
    </row>
    <row r="994">
      <c r="A994" s="355"/>
      <c r="B994" s="367"/>
      <c r="C994" s="357"/>
      <c r="D994" s="355"/>
      <c r="E994" s="367"/>
      <c r="F994" s="357"/>
    </row>
    <row r="995">
      <c r="A995" s="355"/>
      <c r="B995" s="367"/>
      <c r="C995" s="357"/>
      <c r="D995" s="355"/>
      <c r="E995" s="367"/>
      <c r="F995" s="357"/>
    </row>
    <row r="996">
      <c r="A996" s="355"/>
      <c r="B996" s="367"/>
      <c r="C996" s="357"/>
      <c r="D996" s="355"/>
      <c r="E996" s="367"/>
      <c r="F996" s="357"/>
    </row>
    <row r="997">
      <c r="A997" s="355"/>
      <c r="B997" s="367"/>
      <c r="C997" s="357"/>
      <c r="D997" s="355"/>
      <c r="E997" s="367"/>
      <c r="F997" s="357"/>
    </row>
    <row r="998">
      <c r="A998" s="355"/>
      <c r="B998" s="367"/>
      <c r="C998" s="357"/>
      <c r="D998" s="355"/>
      <c r="E998" s="367"/>
      <c r="F998" s="357"/>
    </row>
    <row r="999">
      <c r="A999" s="355"/>
      <c r="B999" s="367"/>
      <c r="C999" s="357"/>
      <c r="D999" s="355"/>
      <c r="E999" s="367"/>
      <c r="F999" s="357"/>
    </row>
    <row r="1000">
      <c r="A1000" s="355"/>
      <c r="B1000" s="367"/>
      <c r="C1000" s="357"/>
      <c r="D1000" s="355"/>
      <c r="E1000" s="367"/>
      <c r="F1000" s="357"/>
    </row>
  </sheetData>
  <conditionalFormatting sqref="C1:C31 F1:F31">
    <cfRule type="cellIs" dxfId="4" priority="1" operator="greaterThan">
      <formula>1.99</formula>
    </cfRule>
  </conditionalFormatting>
  <conditionalFormatting sqref="F1:F31 C1:C31">
    <cfRule type="cellIs" dxfId="5" priority="2" operator="lessThanOrEqual">
      <formula>-0.01</formula>
    </cfRule>
  </conditionalFormatting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6" width="9.0"/>
  </cols>
  <sheetData>
    <row r="1" ht="15.75" customHeight="1">
      <c r="A1" s="200" t="s">
        <v>425</v>
      </c>
      <c r="C1" s="199" t="s">
        <v>426</v>
      </c>
      <c r="D1" s="200"/>
      <c r="E1" s="200"/>
    </row>
    <row r="2" ht="15.0" customHeight="1">
      <c r="C2" s="200" t="s">
        <v>427</v>
      </c>
      <c r="D2" s="200"/>
      <c r="E2" s="200"/>
    </row>
    <row r="3" ht="15.0" customHeight="1">
      <c r="C3" s="200" t="s">
        <v>428</v>
      </c>
      <c r="D3" s="200"/>
      <c r="E3" s="200"/>
    </row>
    <row r="4" ht="15.0" customHeight="1">
      <c r="C4" s="200" t="s">
        <v>429</v>
      </c>
      <c r="D4" s="200"/>
      <c r="E4" s="200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2">
      <c r="B2" s="372">
        <v>1442.7</v>
      </c>
      <c r="C2" s="205" t="s">
        <v>437</v>
      </c>
    </row>
    <row r="3">
      <c r="B3" s="205">
        <v>932.19</v>
      </c>
      <c r="C3" s="205" t="s">
        <v>438</v>
      </c>
    </row>
    <row r="4">
      <c r="B4" s="205">
        <v>269.0</v>
      </c>
      <c r="C4" s="205" t="s">
        <v>439</v>
      </c>
    </row>
    <row r="5">
      <c r="B5" s="205">
        <v>92.0</v>
      </c>
      <c r="C5" s="205" t="s">
        <v>440</v>
      </c>
    </row>
    <row r="7">
      <c r="B7" s="343">
        <f>B2-(B3+B4+B5)</f>
        <v>149.51</v>
      </c>
      <c r="C7" s="205" t="s">
        <v>441</v>
      </c>
    </row>
  </sheetData>
  <drawing r:id="rId1"/>
</worksheet>
</file>